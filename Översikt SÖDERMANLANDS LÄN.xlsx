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31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2932-2024</t>
        </is>
      </c>
      <c r="B2" t="inlineStr">
        <is>
          <t>samrådsanmälan</t>
        </is>
      </c>
      <c r="C2" t="inlineStr">
        <is>
          <t>Annan skogsbruksåtgärd</t>
        </is>
      </c>
      <c r="D2" s="1" t="n">
        <v>45505</v>
      </c>
      <c r="E2" s="1" t="n">
        <v>46313</v>
      </c>
      <c r="F2" t="inlineStr">
        <is>
          <t>SÖDERMANLANDS LÄN</t>
        </is>
      </c>
      <c r="G2" t="inlineStr">
        <is>
          <t>STRÄNGNÄS</t>
        </is>
      </c>
      <c r="H2" t="inlineStr">
        <is>
          <t>Kommuner</t>
        </is>
      </c>
      <c r="I2" t="n">
        <v>116</v>
      </c>
      <c r="J2" t="n">
        <v>32</v>
      </c>
      <c r="K2" t="n">
        <v>15</v>
      </c>
      <c r="L2" t="n">
        <v>38</v>
      </c>
      <c r="M2" t="n">
        <v>10</v>
      </c>
      <c r="N2" t="n">
        <v>2</v>
      </c>
      <c r="O2" t="n">
        <v>0</v>
      </c>
      <c r="P2" t="n">
        <v>0</v>
      </c>
      <c r="Q2" t="n">
        <v>50</v>
      </c>
      <c r="R2" t="n">
        <v>12</v>
      </c>
      <c r="S2" t="n">
        <v>83</v>
      </c>
      <c r="T2" t="n">
        <v>163</v>
      </c>
      <c r="U2" t="n">
        <v>35</v>
      </c>
      <c r="V2" s="2" t="inlineStr">
        <is>
          <t>Ask
Skogsalm
Gräshoppsångare
Grönfink
Igelkott
Lungrot
Läderbagge
Norsk fetfibbla
Porslinsblå spindling
Skuggmalmätare
Stare
Tornseglare
Backtimjan
Björktrast
Cinnoberspindling
Duvhök
Ekticka
Entita
Grönfjällig fjällskivling
Grönsångare
Gul dropplav
Gulprickig vaxskivling
Gulsparv
Göktyta
Humlerotfjäril
Jättekamskivling
Jättespindling
Kandelabersvamp
Knottrig rottryffel
Kryddspindling
Kungsspindling
Ladusvala
Mindre hackspett
Oxtungssvamp
Rosa skärelav
Rosenfink
Rödbrun blekspik
Rödvingetrast
Rördrom
Saffransspindling
Större aspvårvecklare
Svart skogssnigel
Svartöra
Tallticka
Tvärbandat vickerfly
Vasspetsad sikelvinge
Vippärt
Vägtornsmätare
Vårärt
Ängsskära
Blåmossa
Bolmörtsskivling
Brun nållav
Fällmossa
Gulpudrad spiklav
Huvudlik svampklubba
Igelkottsröksvamp
Lömsk flugsvamp
Rostfläck
Slemvaxing
Sotlav
Sotriska
Stuplav
Svart trolldruva
Underviol
Bergfink
Blåsippa
Gulsippa
Spillkråka
Tallbit
Vildkaprifol
Fjällvråk
Gröngöling
Grönsiska
Havsörn
Kråka
Kungsfågel
Näktergal
Svartvit flugsnappare
Sävsparv
Törnskata
Vanlig snok
Gullviva</t>
        </is>
      </c>
      <c r="W2">
        <f>HYPERLINK("https://klasma.github.io/Logging_0486/artfynd/S 2932-2024 artfynd.xlsx", "S 2932-2024")</f>
        <v/>
      </c>
      <c r="X2">
        <f>HYPERLINK("https://klasma.github.io/Logging_0486/kartor/S 2932-2024 karta.png", "S 2932-2024")</f>
        <v/>
      </c>
      <c r="Y2">
        <f>HYPERLINK("https://klasma.github.io/Logging_0486/kartor_geotiff/S 2932-2024 georefererad karta.tif", "S 2932-2024")</f>
        <v/>
      </c>
      <c r="AA2">
        <f>HYPERLINK("https://klasma.github.io/Logging_0486/klagomål/S 2932-2024 FSC-klagomål.docx", "S 2932-2024")</f>
        <v/>
      </c>
      <c r="AB2">
        <f>HYPERLINK("https://klasma.github.io/Logging_0486/klagomålsmail/S 2932-2024 FSC-klagomål mail.docx", "S 2932-2024")</f>
        <v/>
      </c>
      <c r="AC2">
        <f>HYPERLINK("https://klasma.github.io/Logging_0486/tillsyn/S 2932-2024 tillsynsbegäran.docx", "S 2932-2024")</f>
        <v/>
      </c>
      <c r="AD2">
        <f>HYPERLINK("https://klasma.github.io/Logging_0486/tillsynsmail/S 2932-2024 tillsynsbegäran mail.docx", "S 2932-2024")</f>
        <v/>
      </c>
      <c r="AE2">
        <f>HYPERLINK("https://klasma.github.io/Logging_0486/fåglar/S 2932-2024 prioriterade fågelarter.docx", "S 2932-2024")</f>
        <v/>
      </c>
    </row>
    <row r="3" ht="15" customHeight="1">
      <c r="A3" t="inlineStr">
        <is>
          <t>A 28806-2024</t>
        </is>
      </c>
      <c r="B3" t="inlineStr">
        <is>
          <t>avverkningsanmälan</t>
        </is>
      </c>
      <c r="C3" t="inlineStr">
        <is>
          <t>Föryngringsavverkning</t>
        </is>
      </c>
      <c r="D3" s="1" t="n">
        <v>45478</v>
      </c>
      <c r="E3" s="1" t="n">
        <v>46313</v>
      </c>
      <c r="F3" t="inlineStr">
        <is>
          <t>SÖDERMANLANDS LÄN</t>
        </is>
      </c>
      <c r="G3" t="inlineStr">
        <is>
          <t>KATRINEHOLM</t>
        </is>
      </c>
      <c r="I3" t="n">
        <v>23</v>
      </c>
      <c r="J3" t="n">
        <v>16</v>
      </c>
      <c r="K3" t="n">
        <v>11</v>
      </c>
      <c r="L3" t="n">
        <v>22</v>
      </c>
      <c r="M3" t="n">
        <v>6</v>
      </c>
      <c r="N3" t="n">
        <v>0</v>
      </c>
      <c r="O3" t="n">
        <v>0</v>
      </c>
      <c r="P3" t="n">
        <v>0</v>
      </c>
      <c r="Q3" t="n">
        <v>28</v>
      </c>
      <c r="R3" t="n">
        <v>6</v>
      </c>
      <c r="S3" t="n">
        <v>51</v>
      </c>
      <c r="T3" t="n">
        <v>287</v>
      </c>
      <c r="U3" t="n">
        <v>280</v>
      </c>
      <c r="V3" s="2" t="inlineStr">
        <is>
          <t>Blackticka
Goliatmusseron
Gul taggsvamp
Jättemusseron
Knärot
Rotfingersvamp
Blå taggsvamp
Dofttaggsvamp
Dropptaggsvamp
Fjällig taggsvamp s.str.
Fyrflikig jordstjärna
Gultoppig fingersvamp
Jungfrulin
Kattfotslav
Koralltaggsvamp
Motaggsvamp
Nordfladdermus
Orange taggsvamp
Skarp dropptaggsvamp
Svartvit taggsvamp
Svinrot
Tallticka
Talltita
Ullticka
Vedskivlav
Vippärt
Vårstarr
Vårärt
Blomkålssvamp
Blåmossa
Bronshjon
Granbarkgnagare
Grovticka
Grön sköldmossa
Grönpyrola
Mindre märgborre
Rödgul trumpetsvamp
Vedticka
Vågbandad barkbock
Järpe
Mattlummer
Spillkråka
Tjäder
Havsörn
Kungsfågel
Huggorm
Vanlig groda
Vanlig padda
Vanlig snok
Fläcknycklar
Revlummer</t>
        </is>
      </c>
      <c r="W3">
        <f>HYPERLINK("https://klasma.github.io/Logging_0483/artfynd/A 28806-2024 artfynd.xlsx", "A 28806-2024")</f>
        <v/>
      </c>
      <c r="X3">
        <f>HYPERLINK("https://klasma.github.io/Logging_0483/kartor/A 28806-2024 karta.png", "A 28806-2024")</f>
        <v/>
      </c>
      <c r="Y3">
        <f>HYPERLINK("https://klasma.github.io/Logging_0483/kartor_geotiff/A 28806-2024 georefererad karta.tif", "A 28806-2024")</f>
        <v/>
      </c>
      <c r="Z3">
        <f>HYPERLINK("https://klasma.github.io/Logging_0483/knärot/A 28806-2024 karta knärot.png", "A 28806-2024")</f>
        <v/>
      </c>
      <c r="AA3">
        <f>HYPERLINK("https://klasma.github.io/Logging_0483/klagomål/A 28806-2024 FSC-klagomål.docx", "A 28806-2024")</f>
        <v/>
      </c>
      <c r="AB3">
        <f>HYPERLINK("https://klasma.github.io/Logging_0483/klagomålsmail/A 28806-2024 FSC-klagomål mail.docx", "A 28806-2024")</f>
        <v/>
      </c>
      <c r="AC3">
        <f>HYPERLINK("https://klasma.github.io/Logging_0483/tillsyn/A 28806-2024 tillsynsbegäran.docx", "A 28806-2024")</f>
        <v/>
      </c>
      <c r="AD3">
        <f>HYPERLINK("https://klasma.github.io/Logging_0483/tillsynsmail/A 28806-2024 tillsynsbegäran mail.docx", "A 28806-2024")</f>
        <v/>
      </c>
      <c r="AE3">
        <f>HYPERLINK("https://klasma.github.io/Logging_0483/fåglar/A 28806-2024 prioriterade fågelarter.docx", "A 28806-2024")</f>
        <v/>
      </c>
    </row>
    <row r="4" ht="15" customHeight="1">
      <c r="A4" t="inlineStr">
        <is>
          <t>A 43282-2024</t>
        </is>
      </c>
      <c r="B4" t="inlineStr">
        <is>
          <t>avverkningsanmälan</t>
        </is>
      </c>
      <c r="C4" t="inlineStr">
        <is>
          <t>Föryngringsavverkning</t>
        </is>
      </c>
      <c r="D4" s="1" t="n">
        <v>45568</v>
      </c>
      <c r="E4" s="1" t="n">
        <v>46313</v>
      </c>
      <c r="F4" t="inlineStr">
        <is>
          <t>SÖDERMANLANDS LÄN</t>
        </is>
      </c>
      <c r="G4" t="inlineStr">
        <is>
          <t>GNESTA</t>
        </is>
      </c>
      <c r="H4" t="inlineStr">
        <is>
          <t>Holmen skog AB</t>
        </is>
      </c>
      <c r="I4" t="n">
        <v>11.4</v>
      </c>
      <c r="J4" t="n">
        <v>1</v>
      </c>
      <c r="K4" t="n">
        <v>5</v>
      </c>
      <c r="L4" t="n">
        <v>17</v>
      </c>
      <c r="M4" t="n">
        <v>6</v>
      </c>
      <c r="N4" t="n">
        <v>0</v>
      </c>
      <c r="O4" t="n">
        <v>0</v>
      </c>
      <c r="P4" t="n">
        <v>0</v>
      </c>
      <c r="Q4" t="n">
        <v>23</v>
      </c>
      <c r="R4" t="n">
        <v>6</v>
      </c>
      <c r="S4" t="n">
        <v>30</v>
      </c>
      <c r="T4" t="n">
        <v>207</v>
      </c>
      <c r="U4" t="n">
        <v>207</v>
      </c>
      <c r="V4" s="2" t="inlineStr">
        <is>
          <t>Garnlav
Liten hornflikmossa
Rotfingersvamp
Skrovlig taggsvamp
Tallgråticka
Ulltickeporing
Blå taggsvamp
Dropptaggsvamp
Dvärgbägarlav
Gropticka
Kandelabersvamp
Kolflarnlav
Motaggsvamp
Orange taggsvamp
Rosenticka
Skarp dropptaggsvamp
Svartvit taggsvamp
Tallfingersvamp
Tallriska
Tallticka
Ullticka
Vedskivlav
Vedtrappmossa
Björksplintborre
Blomkålssvamp
Grovticka
Mindre märgborre
Trådticka
Spillkråka
Svart taggsvamp agg.</t>
        </is>
      </c>
      <c r="W4">
        <f>HYPERLINK("https://klasma.github.io/Logging_0461/artfynd/A 43282-2024 artfynd.xlsx", "A 43282-2024")</f>
        <v/>
      </c>
      <c r="X4">
        <f>HYPERLINK("https://klasma.github.io/Logging_0461/kartor/A 43282-2024 karta.png", "A 43282-2024")</f>
        <v/>
      </c>
      <c r="Y4">
        <f>HYPERLINK("https://klasma.github.io/Logging_0461/kartor_geotiff/A 43282-2024 georefererad karta.tif", "A 43282-2024")</f>
        <v/>
      </c>
      <c r="AA4">
        <f>HYPERLINK("https://klasma.github.io/Logging_0461/klagomål/A 43282-2024 FSC-klagomål.docx", "A 43282-2024")</f>
        <v/>
      </c>
      <c r="AB4">
        <f>HYPERLINK("https://klasma.github.io/Logging_0461/klagomålsmail/A 43282-2024 FSC-klagomål mail.docx", "A 43282-2024")</f>
        <v/>
      </c>
      <c r="AC4">
        <f>HYPERLINK("https://klasma.github.io/Logging_0461/tillsyn/A 43282-2024 tillsynsbegäran.docx", "A 43282-2024")</f>
        <v/>
      </c>
      <c r="AD4">
        <f>HYPERLINK("https://klasma.github.io/Logging_0461/tillsynsmail/A 43282-2024 tillsynsbegäran mail.docx", "A 43282-2024")</f>
        <v/>
      </c>
      <c r="AE4">
        <f>HYPERLINK("https://klasma.github.io/Logging_0461/fåglar/A 43282-2024 prioriterade fågelarter.docx", "A 43282-2024")</f>
        <v/>
      </c>
    </row>
    <row r="5" ht="15" customHeight="1">
      <c r="A5" t="inlineStr">
        <is>
          <t>A 3784-2025</t>
        </is>
      </c>
      <c r="B5" t="inlineStr">
        <is>
          <t>avverkningsanmälan</t>
        </is>
      </c>
      <c r="C5" t="inlineStr">
        <is>
          <t>Föryngringsavverkning</t>
        </is>
      </c>
      <c r="D5" s="1" t="n">
        <v>45681</v>
      </c>
      <c r="E5" s="1" t="n">
        <v>46313</v>
      </c>
      <c r="F5" t="inlineStr">
        <is>
          <t>SÖDERMANLANDS LÄN</t>
        </is>
      </c>
      <c r="G5" t="inlineStr">
        <is>
          <t>STRÄNGNÄS</t>
        </is>
      </c>
      <c r="I5" t="n">
        <v>6.8</v>
      </c>
      <c r="J5" t="n">
        <v>21</v>
      </c>
      <c r="K5" t="n">
        <v>0</v>
      </c>
      <c r="L5" t="n">
        <v>9</v>
      </c>
      <c r="M5" t="n">
        <v>4</v>
      </c>
      <c r="N5" t="n">
        <v>0</v>
      </c>
      <c r="O5" t="n">
        <v>0</v>
      </c>
      <c r="P5" t="n">
        <v>0</v>
      </c>
      <c r="Q5" t="n">
        <v>13</v>
      </c>
      <c r="R5" t="n">
        <v>4</v>
      </c>
      <c r="S5" t="n">
        <v>21</v>
      </c>
      <c r="T5" t="n">
        <v>21</v>
      </c>
      <c r="U5" t="n">
        <v>0</v>
      </c>
      <c r="V5" s="2" t="inlineStr">
        <is>
          <t>Grönfink
Stare
Tofsvipa
Tornseglare
Björktrast
Entita
Gulsparv
Ladusvala
Mindre hackspett
Rödvingetrast
Rörsångare
Skrattmås
Sädesärla
Fiskgjuse
Gröngöling
Grönsiska
Havsörn
Kråka
Kungsfågel
Näktergal
Svartvit flugsnappare</t>
        </is>
      </c>
      <c r="W5">
        <f>HYPERLINK("https://klasma.github.io/Logging_0486/artfynd/A 3784-2025 artfynd.xlsx", "A 3784-2025")</f>
        <v/>
      </c>
      <c r="X5">
        <f>HYPERLINK("https://klasma.github.io/Logging_0486/kartor/A 3784-2025 karta.png", "A 3784-2025")</f>
        <v/>
      </c>
      <c r="Y5">
        <f>HYPERLINK("https://klasma.github.io/Logging_0486/kartor_geotiff/A 3784-2025 georefererad karta.tif", "A 3784-2025")</f>
        <v/>
      </c>
      <c r="AA5">
        <f>HYPERLINK("https://klasma.github.io/Logging_0486/klagomål/A 3784-2025 FSC-klagomål.docx", "A 3784-2025")</f>
        <v/>
      </c>
      <c r="AB5">
        <f>HYPERLINK("https://klasma.github.io/Logging_0486/klagomålsmail/A 3784-2025 FSC-klagomål mail.docx", "A 3784-2025")</f>
        <v/>
      </c>
      <c r="AC5">
        <f>HYPERLINK("https://klasma.github.io/Logging_0486/tillsyn/A 3784-2025 tillsynsbegäran.docx", "A 3784-2025")</f>
        <v/>
      </c>
      <c r="AD5">
        <f>HYPERLINK("https://klasma.github.io/Logging_0486/tillsynsmail/A 3784-2025 tillsynsbegäran mail.docx", "A 3784-2025")</f>
        <v/>
      </c>
      <c r="AE5">
        <f>HYPERLINK("https://klasma.github.io/Logging_0486/fåglar/A 3784-2025 prioriterade fågelarter.docx", "A 3784-2025")</f>
        <v/>
      </c>
    </row>
    <row r="6" ht="15" customHeight="1">
      <c r="A6" t="inlineStr">
        <is>
          <t>S 1546-2022</t>
        </is>
      </c>
      <c r="B6" t="inlineStr">
        <is>
          <t>samrådsanmälan</t>
        </is>
      </c>
      <c r="C6" t="inlineStr">
        <is>
          <t>Annan skogsbruksåtgärd</t>
        </is>
      </c>
      <c r="D6" s="1" t="n">
        <v>44642</v>
      </c>
      <c r="E6" s="1" t="n">
        <v>46313</v>
      </c>
      <c r="F6" t="inlineStr">
        <is>
          <t>SÖDERMANLANDS LÄN</t>
        </is>
      </c>
      <c r="G6" t="inlineStr">
        <is>
          <t>KATRINEHOLM</t>
        </is>
      </c>
      <c r="I6" t="n">
        <v>6.8</v>
      </c>
      <c r="J6" t="n">
        <v>5</v>
      </c>
      <c r="K6" t="n">
        <v>13</v>
      </c>
      <c r="L6" t="n">
        <v>2</v>
      </c>
      <c r="M6" t="n">
        <v>1</v>
      </c>
      <c r="N6" t="n">
        <v>1</v>
      </c>
      <c r="O6" t="n">
        <v>0</v>
      </c>
      <c r="P6" t="n">
        <v>0</v>
      </c>
      <c r="Q6" t="n">
        <v>4</v>
      </c>
      <c r="R6" t="n">
        <v>2</v>
      </c>
      <c r="S6" t="n">
        <v>20</v>
      </c>
      <c r="T6" t="n">
        <v>38</v>
      </c>
      <c r="U6" t="n">
        <v>6</v>
      </c>
      <c r="V6" s="2" t="inlineStr">
        <is>
          <t>Ask
Gråtrut
Entita
Svart askbastborre
Barkticka
Björksplintborre
Fällmossa
Hasselticka
Igelkottsröksvamp
Jättesvampmal
Platt fjädermossa
Stekelbock
Stenporella
Stor aspticka
Svart trolldruva
Tibast
Trubbfjädermossa
Blåsippa
Gröngöling
Kungsfågel</t>
        </is>
      </c>
      <c r="W6">
        <f>HYPERLINK("https://klasma.github.io/Logging_0483/artfynd/S 1546-2022 artfynd.xlsx", "S 1546-2022")</f>
        <v/>
      </c>
      <c r="X6">
        <f>HYPERLINK("https://klasma.github.io/Logging_0483/kartor/S 1546-2022 karta.png", "S 1546-2022")</f>
        <v/>
      </c>
      <c r="Y6">
        <f>HYPERLINK("https://klasma.github.io/Logging_0483/kartor_geotiff/S 1546-2022 georefererad karta.tif", "S 1546-2022")</f>
        <v/>
      </c>
      <c r="AA6">
        <f>HYPERLINK("https://klasma.github.io/Logging_0483/klagomål/S 1546-2022 FSC-klagomål.docx", "S 1546-2022")</f>
        <v/>
      </c>
      <c r="AB6">
        <f>HYPERLINK("https://klasma.github.io/Logging_0483/klagomålsmail/S 1546-2022 FSC-klagomål mail.docx", "S 1546-2022")</f>
        <v/>
      </c>
      <c r="AC6">
        <f>HYPERLINK("https://klasma.github.io/Logging_0483/tillsyn/S 1546-2022 tillsynsbegäran.docx", "S 1546-2022")</f>
        <v/>
      </c>
      <c r="AD6">
        <f>HYPERLINK("https://klasma.github.io/Logging_0483/tillsynsmail/S 1546-2022 tillsynsbegäran mail.docx", "S 1546-2022")</f>
        <v/>
      </c>
      <c r="AE6">
        <f>HYPERLINK("https://klasma.github.io/Logging_0483/fåglar/S 1546-2022 prioriterade fågelarter.docx", "S 1546-2022")</f>
        <v/>
      </c>
    </row>
    <row r="7" ht="15" customHeight="1">
      <c r="A7" t="inlineStr">
        <is>
          <t>A 28433-2024</t>
        </is>
      </c>
      <c r="B7" t="inlineStr">
        <is>
          <t>avverkningsanmälan</t>
        </is>
      </c>
      <c r="C7" t="inlineStr">
        <is>
          <t>Föryngringsavverkning</t>
        </is>
      </c>
      <c r="D7" s="1" t="n">
        <v>45477</v>
      </c>
      <c r="E7" s="1" t="n">
        <v>46313</v>
      </c>
      <c r="F7" t="inlineStr">
        <is>
          <t>SÖDERMANLANDS LÄN</t>
        </is>
      </c>
      <c r="G7" t="inlineStr">
        <is>
          <t>FLEN</t>
        </is>
      </c>
      <c r="H7" t="inlineStr">
        <is>
          <t>Kyrkan</t>
        </is>
      </c>
      <c r="I7" t="n">
        <v>10.7</v>
      </c>
      <c r="J7" t="n">
        <v>3</v>
      </c>
      <c r="K7" t="n">
        <v>7</v>
      </c>
      <c r="L7" t="n">
        <v>9</v>
      </c>
      <c r="M7" t="n">
        <v>2</v>
      </c>
      <c r="N7" t="n">
        <v>0</v>
      </c>
      <c r="O7" t="n">
        <v>0</v>
      </c>
      <c r="P7" t="n">
        <v>0</v>
      </c>
      <c r="Q7" t="n">
        <v>11</v>
      </c>
      <c r="R7" t="n">
        <v>2</v>
      </c>
      <c r="S7" t="n">
        <v>19</v>
      </c>
      <c r="T7" t="n">
        <v>33</v>
      </c>
      <c r="U7" t="n">
        <v>33</v>
      </c>
      <c r="V7" s="2" t="inlineStr">
        <is>
          <t>Igelkott
Ostticka
Dropptaggsvamp
Fyrflikig jordstjärna
Motaggsvamp
Rynkskinn
Skogshare
Svinrot
Såpfingersvamp
Talltita
Ullticka
Blåmossa
Brandticka
Bronshjon
Grön sköldmossa
Grönpyrola
Kamjordstjärna
Mindre märgborre
Spillkråka</t>
        </is>
      </c>
      <c r="W7">
        <f>HYPERLINK("https://klasma.github.io/Logging_0482/artfynd/A 28433-2024 artfynd.xlsx", "A 28433-2024")</f>
        <v/>
      </c>
      <c r="X7">
        <f>HYPERLINK("https://klasma.github.io/Logging_0482/kartor/A 28433-2024 karta.png", "A 28433-2024")</f>
        <v/>
      </c>
      <c r="Y7">
        <f>HYPERLINK("https://klasma.github.io/Logging_0482/kartor_geotiff/A 28433-2024 georefererad karta.tif", "A 28433-2024")</f>
        <v/>
      </c>
      <c r="AA7">
        <f>HYPERLINK("https://klasma.github.io/Logging_0482/klagomål/A 28433-2024 FSC-klagomål.docx", "A 28433-2024")</f>
        <v/>
      </c>
      <c r="AB7">
        <f>HYPERLINK("https://klasma.github.io/Logging_0482/klagomålsmail/A 28433-2024 FSC-klagomål mail.docx", "A 28433-2024")</f>
        <v/>
      </c>
      <c r="AC7">
        <f>HYPERLINK("https://klasma.github.io/Logging_0482/tillsyn/A 28433-2024 tillsynsbegäran.docx", "A 28433-2024")</f>
        <v/>
      </c>
      <c r="AD7">
        <f>HYPERLINK("https://klasma.github.io/Logging_0482/tillsynsmail/A 28433-2024 tillsynsbegäran mail.docx", "A 28433-2024")</f>
        <v/>
      </c>
      <c r="AE7">
        <f>HYPERLINK("https://klasma.github.io/Logging_0482/fåglar/A 28433-2024 prioriterade fågelarter.docx", "A 28433-2024")</f>
        <v/>
      </c>
    </row>
    <row r="8" ht="15" customHeight="1">
      <c r="A8" t="inlineStr">
        <is>
          <t>A 9237-2023</t>
        </is>
      </c>
      <c r="B8" t="inlineStr">
        <is>
          <t>avverkningsanmälan</t>
        </is>
      </c>
      <c r="C8" t="inlineStr">
        <is>
          <t>Föryngringsavverkning</t>
        </is>
      </c>
      <c r="D8" s="1" t="n">
        <v>44980</v>
      </c>
      <c r="E8" s="1" t="n">
        <v>46313</v>
      </c>
      <c r="F8" t="inlineStr">
        <is>
          <t>SÖDERMANLANDS LÄN</t>
        </is>
      </c>
      <c r="G8" t="inlineStr">
        <is>
          <t>STRÄNGNÄS</t>
        </is>
      </c>
      <c r="I8" t="n">
        <v>1</v>
      </c>
      <c r="J8" t="n">
        <v>18</v>
      </c>
      <c r="K8" t="n">
        <v>0</v>
      </c>
      <c r="L8" t="n">
        <v>3</v>
      </c>
      <c r="M8" t="n">
        <v>3</v>
      </c>
      <c r="N8" t="n">
        <v>1</v>
      </c>
      <c r="O8" t="n">
        <v>0</v>
      </c>
      <c r="P8" t="n">
        <v>0</v>
      </c>
      <c r="Q8" t="n">
        <v>7</v>
      </c>
      <c r="R8" t="n">
        <v>4</v>
      </c>
      <c r="S8" t="n">
        <v>18</v>
      </c>
      <c r="T8" t="n">
        <v>18</v>
      </c>
      <c r="U8" t="n">
        <v>18</v>
      </c>
      <c r="V8" s="2" t="inlineStr">
        <is>
          <t>Havstrut
Gråtrut
Grönfink
Tofsvipa
Entita
Gulsparv
Skrattmås
Spillkråka
Gröngöling
Grönsiska
Havsörn
Kråka
Salskrake
Skogsduva
Sävsparv
Sångsvan
Trana
Trädlärka</t>
        </is>
      </c>
      <c r="W8">
        <f>HYPERLINK("https://klasma.github.io/Logging_0486/artfynd/A 9237-2023 artfynd.xlsx", "A 9237-2023")</f>
        <v/>
      </c>
      <c r="X8">
        <f>HYPERLINK("https://klasma.github.io/Logging_0486/kartor/A 9237-2023 karta.png", "A 9237-2023")</f>
        <v/>
      </c>
      <c r="Y8">
        <f>HYPERLINK("https://klasma.github.io/Logging_0486/kartor_geotiff/A 9237-2023 georefererad karta.tif", "A 9237-2023")</f>
        <v/>
      </c>
      <c r="AA8">
        <f>HYPERLINK("https://klasma.github.io/Logging_0486/klagomål/A 9237-2023 FSC-klagomål.docx", "A 9237-2023")</f>
        <v/>
      </c>
      <c r="AB8">
        <f>HYPERLINK("https://klasma.github.io/Logging_0486/klagomålsmail/A 9237-2023 FSC-klagomål mail.docx", "A 9237-2023")</f>
        <v/>
      </c>
      <c r="AC8">
        <f>HYPERLINK("https://klasma.github.io/Logging_0486/tillsyn/A 9237-2023 tillsynsbegäran.docx", "A 9237-2023")</f>
        <v/>
      </c>
      <c r="AD8">
        <f>HYPERLINK("https://klasma.github.io/Logging_0486/tillsynsmail/A 9237-2023 tillsynsbegäran mail.docx", "A 9237-2023")</f>
        <v/>
      </c>
      <c r="AE8">
        <f>HYPERLINK("https://klasma.github.io/Logging_0486/fåglar/A 9237-2023 prioriterade fågelarter.docx", "A 9237-2023")</f>
        <v/>
      </c>
    </row>
    <row r="9" ht="15" customHeight="1">
      <c r="A9" t="inlineStr">
        <is>
          <t>A 4724-2024</t>
        </is>
      </c>
      <c r="B9" t="inlineStr">
        <is>
          <t>avverkningsanmälan</t>
        </is>
      </c>
      <c r="C9" t="inlineStr">
        <is>
          <t>Föryngringsavverkning</t>
        </is>
      </c>
      <c r="D9" s="1" t="n">
        <v>45328</v>
      </c>
      <c r="E9" s="1" t="n">
        <v>46313</v>
      </c>
      <c r="F9" t="inlineStr">
        <is>
          <t>SÖDERMANLANDS LÄN</t>
        </is>
      </c>
      <c r="G9" t="inlineStr">
        <is>
          <t>FLEN</t>
        </is>
      </c>
      <c r="I9" t="n">
        <v>2.2</v>
      </c>
      <c r="J9" t="n">
        <v>17</v>
      </c>
      <c r="K9" t="n">
        <v>0</v>
      </c>
      <c r="L9" t="n">
        <v>4</v>
      </c>
      <c r="M9" t="n">
        <v>4</v>
      </c>
      <c r="N9" t="n">
        <v>0</v>
      </c>
      <c r="O9" t="n">
        <v>0</v>
      </c>
      <c r="P9" t="n">
        <v>0</v>
      </c>
      <c r="Q9" t="n">
        <v>8</v>
      </c>
      <c r="R9" t="n">
        <v>4</v>
      </c>
      <c r="S9" t="n">
        <v>18</v>
      </c>
      <c r="T9" t="n">
        <v>26</v>
      </c>
      <c r="U9" t="n">
        <v>24</v>
      </c>
      <c r="V9" s="2" t="inlineStr">
        <is>
          <t>Grönfink
Igelkott
Stare
Tornseglare
Entita
Gulsparv
Sädesärla
Talltita
Bergfink
Gröngöling
Grönsiska
Kråka
Röd glada
Svartvit flugsnappare
Trana
Trädlärka
Törnskata
Ärtsångare</t>
        </is>
      </c>
      <c r="W9">
        <f>HYPERLINK("https://klasma.github.io/Logging_0482/artfynd/A 4724-2024 artfynd.xlsx", "A 4724-2024")</f>
        <v/>
      </c>
      <c r="X9">
        <f>HYPERLINK("https://klasma.github.io/Logging_0482/kartor/A 4724-2024 karta.png", "A 4724-2024")</f>
        <v/>
      </c>
      <c r="Y9">
        <f>HYPERLINK("https://klasma.github.io/Logging_0482/kartor_geotiff/A 4724-2024 georefererad karta.tif", "A 4724-2024")</f>
        <v/>
      </c>
      <c r="AA9">
        <f>HYPERLINK("https://klasma.github.io/Logging_0482/klagomål/A 4724-2024 FSC-klagomål.docx", "A 4724-2024")</f>
        <v/>
      </c>
      <c r="AB9">
        <f>HYPERLINK("https://klasma.github.io/Logging_0482/klagomålsmail/A 4724-2024 FSC-klagomål mail.docx", "A 4724-2024")</f>
        <v/>
      </c>
      <c r="AC9">
        <f>HYPERLINK("https://klasma.github.io/Logging_0482/tillsyn/A 4724-2024 tillsynsbegäran.docx", "A 4724-2024")</f>
        <v/>
      </c>
      <c r="AD9">
        <f>HYPERLINK("https://klasma.github.io/Logging_0482/tillsynsmail/A 4724-2024 tillsynsbegäran mail.docx", "A 4724-2024")</f>
        <v/>
      </c>
      <c r="AE9">
        <f>HYPERLINK("https://klasma.github.io/Logging_0482/fåglar/A 4724-2024 prioriterade fågelarter.docx", "A 4724-2024")</f>
        <v/>
      </c>
    </row>
    <row r="10" ht="15" customHeight="1">
      <c r="A10" t="inlineStr">
        <is>
          <t>A 15285-2022</t>
        </is>
      </c>
      <c r="B10" t="inlineStr">
        <is>
          <t>avverkningsanmälan</t>
        </is>
      </c>
      <c r="C10" t="inlineStr">
        <is>
          <t>Föryngringsavverkning</t>
        </is>
      </c>
      <c r="D10" s="1" t="n">
        <v>44659</v>
      </c>
      <c r="E10" s="1" t="n">
        <v>46313</v>
      </c>
      <c r="F10" t="inlineStr">
        <is>
          <t>SÖDERMANLANDS LÄN</t>
        </is>
      </c>
      <c r="G10" t="inlineStr">
        <is>
          <t>GNESTA</t>
        </is>
      </c>
      <c r="I10" t="n">
        <v>26</v>
      </c>
      <c r="J10" t="n">
        <v>2</v>
      </c>
      <c r="K10" t="n">
        <v>8</v>
      </c>
      <c r="L10" t="n">
        <v>10</v>
      </c>
      <c r="M10" t="n">
        <v>0</v>
      </c>
      <c r="N10" t="n">
        <v>0</v>
      </c>
      <c r="O10" t="n">
        <v>0</v>
      </c>
      <c r="P10" t="n">
        <v>0</v>
      </c>
      <c r="Q10" t="n">
        <v>10</v>
      </c>
      <c r="R10" t="n">
        <v>0</v>
      </c>
      <c r="S10" t="n">
        <v>18</v>
      </c>
      <c r="T10" t="n">
        <v>23</v>
      </c>
      <c r="U10" t="n">
        <v>1</v>
      </c>
      <c r="V10" s="2" t="inlineStr">
        <is>
          <t>Dofttaggsvamp
Gropticka
Kandelabersvamp
Kötticka
Motaggsvamp
Platt spretmossa
Skarp dropptaggsvamp
Tallticka
Talltita
Ullticka
Blomkålssvamp
Bronshjon
Grön sköldmossa
Kornknutmossa
Mandelriska
Svavelriska
Trådticka
Vågbandad barkbock</t>
        </is>
      </c>
      <c r="W10">
        <f>HYPERLINK("https://klasma.github.io/Logging_0461/artfynd/A 15285-2022 artfynd.xlsx", "A 15285-2022")</f>
        <v/>
      </c>
      <c r="X10">
        <f>HYPERLINK("https://klasma.github.io/Logging_0461/kartor/A 15285-2022 karta.png", "A 15285-2022")</f>
        <v/>
      </c>
      <c r="Y10">
        <f>HYPERLINK("https://klasma.github.io/Logging_0461/kartor_geotiff/A 15285-2022 georefererad karta.tif", "A 15285-2022")</f>
        <v/>
      </c>
      <c r="AA10">
        <f>HYPERLINK("https://klasma.github.io/Logging_0461/klagomål/A 15285-2022 FSC-klagomål.docx", "A 15285-2022")</f>
        <v/>
      </c>
      <c r="AB10">
        <f>HYPERLINK("https://klasma.github.io/Logging_0461/klagomålsmail/A 15285-2022 FSC-klagomål mail.docx", "A 15285-2022")</f>
        <v/>
      </c>
      <c r="AC10">
        <f>HYPERLINK("https://klasma.github.io/Logging_0461/tillsyn/A 15285-2022 tillsynsbegäran.docx", "A 15285-2022")</f>
        <v/>
      </c>
      <c r="AD10">
        <f>HYPERLINK("https://klasma.github.io/Logging_0461/tillsynsmail/A 15285-2022 tillsynsbegäran mail.docx", "A 15285-2022")</f>
        <v/>
      </c>
      <c r="AE10">
        <f>HYPERLINK("https://klasma.github.io/Logging_0461/fåglar/A 15285-2022 prioriterade fågelarter.docx", "A 15285-2022")</f>
        <v/>
      </c>
    </row>
    <row r="11" ht="15" customHeight="1">
      <c r="A11" t="inlineStr">
        <is>
          <t>A 29975-2024</t>
        </is>
      </c>
      <c r="B11" t="inlineStr">
        <is>
          <t>avverkningsanmälan</t>
        </is>
      </c>
      <c r="C11" t="inlineStr">
        <is>
          <t>Föryngringsavverkning</t>
        </is>
      </c>
      <c r="D11" s="1" t="n">
        <v>45488</v>
      </c>
      <c r="E11" s="1" t="n">
        <v>46313</v>
      </c>
      <c r="F11" t="inlineStr">
        <is>
          <t>SÖDERMANLANDS LÄN</t>
        </is>
      </c>
      <c r="G11" t="inlineStr">
        <is>
          <t>GNESTA</t>
        </is>
      </c>
      <c r="I11" t="n">
        <v>6.7</v>
      </c>
      <c r="J11" t="n">
        <v>7</v>
      </c>
      <c r="K11" t="n">
        <v>0</v>
      </c>
      <c r="L11" t="n">
        <v>7</v>
      </c>
      <c r="M11" t="n">
        <v>1</v>
      </c>
      <c r="N11" t="n">
        <v>1</v>
      </c>
      <c r="O11" t="n">
        <v>0</v>
      </c>
      <c r="P11" t="n">
        <v>0</v>
      </c>
      <c r="Q11" t="n">
        <v>9</v>
      </c>
      <c r="R11" t="n">
        <v>2</v>
      </c>
      <c r="S11" t="n">
        <v>17</v>
      </c>
      <c r="T11" t="n">
        <v>20</v>
      </c>
      <c r="U11" t="n">
        <v>8</v>
      </c>
      <c r="V11" s="2" t="inlineStr">
        <is>
          <t>Ask
Tofsvipa
Gullklöver
Gulsparv
Jungfrulin
Klasefibbla
Skrattmås
Svinrot
Vanlig backsmörblomma
Blåbär
Blåsippa
Sälg
Vitsippa
Ängskovall
Gröngöling
Vanlig snok
Gullviva</t>
        </is>
      </c>
      <c r="W11">
        <f>HYPERLINK("https://klasma.github.io/Logging_0461/artfynd/A 29975-2024 artfynd.xlsx", "A 29975-2024")</f>
        <v/>
      </c>
      <c r="X11">
        <f>HYPERLINK("https://klasma.github.io/Logging_0461/kartor/A 29975-2024 karta.png", "A 29975-2024")</f>
        <v/>
      </c>
      <c r="Y11">
        <f>HYPERLINK("https://klasma.github.io/Logging_0461/kartor_geotiff/A 29975-2024 georefererad karta.tif", "A 29975-2024")</f>
        <v/>
      </c>
      <c r="AA11">
        <f>HYPERLINK("https://klasma.github.io/Logging_0461/klagomål/A 29975-2024 FSC-klagomål.docx", "A 29975-2024")</f>
        <v/>
      </c>
      <c r="AB11">
        <f>HYPERLINK("https://klasma.github.io/Logging_0461/klagomålsmail/A 29975-2024 FSC-klagomål mail.docx", "A 29975-2024")</f>
        <v/>
      </c>
      <c r="AC11">
        <f>HYPERLINK("https://klasma.github.io/Logging_0461/tillsyn/A 29975-2024 tillsynsbegäran.docx", "A 29975-2024")</f>
        <v/>
      </c>
      <c r="AD11">
        <f>HYPERLINK("https://klasma.github.io/Logging_0461/tillsynsmail/A 29975-2024 tillsynsbegäran mail.docx", "A 29975-2024")</f>
        <v/>
      </c>
      <c r="AE11">
        <f>HYPERLINK("https://klasma.github.io/Logging_0461/fåglar/A 29975-2024 prioriterade fågelarter.docx", "A 29975-2024")</f>
        <v/>
      </c>
    </row>
    <row r="12" ht="15" customHeight="1">
      <c r="A12" t="inlineStr">
        <is>
          <t>A 62575-2021</t>
        </is>
      </c>
      <c r="B12" t="inlineStr">
        <is>
          <t>avverkningsanmälan</t>
        </is>
      </c>
      <c r="C12" t="inlineStr">
        <is>
          <t>Föryngringsavverkning</t>
        </is>
      </c>
      <c r="D12" s="1" t="n">
        <v>44503</v>
      </c>
      <c r="E12" s="1" t="n">
        <v>46313</v>
      </c>
      <c r="F12" t="inlineStr">
        <is>
          <t>SÖDERMANLANDS LÄN</t>
        </is>
      </c>
      <c r="G12" t="inlineStr">
        <is>
          <t>ESKILSTUNA</t>
        </is>
      </c>
      <c r="I12" t="n">
        <v>13.1</v>
      </c>
      <c r="J12" t="n">
        <v>17</v>
      </c>
      <c r="K12" t="n">
        <v>0</v>
      </c>
      <c r="L12" t="n">
        <v>9</v>
      </c>
      <c r="M12" t="n">
        <v>2</v>
      </c>
      <c r="N12" t="n">
        <v>1</v>
      </c>
      <c r="O12" t="n">
        <v>0</v>
      </c>
      <c r="P12" t="n">
        <v>0</v>
      </c>
      <c r="Q12" t="n">
        <v>12</v>
      </c>
      <c r="R12" t="n">
        <v>3</v>
      </c>
      <c r="S12" t="n">
        <v>17</v>
      </c>
      <c r="T12" t="n">
        <v>17</v>
      </c>
      <c r="U12" t="n">
        <v>1</v>
      </c>
      <c r="V12" s="2" t="inlineStr">
        <is>
          <t>Storspov
Blå kärrhök
Tofsvipa
Duvhök
Enkelbeckasin
Gulsparv
Göktyta
Järnsparv
Mindre hackspett
Nötkråka
Sparvuggla
Talltita
Järpe
Kråka
Sävsparv
Sångsvan
Trana</t>
        </is>
      </c>
      <c r="W12">
        <f>HYPERLINK("https://klasma.github.io/Logging_0484/artfynd/A 62575-2021 artfynd.xlsx", "A 62575-2021")</f>
        <v/>
      </c>
      <c r="X12">
        <f>HYPERLINK("https://klasma.github.io/Logging_0484/kartor/A 62575-2021 karta.png", "A 62575-2021")</f>
        <v/>
      </c>
      <c r="Y12">
        <f>HYPERLINK("https://klasma.github.io/Logging_0484/kartor_geotiff/A 62575-2021 georefererad karta.tif", "A 62575-2021")</f>
        <v/>
      </c>
      <c r="AA12">
        <f>HYPERLINK("https://klasma.github.io/Logging_0484/klagomål/A 62575-2021 FSC-klagomål.docx", "A 62575-2021")</f>
        <v/>
      </c>
      <c r="AB12">
        <f>HYPERLINK("https://klasma.github.io/Logging_0484/klagomålsmail/A 62575-2021 FSC-klagomål mail.docx", "A 62575-2021")</f>
        <v/>
      </c>
      <c r="AC12">
        <f>HYPERLINK("https://klasma.github.io/Logging_0484/tillsyn/A 62575-2021 tillsynsbegäran.docx", "A 62575-2021")</f>
        <v/>
      </c>
      <c r="AD12">
        <f>HYPERLINK("https://klasma.github.io/Logging_0484/tillsynsmail/A 62575-2021 tillsynsbegäran mail.docx", "A 62575-2021")</f>
        <v/>
      </c>
      <c r="AE12">
        <f>HYPERLINK("https://klasma.github.io/Logging_0484/fåglar/A 62575-2021 prioriterade fågelarter.docx", "A 62575-2021")</f>
        <v/>
      </c>
    </row>
    <row r="13" ht="15" customHeight="1">
      <c r="A13" t="inlineStr">
        <is>
          <t>A 54631-2022</t>
        </is>
      </c>
      <c r="B13" t="inlineStr">
        <is>
          <t>avverkningsanmälan</t>
        </is>
      </c>
      <c r="C13" t="inlineStr">
        <is>
          <t>Föryngringsavverkning</t>
        </is>
      </c>
      <c r="D13" s="1" t="n">
        <v>44883</v>
      </c>
      <c r="E13" s="1" t="n">
        <v>46313</v>
      </c>
      <c r="F13" t="inlineStr">
        <is>
          <t>SÖDERMANLANDS LÄN</t>
        </is>
      </c>
      <c r="G13" t="inlineStr">
        <is>
          <t>FLEN</t>
        </is>
      </c>
      <c r="I13" t="n">
        <v>3.9</v>
      </c>
      <c r="J13" t="n">
        <v>4</v>
      </c>
      <c r="K13" t="n">
        <v>8</v>
      </c>
      <c r="L13" t="n">
        <v>3</v>
      </c>
      <c r="M13" t="n">
        <v>2</v>
      </c>
      <c r="N13" t="n">
        <v>1</v>
      </c>
      <c r="O13" t="n">
        <v>0</v>
      </c>
      <c r="P13" t="n">
        <v>0</v>
      </c>
      <c r="Q13" t="n">
        <v>6</v>
      </c>
      <c r="R13" t="n">
        <v>3</v>
      </c>
      <c r="S13" t="n">
        <v>16</v>
      </c>
      <c r="T13" t="n">
        <v>65</v>
      </c>
      <c r="U13" t="n">
        <v>16</v>
      </c>
      <c r="V13" s="2" t="inlineStr">
        <is>
          <t>Bombmurkla
Grangråticka
Kopparspindling
Fjällig taggsvamp s.str.
Fyrflikig jordstjärna
Skarp dropptaggsvamp
Brandticka
Flagellkvastmossa
Grön sköldmossa
Guldkremla
Kamjordstjärna
Rävticka
Västlig hakmossa
Zontaggsvamp
Blåsippa
Åkergroda</t>
        </is>
      </c>
      <c r="W13">
        <f>HYPERLINK("https://klasma.github.io/Logging_0482/artfynd/A 54631-2022 artfynd.xlsx", "A 54631-2022")</f>
        <v/>
      </c>
      <c r="X13">
        <f>HYPERLINK("https://klasma.github.io/Logging_0482/kartor/A 54631-2022 karta.png", "A 54631-2022")</f>
        <v/>
      </c>
      <c r="Y13">
        <f>HYPERLINK("https://klasma.github.io/Logging_0482/kartor_geotiff/A 54631-2022 georefererad karta.tif", "A 54631-2022")</f>
        <v/>
      </c>
      <c r="AA13">
        <f>HYPERLINK("https://klasma.github.io/Logging_0482/klagomål/A 54631-2022 FSC-klagomål.docx", "A 54631-2022")</f>
        <v/>
      </c>
      <c r="AB13">
        <f>HYPERLINK("https://klasma.github.io/Logging_0482/klagomålsmail/A 54631-2022 FSC-klagomål mail.docx", "A 54631-2022")</f>
        <v/>
      </c>
      <c r="AC13">
        <f>HYPERLINK("https://klasma.github.io/Logging_0482/tillsyn/A 54631-2022 tillsynsbegäran.docx", "A 54631-2022")</f>
        <v/>
      </c>
      <c r="AD13">
        <f>HYPERLINK("https://klasma.github.io/Logging_0482/tillsynsmail/A 54631-2022 tillsynsbegäran mail.docx", "A 54631-2022")</f>
        <v/>
      </c>
    </row>
    <row r="14" ht="15" customHeight="1">
      <c r="A14" t="inlineStr">
        <is>
          <t>A 41222-2025</t>
        </is>
      </c>
      <c r="B14" t="inlineStr">
        <is>
          <t>avverkningsanmälan</t>
        </is>
      </c>
      <c r="C14" t="inlineStr">
        <is>
          <t>Avverkning för annat ändamål</t>
        </is>
      </c>
      <c r="D14" s="1" t="n">
        <v>45898</v>
      </c>
      <c r="E14" s="1" t="n">
        <v>46313</v>
      </c>
      <c r="F14" t="inlineStr">
        <is>
          <t>SÖDERMANLANDS LÄN</t>
        </is>
      </c>
      <c r="G14" t="inlineStr">
        <is>
          <t>STRÄNGNÄS</t>
        </is>
      </c>
      <c r="I14" t="n">
        <v>11.9</v>
      </c>
      <c r="J14" t="n">
        <v>6</v>
      </c>
      <c r="K14" t="n">
        <v>8</v>
      </c>
      <c r="L14" t="n">
        <v>6</v>
      </c>
      <c r="M14" t="n">
        <v>0</v>
      </c>
      <c r="N14" t="n">
        <v>0</v>
      </c>
      <c r="O14" t="n">
        <v>0</v>
      </c>
      <c r="P14" t="n">
        <v>0</v>
      </c>
      <c r="Q14" t="n">
        <v>6</v>
      </c>
      <c r="R14" t="n">
        <v>0</v>
      </c>
      <c r="S14" t="n">
        <v>16</v>
      </c>
      <c r="T14" t="n">
        <v>16</v>
      </c>
      <c r="U14" t="n">
        <v>1</v>
      </c>
      <c r="V14" s="2" t="inlineStr">
        <is>
          <t>Backklöver
Grönsångare
Gulsparv
Rökfingersvamp
Silltrut
Skrattmås
Blodvaxing
Gråvaxing
Gulvaxing
Mindre märgborre
Småvaxing
Toppvaxing
Ängsfingersvamp
Ängsvaxing agg.
Gröngöling
Trana</t>
        </is>
      </c>
      <c r="W14">
        <f>HYPERLINK("https://klasma.github.io/Logging_0486/artfynd/A 41222-2025 artfynd.xlsx", "A 41222-2025")</f>
        <v/>
      </c>
      <c r="X14">
        <f>HYPERLINK("https://klasma.github.io/Logging_0486/kartor/A 41222-2025 karta.png", "A 41222-2025")</f>
        <v/>
      </c>
      <c r="Y14">
        <f>HYPERLINK("https://klasma.github.io/Logging_0486/kartor_geotiff/A 41222-2025 georefererad karta.tif", "A 41222-2025")</f>
        <v/>
      </c>
      <c r="AA14">
        <f>HYPERLINK("https://klasma.github.io/Logging_0486/klagomål/A 41222-2025 FSC-klagomål.docx", "A 41222-2025")</f>
        <v/>
      </c>
      <c r="AB14">
        <f>HYPERLINK("https://klasma.github.io/Logging_0486/klagomålsmail/A 41222-2025 FSC-klagomål mail.docx", "A 41222-2025")</f>
        <v/>
      </c>
      <c r="AC14">
        <f>HYPERLINK("https://klasma.github.io/Logging_0486/tillsyn/A 41222-2025 tillsynsbegäran.docx", "A 41222-2025")</f>
        <v/>
      </c>
      <c r="AD14">
        <f>HYPERLINK("https://klasma.github.io/Logging_0486/tillsynsmail/A 41222-2025 tillsynsbegäran mail.docx", "A 41222-2025")</f>
        <v/>
      </c>
      <c r="AE14">
        <f>HYPERLINK("https://klasma.github.io/Logging_0486/fåglar/A 41222-2025 prioriterade fågelarter.docx", "A 41222-2025")</f>
        <v/>
      </c>
    </row>
    <row r="15" ht="15" customHeight="1">
      <c r="A15" t="inlineStr">
        <is>
          <t>A 32606-2024</t>
        </is>
      </c>
      <c r="B15" t="inlineStr">
        <is>
          <t>avverkningsanmälan</t>
        </is>
      </c>
      <c r="C15" t="inlineStr">
        <is>
          <t>Avverkning för att bevara och utveckla /försöksver</t>
        </is>
      </c>
      <c r="D15" s="1" t="n">
        <v>45513</v>
      </c>
      <c r="E15" s="1" t="n">
        <v>46313</v>
      </c>
      <c r="F15" t="inlineStr">
        <is>
          <t>SÖDERMANLANDS LÄN</t>
        </is>
      </c>
      <c r="G15" t="inlineStr">
        <is>
          <t>FLEN</t>
        </is>
      </c>
      <c r="H15" t="inlineStr">
        <is>
          <t>Kommuner</t>
        </is>
      </c>
      <c r="I15" t="n">
        <v>9.300000000000001</v>
      </c>
      <c r="J15" t="n">
        <v>4</v>
      </c>
      <c r="K15" t="n">
        <v>6</v>
      </c>
      <c r="L15" t="n">
        <v>4</v>
      </c>
      <c r="M15" t="n">
        <v>1</v>
      </c>
      <c r="N15" t="n">
        <v>3</v>
      </c>
      <c r="O15" t="n">
        <v>0</v>
      </c>
      <c r="P15" t="n">
        <v>0</v>
      </c>
      <c r="Q15" t="n">
        <v>8</v>
      </c>
      <c r="R15" t="n">
        <v>4</v>
      </c>
      <c r="S15" t="n">
        <v>16</v>
      </c>
      <c r="T15" t="n">
        <v>43</v>
      </c>
      <c r="U15" t="n">
        <v>0</v>
      </c>
      <c r="V15" s="2" t="inlineStr">
        <is>
          <t>Bombmurkla
Koppartaggsvamp
Raggtaggsvamp
Grangråticka
Fjällig taggsvamp s.str.
Kandelabersvamp
Skarp dropptaggsvamp
Ullticka
Fällmossa
Granbarkgnagare
Grön sköldmossa
Svavelriska
Toppvaxing
Zontaggsvamp
Blåsippa
Spillkråka</t>
        </is>
      </c>
      <c r="W15">
        <f>HYPERLINK("https://klasma.github.io/Logging_0482/artfynd/A 32606-2024 artfynd.xlsx", "A 32606-2024")</f>
        <v/>
      </c>
      <c r="X15">
        <f>HYPERLINK("https://klasma.github.io/Logging_0482/kartor/A 32606-2024 karta.png", "A 32606-2024")</f>
        <v/>
      </c>
      <c r="Y15">
        <f>HYPERLINK("https://klasma.github.io/Logging_0482/kartor_geotiff/A 32606-2024 georefererad karta.tif", "A 32606-2024")</f>
        <v/>
      </c>
      <c r="AA15">
        <f>HYPERLINK("https://klasma.github.io/Logging_0482/klagomål/A 32606-2024 FSC-klagomål.docx", "A 32606-2024")</f>
        <v/>
      </c>
      <c r="AB15">
        <f>HYPERLINK("https://klasma.github.io/Logging_0482/klagomålsmail/A 32606-2024 FSC-klagomål mail.docx", "A 32606-2024")</f>
        <v/>
      </c>
      <c r="AC15">
        <f>HYPERLINK("https://klasma.github.io/Logging_0482/tillsyn/A 32606-2024 tillsynsbegäran.docx", "A 32606-2024")</f>
        <v/>
      </c>
      <c r="AD15">
        <f>HYPERLINK("https://klasma.github.io/Logging_0482/tillsynsmail/A 32606-2024 tillsynsbegäran mail.docx", "A 32606-2024")</f>
        <v/>
      </c>
      <c r="AE15">
        <f>HYPERLINK("https://klasma.github.io/Logging_0482/fåglar/A 32606-2024 prioriterade fågelarter.docx", "A 32606-2024")</f>
        <v/>
      </c>
    </row>
    <row r="16" ht="15" customHeight="1">
      <c r="A16" t="inlineStr">
        <is>
          <t>A 25118-2026</t>
        </is>
      </c>
      <c r="B16" t="inlineStr">
        <is>
          <t>avverkningsanmälan</t>
        </is>
      </c>
      <c r="C16" t="inlineStr">
        <is>
          <t>Föryngringsavverkning</t>
        </is>
      </c>
      <c r="D16" s="1" t="n">
        <v>46175</v>
      </c>
      <c r="E16" s="1" t="n">
        <v>46313</v>
      </c>
      <c r="F16" t="inlineStr">
        <is>
          <t>SÖDERMANLANDS LÄN</t>
        </is>
      </c>
      <c r="G16" t="inlineStr">
        <is>
          <t>FLEN</t>
        </is>
      </c>
      <c r="I16" t="n">
        <v>11.5</v>
      </c>
      <c r="J16" t="n">
        <v>4</v>
      </c>
      <c r="K16" t="n">
        <v>1</v>
      </c>
      <c r="L16" t="n">
        <v>2</v>
      </c>
      <c r="M16" t="n">
        <v>1</v>
      </c>
      <c r="N16" t="n">
        <v>0</v>
      </c>
      <c r="O16" t="n">
        <v>0</v>
      </c>
      <c r="P16" t="n">
        <v>0</v>
      </c>
      <c r="Q16" t="n">
        <v>3</v>
      </c>
      <c r="R16" t="n">
        <v>1</v>
      </c>
      <c r="S16" t="n">
        <v>15</v>
      </c>
      <c r="T16" t="n">
        <v>19</v>
      </c>
      <c r="U16" t="n">
        <v>19</v>
      </c>
      <c r="V16" s="2" t="inlineStr">
        <is>
          <t>Knärot
Talltita
Vedskivlav
Grönpyrola
Blåbär
Ekbräken
Ekorrbär
Hultbräken
Missne
Sälg
Timmerticka
Vitsippa
Ängskovall
Fläcknycklar
Revlummer</t>
        </is>
      </c>
      <c r="W16">
        <f>HYPERLINK("https://klasma.github.io/Logging_0482/artfynd/A 25118-2026 artfynd.xlsx", "A 25118-2026")</f>
        <v/>
      </c>
      <c r="X16">
        <f>HYPERLINK("https://klasma.github.io/Logging_0482/kartor/A 25118-2026 karta.png", "A 25118-2026")</f>
        <v/>
      </c>
      <c r="Y16">
        <f>HYPERLINK("https://klasma.github.io/Logging_0482/kartor_geotiff/A 25118-2026 georefererad karta.tif", "A 25118-2026")</f>
        <v/>
      </c>
      <c r="Z16">
        <f>HYPERLINK("https://klasma.github.io/Logging_0482/knärot/A 25118-2026 karta knärot.png", "A 25118-2026")</f>
        <v/>
      </c>
      <c r="AA16">
        <f>HYPERLINK("https://klasma.github.io/Logging_0482/klagomål/A 25118-2026 FSC-klagomål.docx", "A 25118-2026")</f>
        <v/>
      </c>
      <c r="AB16">
        <f>HYPERLINK("https://klasma.github.io/Logging_0482/klagomålsmail/A 25118-2026 FSC-klagomål mail.docx", "A 25118-2026")</f>
        <v/>
      </c>
      <c r="AC16">
        <f>HYPERLINK("https://klasma.github.io/Logging_0482/tillsyn/A 25118-2026 tillsynsbegäran.docx", "A 25118-2026")</f>
        <v/>
      </c>
      <c r="AD16">
        <f>HYPERLINK("https://klasma.github.io/Logging_0482/tillsynsmail/A 25118-2026 tillsynsbegäran mail.docx", "A 25118-2026")</f>
        <v/>
      </c>
      <c r="AE16">
        <f>HYPERLINK("https://klasma.github.io/Logging_0482/fåglar/A 25118-2026 prioriterade fågelarter.docx", "A 25118-2026")</f>
        <v/>
      </c>
    </row>
    <row r="17" ht="15" customHeight="1">
      <c r="A17" t="inlineStr">
        <is>
          <t>A 9066-2025</t>
        </is>
      </c>
      <c r="B17" t="inlineStr">
        <is>
          <t>avverkningsanmälan</t>
        </is>
      </c>
      <c r="C17" t="inlineStr">
        <is>
          <t>Föryngringsavverkning</t>
        </is>
      </c>
      <c r="D17" s="1" t="n">
        <v>45713</v>
      </c>
      <c r="E17" s="1" t="n">
        <v>46313</v>
      </c>
      <c r="F17" t="inlineStr">
        <is>
          <t>SÖDERMANLANDS LÄN</t>
        </is>
      </c>
      <c r="G17" t="inlineStr">
        <is>
          <t>FLEN</t>
        </is>
      </c>
      <c r="I17" t="n">
        <v>4.5</v>
      </c>
      <c r="J17" t="n">
        <v>2</v>
      </c>
      <c r="K17" t="n">
        <v>0</v>
      </c>
      <c r="L17" t="n">
        <v>5</v>
      </c>
      <c r="M17" t="n">
        <v>0</v>
      </c>
      <c r="N17" t="n">
        <v>0</v>
      </c>
      <c r="O17" t="n">
        <v>0</v>
      </c>
      <c r="P17" t="n">
        <v>0</v>
      </c>
      <c r="Q17" t="n">
        <v>5</v>
      </c>
      <c r="R17" t="n">
        <v>0</v>
      </c>
      <c r="S17" t="n">
        <v>15</v>
      </c>
      <c r="T17" t="n">
        <v>25</v>
      </c>
      <c r="U17" t="n">
        <v>21</v>
      </c>
      <c r="V17" s="2" t="inlineStr">
        <is>
          <t>Gullklöver
Jungfrulin
Svinrot
Vanlig backsmörblomma
Vårstarr
Bergsslok
Blåbär
Getrams
Humleblomster
Liljekonvalj
Sälg
Vitsippa
Ängskovall
Fläcknycklar
Gullviva</t>
        </is>
      </c>
      <c r="W17">
        <f>HYPERLINK("https://klasma.github.io/Logging_0482/artfynd/A 9066-2025 artfynd.xlsx", "A 9066-2025")</f>
        <v/>
      </c>
      <c r="X17">
        <f>HYPERLINK("https://klasma.github.io/Logging_0482/kartor/A 9066-2025 karta.png", "A 9066-2025")</f>
        <v/>
      </c>
      <c r="Y17">
        <f>HYPERLINK("https://klasma.github.io/Logging_0482/kartor_geotiff/A 9066-2025 georefererad karta.tif", "A 9066-2025")</f>
        <v/>
      </c>
      <c r="AA17">
        <f>HYPERLINK("https://klasma.github.io/Logging_0482/klagomål/A 9066-2025 FSC-klagomål.docx", "A 9066-2025")</f>
        <v/>
      </c>
      <c r="AB17">
        <f>HYPERLINK("https://klasma.github.io/Logging_0482/klagomålsmail/A 9066-2025 FSC-klagomål mail.docx", "A 9066-2025")</f>
        <v/>
      </c>
      <c r="AC17">
        <f>HYPERLINK("https://klasma.github.io/Logging_0482/tillsyn/A 9066-2025 tillsynsbegäran.docx", "A 9066-2025")</f>
        <v/>
      </c>
      <c r="AD17">
        <f>HYPERLINK("https://klasma.github.io/Logging_0482/tillsynsmail/A 9066-2025 tillsynsbegäran mail.docx", "A 9066-2025")</f>
        <v/>
      </c>
    </row>
    <row r="18" ht="15" customHeight="1">
      <c r="A18" t="inlineStr">
        <is>
          <t>A 50772-2023</t>
        </is>
      </c>
      <c r="B18" t="inlineStr">
        <is>
          <t>avverkningsanmälan</t>
        </is>
      </c>
      <c r="C18" t="inlineStr">
        <is>
          <t>Föryngringsavverkning</t>
        </is>
      </c>
      <c r="D18" s="1" t="n">
        <v>45217</v>
      </c>
      <c r="E18" s="1" t="n">
        <v>46313</v>
      </c>
      <c r="F18" t="inlineStr">
        <is>
          <t>SÖDERMANLANDS LÄN</t>
        </is>
      </c>
      <c r="G18" t="inlineStr">
        <is>
          <t>ESKILSTUNA</t>
        </is>
      </c>
      <c r="I18" t="n">
        <v>10.8</v>
      </c>
      <c r="J18" t="n">
        <v>3</v>
      </c>
      <c r="K18" t="n">
        <v>7</v>
      </c>
      <c r="L18" t="n">
        <v>5</v>
      </c>
      <c r="M18" t="n">
        <v>1</v>
      </c>
      <c r="N18" t="n">
        <v>0</v>
      </c>
      <c r="O18" t="n">
        <v>0</v>
      </c>
      <c r="P18" t="n">
        <v>0</v>
      </c>
      <c r="Q18" t="n">
        <v>6</v>
      </c>
      <c r="R18" t="n">
        <v>1</v>
      </c>
      <c r="S18" t="n">
        <v>14</v>
      </c>
      <c r="T18" t="n">
        <v>38</v>
      </c>
      <c r="U18" t="n">
        <v>38</v>
      </c>
      <c r="V18" s="2" t="inlineStr">
        <is>
          <t>Ulltickeporing
Fyrflikig jordstjärna
Motaggsvamp
Talltita
Ullticka
Vedtrappmossa
Blåmossa
Brandticka
Grön sköldmossa
Kamjordstjärna
Mindre märgborre
Platt fjädermossa
Rödgul trumpetsvamp
Blåsippa</t>
        </is>
      </c>
      <c r="W18">
        <f>HYPERLINK("https://klasma.github.io/Logging_0484/artfynd/A 50772-2023 artfynd.xlsx", "A 50772-2023")</f>
        <v/>
      </c>
      <c r="X18">
        <f>HYPERLINK("https://klasma.github.io/Logging_0484/kartor/A 50772-2023 karta.png", "A 50772-2023")</f>
        <v/>
      </c>
      <c r="Y18">
        <f>HYPERLINK("https://klasma.github.io/Logging_0484/kartor_geotiff/A 50772-2023 georefererad karta.tif", "A 50772-2023")</f>
        <v/>
      </c>
      <c r="AA18">
        <f>HYPERLINK("https://klasma.github.io/Logging_0484/klagomål/A 50772-2023 FSC-klagomål.docx", "A 50772-2023")</f>
        <v/>
      </c>
      <c r="AB18">
        <f>HYPERLINK("https://klasma.github.io/Logging_0484/klagomålsmail/A 50772-2023 FSC-klagomål mail.docx", "A 50772-2023")</f>
        <v/>
      </c>
      <c r="AC18">
        <f>HYPERLINK("https://klasma.github.io/Logging_0484/tillsyn/A 50772-2023 tillsynsbegäran.docx", "A 50772-2023")</f>
        <v/>
      </c>
      <c r="AD18">
        <f>HYPERLINK("https://klasma.github.io/Logging_0484/tillsynsmail/A 50772-2023 tillsynsbegäran mail.docx", "A 50772-2023")</f>
        <v/>
      </c>
      <c r="AE18">
        <f>HYPERLINK("https://klasma.github.io/Logging_0484/fåglar/A 50772-2023 prioriterade fågelarter.docx", "A 50772-2023")</f>
        <v/>
      </c>
    </row>
    <row r="19" ht="15" customHeight="1">
      <c r="A19" t="inlineStr">
        <is>
          <t>A 43303-2024</t>
        </is>
      </c>
      <c r="B19" t="inlineStr">
        <is>
          <t>avverkningsanmälan</t>
        </is>
      </c>
      <c r="C19" t="inlineStr">
        <is>
          <t>Föryngringsavverkning</t>
        </is>
      </c>
      <c r="D19" s="1" t="n">
        <v>45568</v>
      </c>
      <c r="E19" s="1" t="n">
        <v>46313</v>
      </c>
      <c r="F19" t="inlineStr">
        <is>
          <t>SÖDERMANLANDS LÄN</t>
        </is>
      </c>
      <c r="G19" t="inlineStr">
        <is>
          <t>GNESTA</t>
        </is>
      </c>
      <c r="H19" t="inlineStr">
        <is>
          <t>Holmen skog AB</t>
        </is>
      </c>
      <c r="I19" t="n">
        <v>10.3</v>
      </c>
      <c r="J19" t="n">
        <v>1</v>
      </c>
      <c r="K19" t="n">
        <v>2</v>
      </c>
      <c r="L19" t="n">
        <v>6</v>
      </c>
      <c r="M19" t="n">
        <v>4</v>
      </c>
      <c r="N19" t="n">
        <v>0</v>
      </c>
      <c r="O19" t="n">
        <v>0</v>
      </c>
      <c r="P19" t="n">
        <v>0</v>
      </c>
      <c r="Q19" t="n">
        <v>10</v>
      </c>
      <c r="R19" t="n">
        <v>4</v>
      </c>
      <c r="S19" t="n">
        <v>14</v>
      </c>
      <c r="T19" t="n">
        <v>158</v>
      </c>
      <c r="U19" t="n">
        <v>158</v>
      </c>
      <c r="V19" s="2" t="inlineStr">
        <is>
          <t>Garnlav
Jättemusseron
Ryl
Skrovlig taggsvamp
Dropptaggsvamp
Dvärgbägarlav
Motaggsvamp
Orange taggsvamp
Tallticka
Vedskivlav
Björksplintborre
Mindre märgborre
Svart taggsvamp agg.
Tjäder</t>
        </is>
      </c>
      <c r="W19">
        <f>HYPERLINK("https://klasma.github.io/Logging_0461/artfynd/A 43303-2024 artfynd.xlsx", "A 43303-2024")</f>
        <v/>
      </c>
      <c r="X19">
        <f>HYPERLINK("https://klasma.github.io/Logging_0461/kartor/A 43303-2024 karta.png", "A 43303-2024")</f>
        <v/>
      </c>
      <c r="Y19">
        <f>HYPERLINK("https://klasma.github.io/Logging_0461/kartor_geotiff/A 43303-2024 georefererad karta.tif", "A 43303-2024")</f>
        <v/>
      </c>
      <c r="AA19">
        <f>HYPERLINK("https://klasma.github.io/Logging_0461/klagomål/A 43303-2024 FSC-klagomål.docx", "A 43303-2024")</f>
        <v/>
      </c>
      <c r="AB19">
        <f>HYPERLINK("https://klasma.github.io/Logging_0461/klagomålsmail/A 43303-2024 FSC-klagomål mail.docx", "A 43303-2024")</f>
        <v/>
      </c>
      <c r="AC19">
        <f>HYPERLINK("https://klasma.github.io/Logging_0461/tillsyn/A 43303-2024 tillsynsbegäran.docx", "A 43303-2024")</f>
        <v/>
      </c>
      <c r="AD19">
        <f>HYPERLINK("https://klasma.github.io/Logging_0461/tillsynsmail/A 43303-2024 tillsynsbegäran mail.docx", "A 43303-2024")</f>
        <v/>
      </c>
      <c r="AE19">
        <f>HYPERLINK("https://klasma.github.io/Logging_0461/fåglar/A 43303-2024 prioriterade fågelarter.docx", "A 43303-2024")</f>
        <v/>
      </c>
    </row>
    <row r="20" ht="15" customHeight="1">
      <c r="A20" t="inlineStr">
        <is>
          <t>A 50944-2025</t>
        </is>
      </c>
      <c r="B20" t="inlineStr">
        <is>
          <t>avverkningsanmälan</t>
        </is>
      </c>
      <c r="C20" t="inlineStr">
        <is>
          <t>Föryngringsavverkning</t>
        </is>
      </c>
      <c r="D20" s="1" t="n">
        <v>45946</v>
      </c>
      <c r="E20" s="1" t="n">
        <v>46313</v>
      </c>
      <c r="F20" t="inlineStr">
        <is>
          <t>SÖDERMANLANDS LÄN</t>
        </is>
      </c>
      <c r="G20" t="inlineStr">
        <is>
          <t>ESKILSTUNA</t>
        </is>
      </c>
      <c r="I20" t="n">
        <v>11.2</v>
      </c>
      <c r="J20" t="n">
        <v>4</v>
      </c>
      <c r="K20" t="n">
        <v>7</v>
      </c>
      <c r="L20" t="n">
        <v>4</v>
      </c>
      <c r="M20" t="n">
        <v>1</v>
      </c>
      <c r="N20" t="n">
        <v>0</v>
      </c>
      <c r="O20" t="n">
        <v>0</v>
      </c>
      <c r="P20" t="n">
        <v>0</v>
      </c>
      <c r="Q20" t="n">
        <v>5</v>
      </c>
      <c r="R20" t="n">
        <v>1</v>
      </c>
      <c r="S20" t="n">
        <v>14</v>
      </c>
      <c r="T20" t="n">
        <v>52</v>
      </c>
      <c r="U20" t="n">
        <v>52</v>
      </c>
      <c r="V20" s="2" t="inlineStr">
        <is>
          <t>Knärot
Gropticka
Rynkskinn
Talltita
Ullticka
Blåmossa
Bronshjon
Gullgröppa
Kornknutmossa
Mindre märgborre
Stekelbock
Vågbandad barkbock
Spillkråka
Kungsfågel</t>
        </is>
      </c>
      <c r="W20">
        <f>HYPERLINK("https://klasma.github.io/Logging_0484/artfynd/A 50944-2025 artfynd.xlsx", "A 50944-2025")</f>
        <v/>
      </c>
      <c r="X20">
        <f>HYPERLINK("https://klasma.github.io/Logging_0484/kartor/A 50944-2025 karta.png", "A 50944-2025")</f>
        <v/>
      </c>
      <c r="Y20">
        <f>HYPERLINK("https://klasma.github.io/Logging_0484/kartor_geotiff/A 50944-2025 georefererad karta.tif", "A 50944-2025")</f>
        <v/>
      </c>
      <c r="Z20">
        <f>HYPERLINK("https://klasma.github.io/Logging_0484/knärot/A 50944-2025 karta knärot.png", "A 50944-2025")</f>
        <v/>
      </c>
      <c r="AA20">
        <f>HYPERLINK("https://klasma.github.io/Logging_0484/klagomål/A 50944-2025 FSC-klagomål.docx", "A 50944-2025")</f>
        <v/>
      </c>
      <c r="AB20">
        <f>HYPERLINK("https://klasma.github.io/Logging_0484/klagomålsmail/A 50944-2025 FSC-klagomål mail.docx", "A 50944-2025")</f>
        <v/>
      </c>
      <c r="AC20">
        <f>HYPERLINK("https://klasma.github.io/Logging_0484/tillsyn/A 50944-2025 tillsynsbegäran.docx", "A 50944-2025")</f>
        <v/>
      </c>
      <c r="AD20">
        <f>HYPERLINK("https://klasma.github.io/Logging_0484/tillsynsmail/A 50944-2025 tillsynsbegäran mail.docx", "A 50944-2025")</f>
        <v/>
      </c>
      <c r="AE20">
        <f>HYPERLINK("https://klasma.github.io/Logging_0484/fåglar/A 50944-2025 prioriterade fågelarter.docx", "A 50944-2025")</f>
        <v/>
      </c>
    </row>
    <row r="21" ht="15" customHeight="1">
      <c r="A21" t="inlineStr">
        <is>
          <t>A 39091-2022</t>
        </is>
      </c>
      <c r="B21" t="inlineStr">
        <is>
          <t>avverkningsanmälan</t>
        </is>
      </c>
      <c r="C21" t="inlineStr">
        <is>
          <t>Avverkning för att bevara och utveckla /försöksver</t>
        </is>
      </c>
      <c r="D21" s="1" t="n">
        <v>44817</v>
      </c>
      <c r="E21" s="1" t="n">
        <v>46313</v>
      </c>
      <c r="F21" t="inlineStr">
        <is>
          <t>SÖDERMANLANDS LÄN</t>
        </is>
      </c>
      <c r="G21" t="inlineStr">
        <is>
          <t>KATRINEHOLM</t>
        </is>
      </c>
      <c r="H21" t="inlineStr">
        <is>
          <t>Övriga Aktiebolag</t>
        </is>
      </c>
      <c r="I21" t="n">
        <v>3.6</v>
      </c>
      <c r="J21" t="n">
        <v>4</v>
      </c>
      <c r="K21" t="n">
        <v>4</v>
      </c>
      <c r="L21" t="n">
        <v>3</v>
      </c>
      <c r="M21" t="n">
        <v>0</v>
      </c>
      <c r="N21" t="n">
        <v>2</v>
      </c>
      <c r="O21" t="n">
        <v>0</v>
      </c>
      <c r="P21" t="n">
        <v>0</v>
      </c>
      <c r="Q21" t="n">
        <v>5</v>
      </c>
      <c r="R21" t="n">
        <v>2</v>
      </c>
      <c r="S21" t="n">
        <v>13</v>
      </c>
      <c r="T21" t="n">
        <v>17</v>
      </c>
      <c r="U21" t="n">
        <v>2</v>
      </c>
      <c r="V21" s="2" t="inlineStr">
        <is>
          <t>Ask
Skogsalm
Fjällig taggsvamp s.str.
Flattoppad klubbsvamp
Svartvit taggsvamp
Granbarkgnagare
Grov baronmossa
Platt fjädermossa
Svart trolldruva
Blåsippa
Kråka
Kungsfågel
Gullviva</t>
        </is>
      </c>
      <c r="W21">
        <f>HYPERLINK("https://klasma.github.io/Logging_0483/artfynd/A 39091-2022 artfynd.xlsx", "A 39091-2022")</f>
        <v/>
      </c>
      <c r="X21">
        <f>HYPERLINK("https://klasma.github.io/Logging_0483/kartor/A 39091-2022 karta.png", "A 39091-2022")</f>
        <v/>
      </c>
      <c r="Y21">
        <f>HYPERLINK("https://klasma.github.io/Logging_0483/kartor_geotiff/A 39091-2022 georefererad karta.tif", "A 39091-2022")</f>
        <v/>
      </c>
      <c r="AA21">
        <f>HYPERLINK("https://klasma.github.io/Logging_0483/klagomål/A 39091-2022 FSC-klagomål.docx", "A 39091-2022")</f>
        <v/>
      </c>
      <c r="AB21">
        <f>HYPERLINK("https://klasma.github.io/Logging_0483/klagomålsmail/A 39091-2022 FSC-klagomål mail.docx", "A 39091-2022")</f>
        <v/>
      </c>
      <c r="AC21">
        <f>HYPERLINK("https://klasma.github.io/Logging_0483/tillsyn/A 39091-2022 tillsynsbegäran.docx", "A 39091-2022")</f>
        <v/>
      </c>
      <c r="AD21">
        <f>HYPERLINK("https://klasma.github.io/Logging_0483/tillsynsmail/A 39091-2022 tillsynsbegäran mail.docx", "A 39091-2022")</f>
        <v/>
      </c>
    </row>
    <row r="22" ht="15" customHeight="1">
      <c r="A22" t="inlineStr">
        <is>
          <t>A 16119-2026</t>
        </is>
      </c>
      <c r="B22" t="inlineStr">
        <is>
          <t>avverkningsanmälan</t>
        </is>
      </c>
      <c r="C22" t="inlineStr">
        <is>
          <t>Föryngringsavverkning</t>
        </is>
      </c>
      <c r="D22" s="1" t="n">
        <v>46108</v>
      </c>
      <c r="E22" s="1" t="n">
        <v>46313</v>
      </c>
      <c r="F22" t="inlineStr">
        <is>
          <t>SÖDERMANLANDS LÄN</t>
        </is>
      </c>
      <c r="G22" t="inlineStr">
        <is>
          <t>ESKILSTUNA</t>
        </is>
      </c>
      <c r="I22" t="n">
        <v>6.5</v>
      </c>
      <c r="J22" t="n">
        <v>5</v>
      </c>
      <c r="K22" t="n">
        <v>3</v>
      </c>
      <c r="L22" t="n">
        <v>3</v>
      </c>
      <c r="M22" t="n">
        <v>1</v>
      </c>
      <c r="N22" t="n">
        <v>0</v>
      </c>
      <c r="O22" t="n">
        <v>0</v>
      </c>
      <c r="P22" t="n">
        <v>0</v>
      </c>
      <c r="Q22" t="n">
        <v>4</v>
      </c>
      <c r="R22" t="n">
        <v>1</v>
      </c>
      <c r="S22" t="n">
        <v>13</v>
      </c>
      <c r="T22" t="n">
        <v>20</v>
      </c>
      <c r="U22" t="n">
        <v>15</v>
      </c>
      <c r="V22" s="2" t="inlineStr">
        <is>
          <t>Knärot
Gullpudra
Tallticka
Vedskivlav
Kamjordstjärna
Springkorn
Svart trolldruva
Blåsippa
Bäckbräsma
Skriftlav
Spillkråka
Gullviva
Revlummer</t>
        </is>
      </c>
      <c r="W22">
        <f>HYPERLINK("https://klasma.github.io/Logging_0484/artfynd/A 16119-2026 artfynd.xlsx", "A 16119-2026")</f>
        <v/>
      </c>
      <c r="X22">
        <f>HYPERLINK("https://klasma.github.io/Logging_0484/kartor/A 16119-2026 karta.png", "A 16119-2026")</f>
        <v/>
      </c>
      <c r="Y22">
        <f>HYPERLINK("https://klasma.github.io/Logging_0484/kartor_geotiff/A 16119-2026 georefererad karta.tif", "A 16119-2026")</f>
        <v/>
      </c>
      <c r="Z22">
        <f>HYPERLINK("https://klasma.github.io/Logging_0484/knärot/A 16119-2026 karta knärot.png", "A 16119-2026")</f>
        <v/>
      </c>
      <c r="AA22">
        <f>HYPERLINK("https://klasma.github.io/Logging_0484/klagomål/A 16119-2026 FSC-klagomål.docx", "A 16119-2026")</f>
        <v/>
      </c>
      <c r="AB22">
        <f>HYPERLINK("https://klasma.github.io/Logging_0484/klagomålsmail/A 16119-2026 FSC-klagomål mail.docx", "A 16119-2026")</f>
        <v/>
      </c>
      <c r="AC22">
        <f>HYPERLINK("https://klasma.github.io/Logging_0484/tillsyn/A 16119-2026 tillsynsbegäran.docx", "A 16119-2026")</f>
        <v/>
      </c>
      <c r="AD22">
        <f>HYPERLINK("https://klasma.github.io/Logging_0484/tillsynsmail/A 16119-2026 tillsynsbegäran mail.docx", "A 16119-2026")</f>
        <v/>
      </c>
      <c r="AE22">
        <f>HYPERLINK("https://klasma.github.io/Logging_0484/fåglar/A 16119-2026 prioriterade fågelarter.docx", "A 16119-2026")</f>
        <v/>
      </c>
    </row>
    <row r="23" ht="15" customHeight="1">
      <c r="A23" t="inlineStr">
        <is>
          <t>A 50065-2025</t>
        </is>
      </c>
      <c r="B23" t="inlineStr">
        <is>
          <t>avverkningsanmälan</t>
        </is>
      </c>
      <c r="C23" t="inlineStr">
        <is>
          <t>Föryngringsavverkning</t>
        </is>
      </c>
      <c r="D23" s="1" t="n">
        <v>45943</v>
      </c>
      <c r="E23" s="1" t="n">
        <v>46313</v>
      </c>
      <c r="F23" t="inlineStr">
        <is>
          <t>SÖDERMANLANDS LÄN</t>
        </is>
      </c>
      <c r="G23" t="inlineStr">
        <is>
          <t>NYKÖPING</t>
        </is>
      </c>
      <c r="H23" t="inlineStr">
        <is>
          <t>Holmen skog AB</t>
        </is>
      </c>
      <c r="I23" t="n">
        <v>11.7</v>
      </c>
      <c r="J23" t="n">
        <v>1</v>
      </c>
      <c r="K23" t="n">
        <v>5</v>
      </c>
      <c r="L23" t="n">
        <v>5</v>
      </c>
      <c r="M23" t="n">
        <v>3</v>
      </c>
      <c r="N23" t="n">
        <v>0</v>
      </c>
      <c r="O23" t="n">
        <v>0</v>
      </c>
      <c r="P23" t="n">
        <v>0</v>
      </c>
      <c r="Q23" t="n">
        <v>8</v>
      </c>
      <c r="R23" t="n">
        <v>3</v>
      </c>
      <c r="S23" t="n">
        <v>13</v>
      </c>
      <c r="T23" t="n">
        <v>38</v>
      </c>
      <c r="U23" t="n">
        <v>3</v>
      </c>
      <c r="V23" s="2" t="inlineStr">
        <is>
          <t>Knärot
Lammticka
Skrovlig taggsvamp
Dropptaggsvamp
Grantaggsvamp
Motaggsvamp
Skarp dropptaggsvamp
Svartvit taggsvamp
Blomkålssvamp
Bronshjon
Grönpyrola
Mindre märgborre
Zontaggsvamp</t>
        </is>
      </c>
      <c r="W23">
        <f>HYPERLINK("https://klasma.github.io/Logging_0480/artfynd/A 50065-2025 artfynd.xlsx", "A 50065-2025")</f>
        <v/>
      </c>
      <c r="X23">
        <f>HYPERLINK("https://klasma.github.io/Logging_0480/kartor/A 50065-2025 karta.png", "A 50065-2025")</f>
        <v/>
      </c>
      <c r="Y23">
        <f>HYPERLINK("https://klasma.github.io/Logging_0480/kartor_geotiff/A 50065-2025 georefererad karta.tif", "A 50065-2025")</f>
        <v/>
      </c>
      <c r="Z23">
        <f>HYPERLINK("https://klasma.github.io/Logging_0480/knärot/A 50065-2025 karta knärot.png", "A 50065-2025")</f>
        <v/>
      </c>
      <c r="AA23">
        <f>HYPERLINK("https://klasma.github.io/Logging_0480/klagomål/A 50065-2025 FSC-klagomål.docx", "A 50065-2025")</f>
        <v/>
      </c>
      <c r="AB23">
        <f>HYPERLINK("https://klasma.github.io/Logging_0480/klagomålsmail/A 50065-2025 FSC-klagomål mail.docx", "A 50065-2025")</f>
        <v/>
      </c>
      <c r="AC23">
        <f>HYPERLINK("https://klasma.github.io/Logging_0480/tillsyn/A 50065-2025 tillsynsbegäran.docx", "A 50065-2025")</f>
        <v/>
      </c>
      <c r="AD23">
        <f>HYPERLINK("https://klasma.github.io/Logging_0480/tillsynsmail/A 50065-2025 tillsynsbegäran mail.docx", "A 50065-2025")</f>
        <v/>
      </c>
    </row>
    <row r="24" ht="15" customHeight="1">
      <c r="A24" t="inlineStr">
        <is>
          <t>S 1521-2024</t>
        </is>
      </c>
      <c r="B24" t="inlineStr">
        <is>
          <t>samrådsanmälan</t>
        </is>
      </c>
      <c r="C24" t="inlineStr">
        <is>
          <t>Annan skogsbruksåtgärd</t>
        </is>
      </c>
      <c r="D24" s="1" t="n">
        <v>45424</v>
      </c>
      <c r="E24" s="1" t="n">
        <v>46313</v>
      </c>
      <c r="F24" t="inlineStr">
        <is>
          <t>SÖDERMANLANDS LÄN</t>
        </is>
      </c>
      <c r="G24" t="inlineStr">
        <is>
          <t>FLEN</t>
        </is>
      </c>
      <c r="I24" t="n">
        <v>1</v>
      </c>
      <c r="J24" t="n">
        <v>3</v>
      </c>
      <c r="K24" t="n">
        <v>3</v>
      </c>
      <c r="L24" t="n">
        <v>7</v>
      </c>
      <c r="M24" t="n">
        <v>2</v>
      </c>
      <c r="N24" t="n">
        <v>0</v>
      </c>
      <c r="O24" t="n">
        <v>0</v>
      </c>
      <c r="P24" t="n">
        <v>0</v>
      </c>
      <c r="Q24" t="n">
        <v>9</v>
      </c>
      <c r="R24" t="n">
        <v>2</v>
      </c>
      <c r="S24" t="n">
        <v>13</v>
      </c>
      <c r="T24" t="n">
        <v>36</v>
      </c>
      <c r="U24" t="n">
        <v>5</v>
      </c>
      <c r="V24" s="2" t="inlineStr">
        <is>
          <t>Gul taggsvamp
Knärot
Dofttaggsvamp
Fjällig taggsvamp s.str.
Grantaggsvamp
Gullklöver
Orange taggsvamp
Skarp dropptaggsvamp
Svartvit taggsvamp
Blomkålssvamp
Grön sköldmossa
Kamjordstjärna
Nattviol</t>
        </is>
      </c>
      <c r="W24">
        <f>HYPERLINK("https://klasma.github.io/Logging_0482/artfynd/S 1521-2024 artfynd.xlsx", "S 1521-2024")</f>
        <v/>
      </c>
      <c r="X24">
        <f>HYPERLINK("https://klasma.github.io/Logging_0482/kartor/S 1521-2024 karta.png", "S 1521-2024")</f>
        <v/>
      </c>
      <c r="Y24">
        <f>HYPERLINK("https://klasma.github.io/Logging_0482/kartor_geotiff/S 1521-2024 georefererad karta.tif", "S 1521-2024")</f>
        <v/>
      </c>
      <c r="Z24">
        <f>HYPERLINK("https://klasma.github.io/Logging_0482/knärot/S 1521-2024 karta knärot.png", "S 1521-2024")</f>
        <v/>
      </c>
      <c r="AA24">
        <f>HYPERLINK("https://klasma.github.io/Logging_0482/klagomål/S 1521-2024 FSC-klagomål.docx", "S 1521-2024")</f>
        <v/>
      </c>
      <c r="AB24">
        <f>HYPERLINK("https://klasma.github.io/Logging_0482/klagomålsmail/S 1521-2024 FSC-klagomål mail.docx", "S 1521-2024")</f>
        <v/>
      </c>
      <c r="AC24">
        <f>HYPERLINK("https://klasma.github.io/Logging_0482/tillsyn/S 1521-2024 tillsynsbegäran.docx", "S 1521-2024")</f>
        <v/>
      </c>
      <c r="AD24">
        <f>HYPERLINK("https://klasma.github.io/Logging_0482/tillsynsmail/S 1521-2024 tillsynsbegäran mail.docx", "S 1521-2024")</f>
        <v/>
      </c>
    </row>
    <row r="25" ht="15" customHeight="1">
      <c r="A25" t="inlineStr">
        <is>
          <t>A 37422-2024</t>
        </is>
      </c>
      <c r="B25" t="inlineStr">
        <is>
          <t>avverkningsanmälan</t>
        </is>
      </c>
      <c r="C25" t="inlineStr">
        <is>
          <t>Föryngringsavverkning</t>
        </is>
      </c>
      <c r="D25" s="1" t="n">
        <v>45540</v>
      </c>
      <c r="E25" s="1" t="n">
        <v>46313</v>
      </c>
      <c r="F25" t="inlineStr">
        <is>
          <t>SÖDERMANLANDS LÄN</t>
        </is>
      </c>
      <c r="G25" t="inlineStr">
        <is>
          <t>NYKÖPING</t>
        </is>
      </c>
      <c r="H25" t="inlineStr">
        <is>
          <t>Holmen skog AB</t>
        </is>
      </c>
      <c r="I25" t="n">
        <v>12.4</v>
      </c>
      <c r="J25" t="n">
        <v>4</v>
      </c>
      <c r="K25" t="n">
        <v>6</v>
      </c>
      <c r="L25" t="n">
        <v>3</v>
      </c>
      <c r="M25" t="n">
        <v>0</v>
      </c>
      <c r="N25" t="n">
        <v>0</v>
      </c>
      <c r="O25" t="n">
        <v>0</v>
      </c>
      <c r="P25" t="n">
        <v>0</v>
      </c>
      <c r="Q25" t="n">
        <v>3</v>
      </c>
      <c r="R25" t="n">
        <v>0</v>
      </c>
      <c r="S25" t="n">
        <v>12</v>
      </c>
      <c r="T25" t="n">
        <v>21</v>
      </c>
      <c r="U25" t="n">
        <v>21</v>
      </c>
      <c r="V25" s="2" t="inlineStr">
        <is>
          <t>Dropptaggsvamp
Motaggsvamp
Talltita
Blomkålssvamp
Blåmossa
Granbarkgnagare
Grovticka
Vågbandad barkbock
Zontaggsvamp
Mattlummer
Spillkråka
Vanlig groda</t>
        </is>
      </c>
      <c r="W25">
        <f>HYPERLINK("https://klasma.github.io/Logging_0480/artfynd/A 37422-2024 artfynd.xlsx", "A 37422-2024")</f>
        <v/>
      </c>
      <c r="X25">
        <f>HYPERLINK("https://klasma.github.io/Logging_0480/kartor/A 37422-2024 karta.png", "A 37422-2024")</f>
        <v/>
      </c>
      <c r="Y25">
        <f>HYPERLINK("https://klasma.github.io/Logging_0480/kartor_geotiff/A 37422-2024 georefererad karta.tif", "A 37422-2024")</f>
        <v/>
      </c>
      <c r="AA25">
        <f>HYPERLINK("https://klasma.github.io/Logging_0480/klagomål/A 37422-2024 FSC-klagomål.docx", "A 37422-2024")</f>
        <v/>
      </c>
      <c r="AB25">
        <f>HYPERLINK("https://klasma.github.io/Logging_0480/klagomålsmail/A 37422-2024 FSC-klagomål mail.docx", "A 37422-2024")</f>
        <v/>
      </c>
      <c r="AC25">
        <f>HYPERLINK("https://klasma.github.io/Logging_0480/tillsyn/A 37422-2024 tillsynsbegäran.docx", "A 37422-2024")</f>
        <v/>
      </c>
      <c r="AD25">
        <f>HYPERLINK("https://klasma.github.io/Logging_0480/tillsynsmail/A 37422-2024 tillsynsbegäran mail.docx", "A 37422-2024")</f>
        <v/>
      </c>
      <c r="AE25">
        <f>HYPERLINK("https://klasma.github.io/Logging_0480/fåglar/A 37422-2024 prioriterade fågelarter.docx", "A 37422-2024")</f>
        <v/>
      </c>
    </row>
    <row r="26" ht="15" customHeight="1">
      <c r="A26" t="inlineStr">
        <is>
          <t>A 37425-2023</t>
        </is>
      </c>
      <c r="B26" t="inlineStr">
        <is>
          <t>avverkningsanmälan</t>
        </is>
      </c>
      <c r="C26" t="inlineStr">
        <is>
          <t>Föryngringsavverkning</t>
        </is>
      </c>
      <c r="D26" s="1" t="n">
        <v>45156</v>
      </c>
      <c r="E26" s="1" t="n">
        <v>46313</v>
      </c>
      <c r="F26" t="inlineStr">
        <is>
          <t>SÖDERMANLANDS LÄN</t>
        </is>
      </c>
      <c r="G26" t="inlineStr">
        <is>
          <t>FLEN</t>
        </is>
      </c>
      <c r="I26" t="n">
        <v>3.1</v>
      </c>
      <c r="J26" t="n">
        <v>4</v>
      </c>
      <c r="K26" t="n">
        <v>1</v>
      </c>
      <c r="L26" t="n">
        <v>6</v>
      </c>
      <c r="M26" t="n">
        <v>1</v>
      </c>
      <c r="N26" t="n">
        <v>0</v>
      </c>
      <c r="O26" t="n">
        <v>0</v>
      </c>
      <c r="P26" t="n">
        <v>0</v>
      </c>
      <c r="Q26" t="n">
        <v>7</v>
      </c>
      <c r="R26" t="n">
        <v>1</v>
      </c>
      <c r="S26" t="n">
        <v>12</v>
      </c>
      <c r="T26" t="n">
        <v>15</v>
      </c>
      <c r="U26" t="n">
        <v>8</v>
      </c>
      <c r="V26" s="2" t="inlineStr">
        <is>
          <t>Sexfläckig bastardsvärmare
Björktrast
Fyrflikig jordstjärna
Gullklöver
Jungfrulin
Svedjenäva
Vanlig backsmörblomma
Grönpyrola
Kattfot
Havsörn
Kråka
Kungsfågel</t>
        </is>
      </c>
      <c r="W26">
        <f>HYPERLINK("https://klasma.github.io/Logging_0482/artfynd/A 37425-2023 artfynd.xlsx", "A 37425-2023")</f>
        <v/>
      </c>
      <c r="X26">
        <f>HYPERLINK("https://klasma.github.io/Logging_0482/kartor/A 37425-2023 karta.png", "A 37425-2023")</f>
        <v/>
      </c>
      <c r="Y26">
        <f>HYPERLINK("https://klasma.github.io/Logging_0482/kartor_geotiff/A 37425-2023 georefererad karta.tif", "A 37425-2023")</f>
        <v/>
      </c>
      <c r="AA26">
        <f>HYPERLINK("https://klasma.github.io/Logging_0482/klagomål/A 37425-2023 FSC-klagomål.docx", "A 37425-2023")</f>
        <v/>
      </c>
      <c r="AB26">
        <f>HYPERLINK("https://klasma.github.io/Logging_0482/klagomålsmail/A 37425-2023 FSC-klagomål mail.docx", "A 37425-2023")</f>
        <v/>
      </c>
      <c r="AC26">
        <f>HYPERLINK("https://klasma.github.io/Logging_0482/tillsyn/A 37425-2023 tillsynsbegäran.docx", "A 37425-2023")</f>
        <v/>
      </c>
      <c r="AD26">
        <f>HYPERLINK("https://klasma.github.io/Logging_0482/tillsynsmail/A 37425-2023 tillsynsbegäran mail.docx", "A 37425-2023")</f>
        <v/>
      </c>
      <c r="AE26">
        <f>HYPERLINK("https://klasma.github.io/Logging_0482/fåglar/A 37425-2023 prioriterade fågelarter.docx", "A 37425-2023")</f>
        <v/>
      </c>
    </row>
    <row r="27" ht="15" customHeight="1">
      <c r="A27" t="inlineStr">
        <is>
          <t>A 54381-2023</t>
        </is>
      </c>
      <c r="B27" t="inlineStr">
        <is>
          <t>avverkningsanmälan</t>
        </is>
      </c>
      <c r="C27" t="inlineStr">
        <is>
          <t>Föryngringsavverkning</t>
        </is>
      </c>
      <c r="D27" s="1" t="n">
        <v>45226</v>
      </c>
      <c r="E27" s="1" t="n">
        <v>46313</v>
      </c>
      <c r="F27" t="inlineStr">
        <is>
          <t>SÖDERMANLANDS LÄN</t>
        </is>
      </c>
      <c r="G27" t="inlineStr">
        <is>
          <t>VINGÅKER</t>
        </is>
      </c>
      <c r="I27" t="n">
        <v>10.7</v>
      </c>
      <c r="J27" t="n">
        <v>3</v>
      </c>
      <c r="K27" t="n">
        <v>5</v>
      </c>
      <c r="L27" t="n">
        <v>4</v>
      </c>
      <c r="M27" t="n">
        <v>0</v>
      </c>
      <c r="N27" t="n">
        <v>1</v>
      </c>
      <c r="O27" t="n">
        <v>0</v>
      </c>
      <c r="P27" t="n">
        <v>0</v>
      </c>
      <c r="Q27" t="n">
        <v>5</v>
      </c>
      <c r="R27" t="n">
        <v>1</v>
      </c>
      <c r="S27" t="n">
        <v>12</v>
      </c>
      <c r="T27" t="n">
        <v>19</v>
      </c>
      <c r="U27" t="n">
        <v>3</v>
      </c>
      <c r="V27" s="2" t="inlineStr">
        <is>
          <t>Brandtaggsvamp
Björktrast
Fjällig taggsvamp s.str.
Orange taggsvamp
Älg
Blodvaxing
Hasselticka
Rödgul trumpetsvamp
Svart trolldruva
Svavelriska
Blåsippa
Gullviva</t>
        </is>
      </c>
      <c r="W27">
        <f>HYPERLINK("https://klasma.github.io/Logging_0428/artfynd/A 54381-2023 artfynd.xlsx", "A 54381-2023")</f>
        <v/>
      </c>
      <c r="X27">
        <f>HYPERLINK("https://klasma.github.io/Logging_0428/kartor/A 54381-2023 karta.png", "A 54381-2023")</f>
        <v/>
      </c>
      <c r="Y27">
        <f>HYPERLINK("https://klasma.github.io/Logging_0428/kartor_geotiff/A 54381-2023 georefererad karta.tif", "A 54381-2023")</f>
        <v/>
      </c>
      <c r="AA27">
        <f>HYPERLINK("https://klasma.github.io/Logging_0428/klagomål/A 54381-2023 FSC-klagomål.docx", "A 54381-2023")</f>
        <v/>
      </c>
      <c r="AB27">
        <f>HYPERLINK("https://klasma.github.io/Logging_0428/klagomålsmail/A 54381-2023 FSC-klagomål mail.docx", "A 54381-2023")</f>
        <v/>
      </c>
      <c r="AC27">
        <f>HYPERLINK("https://klasma.github.io/Logging_0428/tillsyn/A 54381-2023 tillsynsbegäran.docx", "A 54381-2023")</f>
        <v/>
      </c>
      <c r="AD27">
        <f>HYPERLINK("https://klasma.github.io/Logging_0428/tillsynsmail/A 54381-2023 tillsynsbegäran mail.docx", "A 54381-2023")</f>
        <v/>
      </c>
      <c r="AE27">
        <f>HYPERLINK("https://klasma.github.io/Logging_0428/fåglar/A 54381-2023 prioriterade fågelarter.docx", "A 54381-2023")</f>
        <v/>
      </c>
    </row>
    <row r="28" ht="15" customHeight="1">
      <c r="A28" t="inlineStr">
        <is>
          <t>A 36963-2026</t>
        </is>
      </c>
      <c r="B28" t="inlineStr">
        <is>
          <t>avverkningsanmälan</t>
        </is>
      </c>
      <c r="C28" t="inlineStr">
        <is>
          <t>Avverkning för att bevara och utveckla /försöksver</t>
        </is>
      </c>
      <c r="D28" s="1" t="n">
        <v>46273</v>
      </c>
      <c r="E28" s="1" t="n">
        <v>46313</v>
      </c>
      <c r="F28" t="inlineStr">
        <is>
          <t>SÖDERMANLANDS LÄN</t>
        </is>
      </c>
      <c r="G28" t="inlineStr">
        <is>
          <t>GNESTA</t>
        </is>
      </c>
      <c r="I28" t="n">
        <v>11.1</v>
      </c>
      <c r="J28" t="n">
        <v>6</v>
      </c>
      <c r="K28" t="n">
        <v>4</v>
      </c>
      <c r="L28" t="n">
        <v>4</v>
      </c>
      <c r="M28" t="n">
        <v>0</v>
      </c>
      <c r="N28" t="n">
        <v>0</v>
      </c>
      <c r="O28" t="n">
        <v>0</v>
      </c>
      <c r="P28" t="n">
        <v>0</v>
      </c>
      <c r="Q28" t="n">
        <v>4</v>
      </c>
      <c r="R28" t="n">
        <v>0</v>
      </c>
      <c r="S28" t="n">
        <v>12</v>
      </c>
      <c r="T28" t="n">
        <v>25</v>
      </c>
      <c r="U28" t="n">
        <v>0</v>
      </c>
      <c r="V28" s="2" t="inlineStr">
        <is>
          <t>Dropptaggsvamp
Entita
Tallticka
Vedtrappmossa
Björksplintborre
Grön sköldmossa
Vedticka
Vågbandad barkbock
Mattlummer
Spillkråka
Fläcknycklar
Grönvit nattviol</t>
        </is>
      </c>
      <c r="W28">
        <f>HYPERLINK("https://klasma.github.io/Logging_0461/artfynd/A 36963-2026 artfynd.xlsx", "A 36963-2026")</f>
        <v/>
      </c>
      <c r="X28">
        <f>HYPERLINK("https://klasma.github.io/Logging_0461/kartor/A 36963-2026 karta.png", "A 36963-2026")</f>
        <v/>
      </c>
      <c r="Y28">
        <f>HYPERLINK("https://klasma.github.io/Logging_0461/kartor_geotiff/A 36963-2026 georefererad karta.tif", "A 36963-2026")</f>
        <v/>
      </c>
      <c r="AA28">
        <f>HYPERLINK("https://klasma.github.io/Logging_0461/klagomål/A 36963-2026 FSC-klagomål.docx", "A 36963-2026")</f>
        <v/>
      </c>
      <c r="AB28">
        <f>HYPERLINK("https://klasma.github.io/Logging_0461/klagomålsmail/A 36963-2026 FSC-klagomål mail.docx", "A 36963-2026")</f>
        <v/>
      </c>
      <c r="AC28">
        <f>HYPERLINK("https://klasma.github.io/Logging_0461/tillsyn/A 36963-2026 tillsynsbegäran.docx", "A 36963-2026")</f>
        <v/>
      </c>
      <c r="AD28">
        <f>HYPERLINK("https://klasma.github.io/Logging_0461/tillsynsmail/A 36963-2026 tillsynsbegäran mail.docx", "A 36963-2026")</f>
        <v/>
      </c>
      <c r="AE28">
        <f>HYPERLINK("https://klasma.github.io/Logging_0461/fåglar/A 36963-2026 prioriterade fågelarter.docx", "A 36963-2026")</f>
        <v/>
      </c>
    </row>
    <row r="29" ht="15" customHeight="1">
      <c r="A29" t="inlineStr">
        <is>
          <t>S 150-2022</t>
        </is>
      </c>
      <c r="B29" t="inlineStr">
        <is>
          <t>samrådsanmälan</t>
        </is>
      </c>
      <c r="C29" t="inlineStr">
        <is>
          <t>Åtgärd i nyckelbiotop</t>
        </is>
      </c>
      <c r="D29" s="1" t="n">
        <v>44571</v>
      </c>
      <c r="E29" s="1" t="n">
        <v>46313</v>
      </c>
      <c r="F29" t="inlineStr">
        <is>
          <t>SÖDERMANLANDS LÄN</t>
        </is>
      </c>
      <c r="G29" t="inlineStr">
        <is>
          <t>FLEN</t>
        </is>
      </c>
      <c r="I29" t="n">
        <v>1.7</v>
      </c>
      <c r="J29" t="n">
        <v>3</v>
      </c>
      <c r="K29" t="n">
        <v>6</v>
      </c>
      <c r="L29" t="n">
        <v>4</v>
      </c>
      <c r="M29" t="n">
        <v>1</v>
      </c>
      <c r="N29" t="n">
        <v>1</v>
      </c>
      <c r="O29" t="n">
        <v>0</v>
      </c>
      <c r="P29" t="n">
        <v>0</v>
      </c>
      <c r="Q29" t="n">
        <v>6</v>
      </c>
      <c r="R29" t="n">
        <v>2</v>
      </c>
      <c r="S29" t="n">
        <v>12</v>
      </c>
      <c r="T29" t="n">
        <v>66</v>
      </c>
      <c r="U29" t="n">
        <v>0</v>
      </c>
      <c r="V29" s="2" t="inlineStr">
        <is>
          <t>Bombmurkla
Knärot
Fjällig taggsvamp s.str.
Fyrflikig jordstjärna
Skarp dropptaggsvamp
Sårläka
Blomkålssvamp
Blåmossa
Granbarkgnagare
Grön sköldmossa
Grönpyrola
Jättesvampmal</t>
        </is>
      </c>
      <c r="W29">
        <f>HYPERLINK("https://klasma.github.io/Logging_0482/artfynd/S 150-2022 artfynd.xlsx", "S 150-2022")</f>
        <v/>
      </c>
      <c r="X29">
        <f>HYPERLINK("https://klasma.github.io/Logging_0482/kartor/S 150-2022 karta.png", "S 150-2022")</f>
        <v/>
      </c>
      <c r="Y29">
        <f>HYPERLINK("https://klasma.github.io/Logging_0482/kartor_geotiff/S 150-2022 georefererad karta.tif", "S 150-2022")</f>
        <v/>
      </c>
      <c r="Z29">
        <f>HYPERLINK("https://klasma.github.io/Logging_0482/knärot/S 150-2022 karta knärot.png", "S 150-2022")</f>
        <v/>
      </c>
      <c r="AA29">
        <f>HYPERLINK("https://klasma.github.io/Logging_0482/klagomål/S 150-2022 FSC-klagomål.docx", "S 150-2022")</f>
        <v/>
      </c>
      <c r="AB29">
        <f>HYPERLINK("https://klasma.github.io/Logging_0482/klagomålsmail/S 150-2022 FSC-klagomål mail.docx", "S 150-2022")</f>
        <v/>
      </c>
      <c r="AC29">
        <f>HYPERLINK("https://klasma.github.io/Logging_0482/tillsyn/S 150-2022 tillsynsbegäran.docx", "S 150-2022")</f>
        <v/>
      </c>
      <c r="AD29">
        <f>HYPERLINK("https://klasma.github.io/Logging_0482/tillsynsmail/S 150-2022 tillsynsbegäran mail.docx", "S 150-2022")</f>
        <v/>
      </c>
    </row>
    <row r="30" ht="15" customHeight="1">
      <c r="A30" t="inlineStr">
        <is>
          <t>A 13073-2023</t>
        </is>
      </c>
      <c r="B30" t="inlineStr">
        <is>
          <t>avverkningsanmälan</t>
        </is>
      </c>
      <c r="C30" t="inlineStr">
        <is>
          <t>Avverkning för annat ändamål</t>
        </is>
      </c>
      <c r="D30" s="1" t="n">
        <v>45001</v>
      </c>
      <c r="E30" s="1" t="n">
        <v>46313</v>
      </c>
      <c r="F30" t="inlineStr">
        <is>
          <t>SÖDERMANLANDS LÄN</t>
        </is>
      </c>
      <c r="G30" t="inlineStr">
        <is>
          <t>VINGÅKER</t>
        </is>
      </c>
      <c r="I30" t="n">
        <v>5.4</v>
      </c>
      <c r="J30" t="n">
        <v>10</v>
      </c>
      <c r="K30" t="n">
        <v>0</v>
      </c>
      <c r="L30" t="n">
        <v>4</v>
      </c>
      <c r="M30" t="n">
        <v>0</v>
      </c>
      <c r="N30" t="n">
        <v>0</v>
      </c>
      <c r="O30" t="n">
        <v>0</v>
      </c>
      <c r="P30" t="n">
        <v>0</v>
      </c>
      <c r="Q30" t="n">
        <v>4</v>
      </c>
      <c r="R30" t="n">
        <v>0</v>
      </c>
      <c r="S30" t="n">
        <v>11</v>
      </c>
      <c r="T30" t="n">
        <v>18</v>
      </c>
      <c r="U30" t="n">
        <v>18</v>
      </c>
      <c r="V30" s="2" t="inlineStr">
        <is>
          <t>Drillsnäppa
Göktyta
Ladusvala
Tallticka
Spillkråka
Gröngöling
Grönsiska
Kråka
Kungsfågel
Svartvit flugsnappare
Trana</t>
        </is>
      </c>
      <c r="W30">
        <f>HYPERLINK("https://klasma.github.io/Logging_0428/artfynd/A 13073-2023 artfynd.xlsx", "A 13073-2023")</f>
        <v/>
      </c>
      <c r="X30">
        <f>HYPERLINK("https://klasma.github.io/Logging_0428/kartor/A 13073-2023 karta.png", "A 13073-2023")</f>
        <v/>
      </c>
      <c r="Y30">
        <f>HYPERLINK("https://klasma.github.io/Logging_0428/kartor_geotiff/A 13073-2023 georefererad karta.tif", "A 13073-2023")</f>
        <v/>
      </c>
      <c r="AA30">
        <f>HYPERLINK("https://klasma.github.io/Logging_0428/klagomål/A 13073-2023 FSC-klagomål.docx", "A 13073-2023")</f>
        <v/>
      </c>
      <c r="AB30">
        <f>HYPERLINK("https://klasma.github.io/Logging_0428/klagomålsmail/A 13073-2023 FSC-klagomål mail.docx", "A 13073-2023")</f>
        <v/>
      </c>
      <c r="AC30">
        <f>HYPERLINK("https://klasma.github.io/Logging_0428/tillsyn/A 13073-2023 tillsynsbegäran.docx", "A 13073-2023")</f>
        <v/>
      </c>
      <c r="AD30">
        <f>HYPERLINK("https://klasma.github.io/Logging_0428/tillsynsmail/A 13073-2023 tillsynsbegäran mail.docx", "A 13073-2023")</f>
        <v/>
      </c>
      <c r="AE30">
        <f>HYPERLINK("https://klasma.github.io/Logging_0428/fåglar/A 13073-2023 prioriterade fågelarter.docx", "A 13073-2023")</f>
        <v/>
      </c>
    </row>
    <row r="31" ht="15" customHeight="1">
      <c r="A31" t="inlineStr">
        <is>
          <t>A 42245-2025</t>
        </is>
      </c>
      <c r="B31" t="inlineStr">
        <is>
          <t>avverkningsanmälan</t>
        </is>
      </c>
      <c r="C31" t="inlineStr">
        <is>
          <t>Föryngringsavverkning</t>
        </is>
      </c>
      <c r="D31" s="1" t="n">
        <v>45904</v>
      </c>
      <c r="E31" s="1" t="n">
        <v>46313</v>
      </c>
      <c r="F31" t="inlineStr">
        <is>
          <t>SÖDERMANLANDS LÄN</t>
        </is>
      </c>
      <c r="G31" t="inlineStr">
        <is>
          <t>ESKILSTUNA</t>
        </is>
      </c>
      <c r="H31" t="inlineStr">
        <is>
          <t>Kyrkan</t>
        </is>
      </c>
      <c r="I31" t="n">
        <v>1.7</v>
      </c>
      <c r="J31" t="n">
        <v>1</v>
      </c>
      <c r="K31" t="n">
        <v>0</v>
      </c>
      <c r="L31" t="n">
        <v>6</v>
      </c>
      <c r="M31" t="n">
        <v>1</v>
      </c>
      <c r="N31" t="n">
        <v>0</v>
      </c>
      <c r="O31" t="n">
        <v>0</v>
      </c>
      <c r="P31" t="n">
        <v>0</v>
      </c>
      <c r="Q31" t="n">
        <v>7</v>
      </c>
      <c r="R31" t="n">
        <v>1</v>
      </c>
      <c r="S31" t="n">
        <v>11</v>
      </c>
      <c r="T31" t="n">
        <v>19</v>
      </c>
      <c r="U31" t="n">
        <v>19</v>
      </c>
      <c r="V31" s="2" t="inlineStr">
        <is>
          <t>Grangråticka
Fjällig taggsvamp s.str.
Flattoppad klubbsvamp
Fyrflikig jordstjärna
Skarp dropptaggsvamp
Svart taggsvamp
Svinrot
Blåbär
Blåsippa
Ekbräken
Liljekonvalj</t>
        </is>
      </c>
      <c r="W31">
        <f>HYPERLINK("https://klasma.github.io/Logging_0484/artfynd/A 42245-2025 artfynd.xlsx", "A 42245-2025")</f>
        <v/>
      </c>
      <c r="X31">
        <f>HYPERLINK("https://klasma.github.io/Logging_0484/kartor/A 42245-2025 karta.png", "A 42245-2025")</f>
        <v/>
      </c>
      <c r="Y31">
        <f>HYPERLINK("https://klasma.github.io/Logging_0484/kartor_geotiff/A 42245-2025 georefererad karta.tif", "A 42245-2025")</f>
        <v/>
      </c>
      <c r="AA31">
        <f>HYPERLINK("https://klasma.github.io/Logging_0484/klagomål/A 42245-2025 FSC-klagomål.docx", "A 42245-2025")</f>
        <v/>
      </c>
      <c r="AB31">
        <f>HYPERLINK("https://klasma.github.io/Logging_0484/klagomålsmail/A 42245-2025 FSC-klagomål mail.docx", "A 42245-2025")</f>
        <v/>
      </c>
      <c r="AC31">
        <f>HYPERLINK("https://klasma.github.io/Logging_0484/tillsyn/A 42245-2025 tillsynsbegäran.docx", "A 42245-2025")</f>
        <v/>
      </c>
      <c r="AD31">
        <f>HYPERLINK("https://klasma.github.io/Logging_0484/tillsynsmail/A 42245-2025 tillsynsbegäran mail.docx", "A 42245-2025")</f>
        <v/>
      </c>
    </row>
    <row r="32" ht="15" customHeight="1">
      <c r="A32" t="inlineStr">
        <is>
          <t>A 34095-2022</t>
        </is>
      </c>
      <c r="B32" t="inlineStr">
        <is>
          <t>avverkningsanmälan</t>
        </is>
      </c>
      <c r="C32" t="inlineStr">
        <is>
          <t>Föryngringsavverkning</t>
        </is>
      </c>
      <c r="D32" s="1" t="n">
        <v>44791</v>
      </c>
      <c r="E32" s="1" t="n">
        <v>46313</v>
      </c>
      <c r="F32" t="inlineStr">
        <is>
          <t>SÖDERMANLANDS LÄN</t>
        </is>
      </c>
      <c r="G32" t="inlineStr">
        <is>
          <t>FLEN</t>
        </is>
      </c>
      <c r="I32" t="n">
        <v>3.6</v>
      </c>
      <c r="J32" t="n">
        <v>2</v>
      </c>
      <c r="K32" t="n">
        <v>0</v>
      </c>
      <c r="L32" t="n">
        <v>2</v>
      </c>
      <c r="M32" t="n">
        <v>0</v>
      </c>
      <c r="N32" t="n">
        <v>0</v>
      </c>
      <c r="O32" t="n">
        <v>0</v>
      </c>
      <c r="P32" t="n">
        <v>0</v>
      </c>
      <c r="Q32" t="n">
        <v>2</v>
      </c>
      <c r="R32" t="n">
        <v>0</v>
      </c>
      <c r="S32" t="n">
        <v>11</v>
      </c>
      <c r="T32" t="n">
        <v>11</v>
      </c>
      <c r="U32" t="n">
        <v>11</v>
      </c>
      <c r="V32" s="2" t="inlineStr">
        <is>
          <t>Svinrot
Vanlig backsmörblomma
Bergsslok
Blåbär
Blåsippa
Liljekonvalj
Ormbär
Sälg
Vitsippa
Ängskovall
Gullviva</t>
        </is>
      </c>
      <c r="W32">
        <f>HYPERLINK("https://klasma.github.io/Logging_0482/artfynd/A 34095-2022 artfynd.xlsx", "A 34095-2022")</f>
        <v/>
      </c>
      <c r="X32">
        <f>HYPERLINK("https://klasma.github.io/Logging_0482/kartor/A 34095-2022 karta.png", "A 34095-2022")</f>
        <v/>
      </c>
      <c r="Y32">
        <f>HYPERLINK("https://klasma.github.io/Logging_0482/kartor_geotiff/A 34095-2022 georefererad karta.tif", "A 34095-2022")</f>
        <v/>
      </c>
      <c r="AA32">
        <f>HYPERLINK("https://klasma.github.io/Logging_0482/klagomål/A 34095-2022 FSC-klagomål.docx", "A 34095-2022")</f>
        <v/>
      </c>
      <c r="AB32">
        <f>HYPERLINK("https://klasma.github.io/Logging_0482/klagomålsmail/A 34095-2022 FSC-klagomål mail.docx", "A 34095-2022")</f>
        <v/>
      </c>
      <c r="AC32">
        <f>HYPERLINK("https://klasma.github.io/Logging_0482/tillsyn/A 34095-2022 tillsynsbegäran.docx", "A 34095-2022")</f>
        <v/>
      </c>
      <c r="AD32">
        <f>HYPERLINK("https://klasma.github.io/Logging_0482/tillsynsmail/A 34095-2022 tillsynsbegäran mail.docx", "A 34095-2022")</f>
        <v/>
      </c>
    </row>
    <row r="33" ht="15" customHeight="1">
      <c r="A33" t="inlineStr">
        <is>
          <t>A 11874-2023</t>
        </is>
      </c>
      <c r="B33" t="inlineStr">
        <is>
          <t>avverkningsanmälan</t>
        </is>
      </c>
      <c r="C33" t="inlineStr">
        <is>
          <t>Föryngringsavverkning</t>
        </is>
      </c>
      <c r="D33" s="1" t="n">
        <v>44995</v>
      </c>
      <c r="E33" s="1" t="n">
        <v>46313</v>
      </c>
      <c r="F33" t="inlineStr">
        <is>
          <t>SÖDERMANLANDS LÄN</t>
        </is>
      </c>
      <c r="G33" t="inlineStr">
        <is>
          <t>KATRINEHOLM</t>
        </is>
      </c>
      <c r="H33" t="inlineStr">
        <is>
          <t>Kommuner</t>
        </is>
      </c>
      <c r="I33" t="n">
        <v>5.1</v>
      </c>
      <c r="J33" t="n">
        <v>6</v>
      </c>
      <c r="K33" t="n">
        <v>4</v>
      </c>
      <c r="L33" t="n">
        <v>3</v>
      </c>
      <c r="M33" t="n">
        <v>1</v>
      </c>
      <c r="N33" t="n">
        <v>1</v>
      </c>
      <c r="O33" t="n">
        <v>0</v>
      </c>
      <c r="P33" t="n">
        <v>0</v>
      </c>
      <c r="Q33" t="n">
        <v>5</v>
      </c>
      <c r="R33" t="n">
        <v>2</v>
      </c>
      <c r="S33" t="n">
        <v>11</v>
      </c>
      <c r="T33" t="n">
        <v>31</v>
      </c>
      <c r="U33" t="n">
        <v>7</v>
      </c>
      <c r="V33" s="2" t="inlineStr">
        <is>
          <t>Bombmurkla
Knärot
Fjällig taggsvamp s.str.
Mindre hackspett
Rosentrattskivling
Blåmossa
Grönpyrola
Plattlummer
Trådticka
Mattlummer
Revlummer</t>
        </is>
      </c>
      <c r="W33">
        <f>HYPERLINK("https://klasma.github.io/Logging_0483/artfynd/A 11874-2023 artfynd.xlsx", "A 11874-2023")</f>
        <v/>
      </c>
      <c r="X33">
        <f>HYPERLINK("https://klasma.github.io/Logging_0483/kartor/A 11874-2023 karta.png", "A 11874-2023")</f>
        <v/>
      </c>
      <c r="Y33">
        <f>HYPERLINK("https://klasma.github.io/Logging_0483/kartor_geotiff/A 11874-2023 georefererad karta.tif", "A 11874-2023")</f>
        <v/>
      </c>
      <c r="Z33">
        <f>HYPERLINK("https://klasma.github.io/Logging_0483/knärot/A 11874-2023 karta knärot.png", "A 11874-2023")</f>
        <v/>
      </c>
      <c r="AA33">
        <f>HYPERLINK("https://klasma.github.io/Logging_0483/klagomål/A 11874-2023 FSC-klagomål.docx", "A 11874-2023")</f>
        <v/>
      </c>
      <c r="AB33">
        <f>HYPERLINK("https://klasma.github.io/Logging_0483/klagomålsmail/A 11874-2023 FSC-klagomål mail.docx", "A 11874-2023")</f>
        <v/>
      </c>
      <c r="AC33">
        <f>HYPERLINK("https://klasma.github.io/Logging_0483/tillsyn/A 11874-2023 tillsynsbegäran.docx", "A 11874-2023")</f>
        <v/>
      </c>
      <c r="AD33">
        <f>HYPERLINK("https://klasma.github.io/Logging_0483/tillsynsmail/A 11874-2023 tillsynsbegäran mail.docx", "A 11874-2023")</f>
        <v/>
      </c>
      <c r="AE33">
        <f>HYPERLINK("https://klasma.github.io/Logging_0483/fåglar/A 11874-2023 prioriterade fågelarter.docx", "A 11874-2023")</f>
        <v/>
      </c>
    </row>
    <row r="34" ht="15" customHeight="1">
      <c r="A34" t="inlineStr">
        <is>
          <t>S 7781-2021</t>
        </is>
      </c>
      <c r="B34" t="inlineStr">
        <is>
          <t>samrådsanmälan</t>
        </is>
      </c>
      <c r="C34" t="inlineStr">
        <is>
          <t>Åtgärd i nyckelbiotop</t>
        </is>
      </c>
      <c r="D34" s="1" t="n">
        <v>44481</v>
      </c>
      <c r="E34" s="1" t="n">
        <v>46313</v>
      </c>
      <c r="F34" t="inlineStr">
        <is>
          <t>SÖDERMANLANDS LÄN</t>
        </is>
      </c>
      <c r="G34" t="inlineStr">
        <is>
          <t>FLEN</t>
        </is>
      </c>
      <c r="I34" t="n">
        <v>3.1</v>
      </c>
      <c r="J34" t="n">
        <v>0</v>
      </c>
      <c r="K34" t="n">
        <v>6</v>
      </c>
      <c r="L34" t="n">
        <v>5</v>
      </c>
      <c r="M34" t="n">
        <v>0</v>
      </c>
      <c r="N34" t="n">
        <v>0</v>
      </c>
      <c r="O34" t="n">
        <v>0</v>
      </c>
      <c r="P34" t="n">
        <v>0</v>
      </c>
      <c r="Q34" t="n">
        <v>5</v>
      </c>
      <c r="R34" t="n">
        <v>0</v>
      </c>
      <c r="S34" t="n">
        <v>11</v>
      </c>
      <c r="T34" t="n">
        <v>23</v>
      </c>
      <c r="U34" t="n">
        <v>9</v>
      </c>
      <c r="V34" s="2" t="inlineStr">
        <is>
          <t>Blekticka
Fjällig taggsvamp s.str.
Fyrflikig jordstjärna
Tallticka
Ullticka
Barkticka
Fällmossa
Granbarkgnagare
Guldlockmossa
Hasselticka
Platt fjädermossa</t>
        </is>
      </c>
      <c r="W34">
        <f>HYPERLINK("https://klasma.github.io/Logging_0482/artfynd/S 7781-2021 artfynd.xlsx", "S 7781-2021")</f>
        <v/>
      </c>
      <c r="X34">
        <f>HYPERLINK("https://klasma.github.io/Logging_0482/kartor/S 7781-2021 karta.png", "S 7781-2021")</f>
        <v/>
      </c>
      <c r="Y34">
        <f>HYPERLINK("https://klasma.github.io/Logging_0482/kartor_geotiff/S 7781-2021 georefererad karta.tif", "S 7781-2021")</f>
        <v/>
      </c>
      <c r="AA34">
        <f>HYPERLINK("https://klasma.github.io/Logging_0482/klagomål/S 7781-2021 FSC-klagomål.docx", "S 7781-2021")</f>
        <v/>
      </c>
      <c r="AB34">
        <f>HYPERLINK("https://klasma.github.io/Logging_0482/klagomålsmail/S 7781-2021 FSC-klagomål mail.docx", "S 7781-2021")</f>
        <v/>
      </c>
      <c r="AC34">
        <f>HYPERLINK("https://klasma.github.io/Logging_0482/tillsyn/S 7781-2021 tillsynsbegäran.docx", "S 7781-2021")</f>
        <v/>
      </c>
      <c r="AD34">
        <f>HYPERLINK("https://klasma.github.io/Logging_0482/tillsynsmail/S 7781-2021 tillsynsbegäran mail.docx", "S 7781-2021")</f>
        <v/>
      </c>
    </row>
    <row r="35" ht="15" customHeight="1">
      <c r="A35" t="inlineStr">
        <is>
          <t>S 1456-2025</t>
        </is>
      </c>
      <c r="B35" t="inlineStr">
        <is>
          <t>samrådsanmälan</t>
        </is>
      </c>
      <c r="C35" t="inlineStr">
        <is>
          <t>Annan skogsbruksåtgärd</t>
        </is>
      </c>
      <c r="D35" s="1" t="n">
        <v>45785</v>
      </c>
      <c r="E35" s="1" t="n">
        <v>46313</v>
      </c>
      <c r="F35" t="inlineStr">
        <is>
          <t>SÖDERMANLANDS LÄN</t>
        </is>
      </c>
      <c r="G35" t="inlineStr">
        <is>
          <t>GNESTA</t>
        </is>
      </c>
      <c r="I35" t="n">
        <v>13.4</v>
      </c>
      <c r="J35" t="n">
        <v>2</v>
      </c>
      <c r="K35" t="n">
        <v>6</v>
      </c>
      <c r="L35" t="n">
        <v>3</v>
      </c>
      <c r="M35" t="n">
        <v>0</v>
      </c>
      <c r="N35" t="n">
        <v>1</v>
      </c>
      <c r="O35" t="n">
        <v>0</v>
      </c>
      <c r="P35" t="n">
        <v>0</v>
      </c>
      <c r="Q35" t="n">
        <v>4</v>
      </c>
      <c r="R35" t="n">
        <v>1</v>
      </c>
      <c r="S35" t="n">
        <v>11</v>
      </c>
      <c r="T35" t="n">
        <v>13</v>
      </c>
      <c r="U35" t="n">
        <v>0</v>
      </c>
      <c r="V35" s="2" t="inlineStr">
        <is>
          <t>Skogsalm
Bergjohannesört
Svartvit taggsvamp
Tjockfotad fingersvamp
Grön sköldmossa
Guldlockmossa
Hasselticka
Mandelriska
Stubbspretmossa
Zontaggsvamp
Vanlig padda</t>
        </is>
      </c>
      <c r="W35">
        <f>HYPERLINK("https://klasma.github.io/Logging_0461/artfynd/S 1456-2025 artfynd.xlsx", "S 1456-2025")</f>
        <v/>
      </c>
      <c r="X35">
        <f>HYPERLINK("https://klasma.github.io/Logging_0461/kartor/S 1456-2025 karta.png", "S 1456-2025")</f>
        <v/>
      </c>
      <c r="Y35">
        <f>HYPERLINK("https://klasma.github.io/Logging_0461/kartor_geotiff/S 1456-2025 georefererad karta.tif", "S 1456-2025")</f>
        <v/>
      </c>
      <c r="AA35">
        <f>HYPERLINK("https://klasma.github.io/Logging_0461/klagomål/S 1456-2025 FSC-klagomål.docx", "S 1456-2025")</f>
        <v/>
      </c>
      <c r="AB35">
        <f>HYPERLINK("https://klasma.github.io/Logging_0461/klagomålsmail/S 1456-2025 FSC-klagomål mail.docx", "S 1456-2025")</f>
        <v/>
      </c>
      <c r="AC35">
        <f>HYPERLINK("https://klasma.github.io/Logging_0461/tillsyn/S 1456-2025 tillsynsbegäran.docx", "S 1456-2025")</f>
        <v/>
      </c>
      <c r="AD35">
        <f>HYPERLINK("https://klasma.github.io/Logging_0461/tillsynsmail/S 1456-2025 tillsynsbegäran mail.docx", "S 1456-2025")</f>
        <v/>
      </c>
    </row>
    <row r="36" ht="15" customHeight="1">
      <c r="A36" t="inlineStr">
        <is>
          <t>A 52020-2025</t>
        </is>
      </c>
      <c r="B36" t="inlineStr">
        <is>
          <t>avverkningsanmälan</t>
        </is>
      </c>
      <c r="C36" t="inlineStr">
        <is>
          <t>Föryngringsavverkning</t>
        </is>
      </c>
      <c r="D36" s="1" t="n">
        <v>45952</v>
      </c>
      <c r="E36" s="1" t="n">
        <v>46313</v>
      </c>
      <c r="F36" t="inlineStr">
        <is>
          <t>SÖDERMANLANDS LÄN</t>
        </is>
      </c>
      <c r="G36" t="inlineStr">
        <is>
          <t>NYKÖPING</t>
        </is>
      </c>
      <c r="H36" t="inlineStr">
        <is>
          <t>Holmen skog AB</t>
        </is>
      </c>
      <c r="I36" t="n">
        <v>13.5</v>
      </c>
      <c r="J36" t="n">
        <v>1</v>
      </c>
      <c r="K36" t="n">
        <v>4</v>
      </c>
      <c r="L36" t="n">
        <v>6</v>
      </c>
      <c r="M36" t="n">
        <v>0</v>
      </c>
      <c r="N36" t="n">
        <v>0</v>
      </c>
      <c r="O36" t="n">
        <v>0</v>
      </c>
      <c r="P36" t="n">
        <v>0</v>
      </c>
      <c r="Q36" t="n">
        <v>6</v>
      </c>
      <c r="R36" t="n">
        <v>0</v>
      </c>
      <c r="S36" t="n">
        <v>10</v>
      </c>
      <c r="T36" t="n">
        <v>11</v>
      </c>
      <c r="U36" t="n">
        <v>7</v>
      </c>
      <c r="V36" s="2" t="inlineStr">
        <is>
          <t>Dropptaggsvamp
Motaggsvamp
Svartvit taggsvamp
Tallticka
Talltita
Vedskivlav
Blåmossa
Grönpyrola
Klippfrullania
Stor revmossa</t>
        </is>
      </c>
      <c r="W36">
        <f>HYPERLINK("https://klasma.github.io/Logging_0480/artfynd/A 52020-2025 artfynd.xlsx", "A 52020-2025")</f>
        <v/>
      </c>
      <c r="X36">
        <f>HYPERLINK("https://klasma.github.io/Logging_0480/kartor/A 52020-2025 karta.png", "A 52020-2025")</f>
        <v/>
      </c>
      <c r="Y36">
        <f>HYPERLINK("https://klasma.github.io/Logging_0480/kartor_geotiff/A 52020-2025 georefererad karta.tif", "A 52020-2025")</f>
        <v/>
      </c>
      <c r="AA36">
        <f>HYPERLINK("https://klasma.github.io/Logging_0480/klagomål/A 52020-2025 FSC-klagomål.docx", "A 52020-2025")</f>
        <v/>
      </c>
      <c r="AB36">
        <f>HYPERLINK("https://klasma.github.io/Logging_0480/klagomålsmail/A 52020-2025 FSC-klagomål mail.docx", "A 52020-2025")</f>
        <v/>
      </c>
      <c r="AC36">
        <f>HYPERLINK("https://klasma.github.io/Logging_0480/tillsyn/A 52020-2025 tillsynsbegäran.docx", "A 52020-2025")</f>
        <v/>
      </c>
      <c r="AD36">
        <f>HYPERLINK("https://klasma.github.io/Logging_0480/tillsynsmail/A 52020-2025 tillsynsbegäran mail.docx", "A 52020-2025")</f>
        <v/>
      </c>
      <c r="AE36">
        <f>HYPERLINK("https://klasma.github.io/Logging_0480/fåglar/A 52020-2025 prioriterade fågelarter.docx", "A 52020-2025")</f>
        <v/>
      </c>
    </row>
    <row r="37" ht="15" customHeight="1">
      <c r="A37" t="inlineStr">
        <is>
          <t>A 12419-2023</t>
        </is>
      </c>
      <c r="B37" t="inlineStr">
        <is>
          <t>avverkningsanmälan</t>
        </is>
      </c>
      <c r="C37" t="inlineStr">
        <is>
          <t>Föryngringsavverkning</t>
        </is>
      </c>
      <c r="D37" s="1" t="n">
        <v>44998</v>
      </c>
      <c r="E37" s="1" t="n">
        <v>46313</v>
      </c>
      <c r="F37" t="inlineStr">
        <is>
          <t>SÖDERMANLANDS LÄN</t>
        </is>
      </c>
      <c r="G37" t="inlineStr">
        <is>
          <t>FLEN</t>
        </is>
      </c>
      <c r="I37" t="n">
        <v>6.3</v>
      </c>
      <c r="J37" t="n">
        <v>3</v>
      </c>
      <c r="K37" t="n">
        <v>1</v>
      </c>
      <c r="L37" t="n">
        <v>7</v>
      </c>
      <c r="M37" t="n">
        <v>0</v>
      </c>
      <c r="N37" t="n">
        <v>0</v>
      </c>
      <c r="O37" t="n">
        <v>0</v>
      </c>
      <c r="P37" t="n">
        <v>0</v>
      </c>
      <c r="Q37" t="n">
        <v>7</v>
      </c>
      <c r="R37" t="n">
        <v>0</v>
      </c>
      <c r="S37" t="n">
        <v>10</v>
      </c>
      <c r="T37" t="n">
        <v>11</v>
      </c>
      <c r="U37" t="n">
        <v>8</v>
      </c>
      <c r="V37" s="2" t="inlineStr">
        <is>
          <t>Gullklöver
Gulsparv
Kandelabersvamp
Krusfrö
Skogsklocka
Svinrot
Veckticka
Barkticka
Havsörn
Röd glada</t>
        </is>
      </c>
      <c r="W37">
        <f>HYPERLINK("https://klasma.github.io/Logging_0482/artfynd/A 12419-2023 artfynd.xlsx", "A 12419-2023")</f>
        <v/>
      </c>
      <c r="X37">
        <f>HYPERLINK("https://klasma.github.io/Logging_0482/kartor/A 12419-2023 karta.png", "A 12419-2023")</f>
        <v/>
      </c>
      <c r="Y37">
        <f>HYPERLINK("https://klasma.github.io/Logging_0482/kartor_geotiff/A 12419-2023 georefererad karta.tif", "A 12419-2023")</f>
        <v/>
      </c>
      <c r="AA37">
        <f>HYPERLINK("https://klasma.github.io/Logging_0482/klagomål/A 12419-2023 FSC-klagomål.docx", "A 12419-2023")</f>
        <v/>
      </c>
      <c r="AB37">
        <f>HYPERLINK("https://klasma.github.io/Logging_0482/klagomålsmail/A 12419-2023 FSC-klagomål mail.docx", "A 12419-2023")</f>
        <v/>
      </c>
      <c r="AC37">
        <f>HYPERLINK("https://klasma.github.io/Logging_0482/tillsyn/A 12419-2023 tillsynsbegäran.docx", "A 12419-2023")</f>
        <v/>
      </c>
      <c r="AD37">
        <f>HYPERLINK("https://klasma.github.io/Logging_0482/tillsynsmail/A 12419-2023 tillsynsbegäran mail.docx", "A 12419-2023")</f>
        <v/>
      </c>
      <c r="AE37">
        <f>HYPERLINK("https://klasma.github.io/Logging_0482/fåglar/A 12419-2023 prioriterade fågelarter.docx", "A 12419-2023")</f>
        <v/>
      </c>
    </row>
    <row r="38" ht="15" customHeight="1">
      <c r="A38" t="inlineStr">
        <is>
          <t>S 4518-2023</t>
        </is>
      </c>
      <c r="B38" t="inlineStr">
        <is>
          <t>samrådsanmälan</t>
        </is>
      </c>
      <c r="C38" t="inlineStr">
        <is>
          <t>Skogsgödsling</t>
        </is>
      </c>
      <c r="D38" s="1" t="n">
        <v>45275</v>
      </c>
      <c r="E38" s="1" t="n">
        <v>46313</v>
      </c>
      <c r="F38" t="inlineStr">
        <is>
          <t>SÖDERMANLANDS LÄN</t>
        </is>
      </c>
      <c r="G38" t="inlineStr">
        <is>
          <t>NYKÖPING</t>
        </is>
      </c>
      <c r="H38" t="inlineStr">
        <is>
          <t>Holmen skog AB</t>
        </is>
      </c>
      <c r="I38" t="n">
        <v>99.59999999999999</v>
      </c>
      <c r="J38" t="n">
        <v>10</v>
      </c>
      <c r="K38" t="n">
        <v>0</v>
      </c>
      <c r="L38" t="n">
        <v>1</v>
      </c>
      <c r="M38" t="n">
        <v>1</v>
      </c>
      <c r="N38" t="n">
        <v>0</v>
      </c>
      <c r="O38" t="n">
        <v>0</v>
      </c>
      <c r="P38" t="n">
        <v>0</v>
      </c>
      <c r="Q38" t="n">
        <v>2</v>
      </c>
      <c r="R38" t="n">
        <v>1</v>
      </c>
      <c r="S38" t="n">
        <v>10</v>
      </c>
      <c r="T38" t="n">
        <v>17</v>
      </c>
      <c r="U38" t="n">
        <v>8</v>
      </c>
      <c r="V38" s="2" t="inlineStr">
        <is>
          <t>Knärot
Gulsparv
Hårklomossa
Mattlummer
Spillkråka
Tjäder
Gröngöling
Kråka
Kungsfågel
Lopplummer (aggregat)</t>
        </is>
      </c>
      <c r="W38">
        <f>HYPERLINK("https://klasma.github.io/Logging_0480/artfynd/S 4518-2023 artfynd.xlsx", "S 4518-2023")</f>
        <v/>
      </c>
      <c r="X38">
        <f>HYPERLINK("https://klasma.github.io/Logging_0480/kartor/S 4518-2023 karta.png", "S 4518-2023")</f>
        <v/>
      </c>
      <c r="Y38">
        <f>HYPERLINK("https://klasma.github.io/Logging_0480/kartor_geotiff/S 4518-2023 georefererad karta.tif", "S 4518-2023")</f>
        <v/>
      </c>
      <c r="Z38">
        <f>HYPERLINK("https://klasma.github.io/Logging_0480/knärot/S 4518-2023 karta knärot.png", "S 4518-2023")</f>
        <v/>
      </c>
      <c r="AA38">
        <f>HYPERLINK("https://klasma.github.io/Logging_0480/klagomål/S 4518-2023 FSC-klagomål.docx", "S 4518-2023")</f>
        <v/>
      </c>
      <c r="AB38">
        <f>HYPERLINK("https://klasma.github.io/Logging_0480/klagomålsmail/S 4518-2023 FSC-klagomål mail.docx", "S 4518-2023")</f>
        <v/>
      </c>
      <c r="AC38">
        <f>HYPERLINK("https://klasma.github.io/Logging_0480/tillsyn/S 4518-2023 tillsynsbegäran.docx", "S 4518-2023")</f>
        <v/>
      </c>
      <c r="AD38">
        <f>HYPERLINK("https://klasma.github.io/Logging_0480/tillsynsmail/S 4518-2023 tillsynsbegäran mail.docx", "S 4518-2023")</f>
        <v/>
      </c>
      <c r="AE38">
        <f>HYPERLINK("https://klasma.github.io/Logging_0480/fåglar/S 4518-2023 prioriterade fågelarter.docx", "S 4518-2023")</f>
        <v/>
      </c>
    </row>
    <row r="39" ht="15" customHeight="1">
      <c r="A39" t="inlineStr">
        <is>
          <t>S 1737-2022</t>
        </is>
      </c>
      <c r="B39" t="inlineStr">
        <is>
          <t>samrådsanmälan</t>
        </is>
      </c>
      <c r="C39" t="inlineStr">
        <is>
          <t>Annan skogsbruksåtgärd</t>
        </is>
      </c>
      <c r="D39" s="1" t="n">
        <v>44650</v>
      </c>
      <c r="E39" s="1" t="n">
        <v>46313</v>
      </c>
      <c r="F39" t="inlineStr">
        <is>
          <t>SÖDERMANLANDS LÄN</t>
        </is>
      </c>
      <c r="G39" t="inlineStr">
        <is>
          <t>FLEN</t>
        </is>
      </c>
      <c r="I39" t="n">
        <v>2.8</v>
      </c>
      <c r="J39" t="n">
        <v>1</v>
      </c>
      <c r="K39" t="n">
        <v>7</v>
      </c>
      <c r="L39" t="n">
        <v>1</v>
      </c>
      <c r="M39" t="n">
        <v>1</v>
      </c>
      <c r="N39" t="n">
        <v>0</v>
      </c>
      <c r="O39" t="n">
        <v>0</v>
      </c>
      <c r="P39" t="n">
        <v>0</v>
      </c>
      <c r="Q39" t="n">
        <v>2</v>
      </c>
      <c r="R39" t="n">
        <v>1</v>
      </c>
      <c r="S39" t="n">
        <v>10</v>
      </c>
      <c r="T39" t="n">
        <v>15</v>
      </c>
      <c r="U39" t="n">
        <v>1</v>
      </c>
      <c r="V39" s="2" t="inlineStr">
        <is>
          <t>Apelticka
Tallticka
Barkticka
Fällmossa
Granbarkgnagare
Grovticka
Jättesvampmal
Papegojvaxing
Rävticka
Blåsippa</t>
        </is>
      </c>
      <c r="W39">
        <f>HYPERLINK("https://klasma.github.io/Logging_0482/artfynd/S 1737-2022 artfynd.xlsx", "S 1737-2022")</f>
        <v/>
      </c>
      <c r="X39">
        <f>HYPERLINK("https://klasma.github.io/Logging_0482/kartor/S 1737-2022 karta.png", "S 1737-2022")</f>
        <v/>
      </c>
      <c r="Y39">
        <f>HYPERLINK("https://klasma.github.io/Logging_0482/kartor_geotiff/S 1737-2022 georefererad karta.tif", "S 1737-2022")</f>
        <v/>
      </c>
      <c r="AA39">
        <f>HYPERLINK("https://klasma.github.io/Logging_0482/klagomål/S 1737-2022 FSC-klagomål.docx", "S 1737-2022")</f>
        <v/>
      </c>
      <c r="AB39">
        <f>HYPERLINK("https://klasma.github.io/Logging_0482/klagomålsmail/S 1737-2022 FSC-klagomål mail.docx", "S 1737-2022")</f>
        <v/>
      </c>
      <c r="AC39">
        <f>HYPERLINK("https://klasma.github.io/Logging_0482/tillsyn/S 1737-2022 tillsynsbegäran.docx", "S 1737-2022")</f>
        <v/>
      </c>
      <c r="AD39">
        <f>HYPERLINK("https://klasma.github.io/Logging_0482/tillsynsmail/S 1737-2022 tillsynsbegäran mail.docx", "S 1737-2022")</f>
        <v/>
      </c>
    </row>
    <row r="40" ht="15" customHeight="1">
      <c r="A40" t="inlineStr">
        <is>
          <t>S 2707-2025</t>
        </is>
      </c>
      <c r="B40" t="inlineStr">
        <is>
          <t>samrådsanmälan</t>
        </is>
      </c>
      <c r="C40" t="inlineStr">
        <is>
          <t>Annan skogsbruksåtgärd</t>
        </is>
      </c>
      <c r="D40" s="1" t="n">
        <v>45930</v>
      </c>
      <c r="E40" s="1" t="n">
        <v>46313</v>
      </c>
      <c r="F40" t="inlineStr">
        <is>
          <t>SÖDERMANLANDS LÄN</t>
        </is>
      </c>
      <c r="G40" t="inlineStr">
        <is>
          <t>TROSA</t>
        </is>
      </c>
      <c r="I40" t="n">
        <v>10.3</v>
      </c>
      <c r="J40" t="n">
        <v>1</v>
      </c>
      <c r="K40" t="n">
        <v>5</v>
      </c>
      <c r="L40" t="n">
        <v>3</v>
      </c>
      <c r="M40" t="n">
        <v>0</v>
      </c>
      <c r="N40" t="n">
        <v>1</v>
      </c>
      <c r="O40" t="n">
        <v>0</v>
      </c>
      <c r="P40" t="n">
        <v>0</v>
      </c>
      <c r="Q40" t="n">
        <v>4</v>
      </c>
      <c r="R40" t="n">
        <v>1</v>
      </c>
      <c r="S40" t="n">
        <v>10</v>
      </c>
      <c r="T40" t="n">
        <v>12</v>
      </c>
      <c r="U40" t="n">
        <v>0</v>
      </c>
      <c r="V40" s="2" t="inlineStr">
        <is>
          <t>Ask
Ekticka
Lunglav
Sårläka
Bolmörtsskivling
Fällmossa
Guldlockmossa
Gulvaxing
Svart trolldruva
Blåsippa</t>
        </is>
      </c>
      <c r="W40">
        <f>HYPERLINK("https://klasma.github.io/Logging_0488/artfynd/S 2707-2025 artfynd.xlsx", "S 2707-2025")</f>
        <v/>
      </c>
      <c r="X40">
        <f>HYPERLINK("https://klasma.github.io/Logging_0488/kartor/S 2707-2025 karta.png", "S 2707-2025")</f>
        <v/>
      </c>
      <c r="Y40">
        <f>HYPERLINK("https://klasma.github.io/Logging_0488/kartor_geotiff/S 2707-2025 georefererad karta.tif", "S 2707-2025")</f>
        <v/>
      </c>
      <c r="AA40">
        <f>HYPERLINK("https://klasma.github.io/Logging_0488/klagomål/S 2707-2025 FSC-klagomål.docx", "S 2707-2025")</f>
        <v/>
      </c>
      <c r="AB40">
        <f>HYPERLINK("https://klasma.github.io/Logging_0488/klagomålsmail/S 2707-2025 FSC-klagomål mail.docx", "S 2707-2025")</f>
        <v/>
      </c>
      <c r="AC40">
        <f>HYPERLINK("https://klasma.github.io/Logging_0488/tillsyn/S 2707-2025 tillsynsbegäran.docx", "S 2707-2025")</f>
        <v/>
      </c>
      <c r="AD40">
        <f>HYPERLINK("https://klasma.github.io/Logging_0488/tillsynsmail/S 2707-2025 tillsynsbegäran mail.docx", "S 2707-2025")</f>
        <v/>
      </c>
    </row>
    <row r="41" ht="15" customHeight="1">
      <c r="A41" t="inlineStr">
        <is>
          <t>A 68341-2021</t>
        </is>
      </c>
      <c r="B41" t="inlineStr">
        <is>
          <t>avverkningsanmälan</t>
        </is>
      </c>
      <c r="C41" t="inlineStr">
        <is>
          <t>Föryngringsavverkning</t>
        </is>
      </c>
      <c r="D41" s="1" t="n">
        <v>44528</v>
      </c>
      <c r="E41" s="1" t="n">
        <v>46313</v>
      </c>
      <c r="F41" t="inlineStr">
        <is>
          <t>SÖDERMANLANDS LÄN</t>
        </is>
      </c>
      <c r="G41" t="inlineStr">
        <is>
          <t>GNESTA</t>
        </is>
      </c>
      <c r="I41" t="n">
        <v>1.1</v>
      </c>
      <c r="J41" t="n">
        <v>2</v>
      </c>
      <c r="K41" t="n">
        <v>3</v>
      </c>
      <c r="L41" t="n">
        <v>3</v>
      </c>
      <c r="M41" t="n">
        <v>0</v>
      </c>
      <c r="N41" t="n">
        <v>1</v>
      </c>
      <c r="O41" t="n">
        <v>0</v>
      </c>
      <c r="P41" t="n">
        <v>0</v>
      </c>
      <c r="Q41" t="n">
        <v>4</v>
      </c>
      <c r="R41" t="n">
        <v>1</v>
      </c>
      <c r="S41" t="n">
        <v>9</v>
      </c>
      <c r="T41" t="n">
        <v>9</v>
      </c>
      <c r="U41" t="n">
        <v>2</v>
      </c>
      <c r="V41" s="2" t="inlineStr">
        <is>
          <t>Koppartaggsvamp
Fjällig taggsvamp s.str.
Persiljespindling
Puderspindling
Diskvaxskivling
Skogshakmossa
Toppvaxing
Blåsippa
Havsörn</t>
        </is>
      </c>
      <c r="W41">
        <f>HYPERLINK("https://klasma.github.io/Logging_0461/artfynd/A 68341-2021 artfynd.xlsx", "A 68341-2021")</f>
        <v/>
      </c>
      <c r="X41">
        <f>HYPERLINK("https://klasma.github.io/Logging_0461/kartor/A 68341-2021 karta.png", "A 68341-2021")</f>
        <v/>
      </c>
      <c r="Y41">
        <f>HYPERLINK("https://klasma.github.io/Logging_0461/kartor_geotiff/A 68341-2021 georefererad karta.tif", "A 68341-2021")</f>
        <v/>
      </c>
      <c r="AA41">
        <f>HYPERLINK("https://klasma.github.io/Logging_0461/klagomål/A 68341-2021 FSC-klagomål.docx", "A 68341-2021")</f>
        <v/>
      </c>
      <c r="AB41">
        <f>HYPERLINK("https://klasma.github.io/Logging_0461/klagomålsmail/A 68341-2021 FSC-klagomål mail.docx", "A 68341-2021")</f>
        <v/>
      </c>
      <c r="AC41">
        <f>HYPERLINK("https://klasma.github.io/Logging_0461/tillsyn/A 68341-2021 tillsynsbegäran.docx", "A 68341-2021")</f>
        <v/>
      </c>
      <c r="AD41">
        <f>HYPERLINK("https://klasma.github.io/Logging_0461/tillsynsmail/A 68341-2021 tillsynsbegäran mail.docx", "A 68341-2021")</f>
        <v/>
      </c>
      <c r="AE41">
        <f>HYPERLINK("https://klasma.github.io/Logging_0461/fåglar/A 68341-2021 prioriterade fågelarter.docx", "A 68341-2021")</f>
        <v/>
      </c>
    </row>
    <row r="42" ht="15" customHeight="1">
      <c r="A42" t="inlineStr">
        <is>
          <t>A 57006-2023</t>
        </is>
      </c>
      <c r="B42" t="inlineStr">
        <is>
          <t>avverkningsanmälan</t>
        </is>
      </c>
      <c r="C42" t="inlineStr">
        <is>
          <t>Föryngringsavverkning</t>
        </is>
      </c>
      <c r="D42" s="1" t="n">
        <v>45244</v>
      </c>
      <c r="E42" s="1" t="n">
        <v>46313</v>
      </c>
      <c r="F42" t="inlineStr">
        <is>
          <t>SÖDERMANLANDS LÄN</t>
        </is>
      </c>
      <c r="G42" t="inlineStr">
        <is>
          <t>NYKÖPING</t>
        </is>
      </c>
      <c r="H42" t="inlineStr">
        <is>
          <t>Kommuner</t>
        </is>
      </c>
      <c r="I42" t="n">
        <v>11.9</v>
      </c>
      <c r="J42" t="n">
        <v>8</v>
      </c>
      <c r="K42" t="n">
        <v>1</v>
      </c>
      <c r="L42" t="n">
        <v>5</v>
      </c>
      <c r="M42" t="n">
        <v>1</v>
      </c>
      <c r="N42" t="n">
        <v>0</v>
      </c>
      <c r="O42" t="n">
        <v>0</v>
      </c>
      <c r="P42" t="n">
        <v>0</v>
      </c>
      <c r="Q42" t="n">
        <v>6</v>
      </c>
      <c r="R42" t="n">
        <v>1</v>
      </c>
      <c r="S42" t="n">
        <v>9</v>
      </c>
      <c r="T42" t="n">
        <v>11</v>
      </c>
      <c r="U42" t="n">
        <v>8</v>
      </c>
      <c r="V42" s="2" t="inlineStr">
        <is>
          <t>Tornseglare
Enkelbeckasin
Gulsparv
Järnsparv
Kricka
Sädesärla
Rödgul trumpetsvamp
Svartvit flugsnappare
Åkergroda</t>
        </is>
      </c>
      <c r="W42">
        <f>HYPERLINK("https://klasma.github.io/Logging_0480/artfynd/A 57006-2023 artfynd.xlsx", "A 57006-2023")</f>
        <v/>
      </c>
      <c r="X42">
        <f>HYPERLINK("https://klasma.github.io/Logging_0480/kartor/A 57006-2023 karta.png", "A 57006-2023")</f>
        <v/>
      </c>
      <c r="Y42">
        <f>HYPERLINK("https://klasma.github.io/Logging_0480/kartor_geotiff/A 57006-2023 georefererad karta.tif", "A 57006-2023")</f>
        <v/>
      </c>
      <c r="AA42">
        <f>HYPERLINK("https://klasma.github.io/Logging_0480/klagomål/A 57006-2023 FSC-klagomål.docx", "A 57006-2023")</f>
        <v/>
      </c>
      <c r="AB42">
        <f>HYPERLINK("https://klasma.github.io/Logging_0480/klagomålsmail/A 57006-2023 FSC-klagomål mail.docx", "A 57006-2023")</f>
        <v/>
      </c>
      <c r="AC42">
        <f>HYPERLINK("https://klasma.github.io/Logging_0480/tillsyn/A 57006-2023 tillsynsbegäran.docx", "A 57006-2023")</f>
        <v/>
      </c>
      <c r="AD42">
        <f>HYPERLINK("https://klasma.github.io/Logging_0480/tillsynsmail/A 57006-2023 tillsynsbegäran mail.docx", "A 57006-2023")</f>
        <v/>
      </c>
      <c r="AE42">
        <f>HYPERLINK("https://klasma.github.io/Logging_0480/fåglar/A 57006-2023 prioriterade fågelarter.docx", "A 57006-2023")</f>
        <v/>
      </c>
    </row>
    <row r="43" ht="15" customHeight="1">
      <c r="A43" t="inlineStr">
        <is>
          <t>A 71887-2021</t>
        </is>
      </c>
      <c r="B43" t="inlineStr">
        <is>
          <t>avverkningsanmälan</t>
        </is>
      </c>
      <c r="C43" t="inlineStr">
        <is>
          <t>Föryngringsavverkning</t>
        </is>
      </c>
      <c r="D43" s="1" t="n">
        <v>44543</v>
      </c>
      <c r="E43" s="1" t="n">
        <v>46313</v>
      </c>
      <c r="F43" t="inlineStr">
        <is>
          <t>SÖDERMANLANDS LÄN</t>
        </is>
      </c>
      <c r="G43" t="inlineStr">
        <is>
          <t>NYKÖPING</t>
        </is>
      </c>
      <c r="I43" t="n">
        <v>4.2</v>
      </c>
      <c r="J43" t="n">
        <v>2</v>
      </c>
      <c r="K43" t="n">
        <v>6</v>
      </c>
      <c r="L43" t="n">
        <v>1</v>
      </c>
      <c r="M43" t="n">
        <v>0</v>
      </c>
      <c r="N43" t="n">
        <v>0</v>
      </c>
      <c r="O43" t="n">
        <v>0</v>
      </c>
      <c r="P43" t="n">
        <v>0</v>
      </c>
      <c r="Q43" t="n">
        <v>1</v>
      </c>
      <c r="R43" t="n">
        <v>0</v>
      </c>
      <c r="S43" t="n">
        <v>9</v>
      </c>
      <c r="T43" t="n">
        <v>12</v>
      </c>
      <c r="U43" t="n">
        <v>0</v>
      </c>
      <c r="V43" s="2" t="inlineStr">
        <is>
          <t>Kandelabersvamp
Blomkålssvamp
Granbarkgnagare
Jättesvampmal
Stubbspretmossa
Trådticka
Vågbandad barkbock
Blåsippa
Gullviva</t>
        </is>
      </c>
      <c r="W43">
        <f>HYPERLINK("https://klasma.github.io/Logging_0480/artfynd/A 71887-2021 artfynd.xlsx", "A 71887-2021")</f>
        <v/>
      </c>
      <c r="X43">
        <f>HYPERLINK("https://klasma.github.io/Logging_0480/kartor/A 71887-2021 karta.png", "A 71887-2021")</f>
        <v/>
      </c>
      <c r="Y43">
        <f>HYPERLINK("https://klasma.github.io/Logging_0480/kartor_geotiff/A 71887-2021 georefererad karta.tif", "A 71887-2021")</f>
        <v/>
      </c>
      <c r="AA43">
        <f>HYPERLINK("https://klasma.github.io/Logging_0480/klagomål/A 71887-2021 FSC-klagomål.docx", "A 71887-2021")</f>
        <v/>
      </c>
      <c r="AB43">
        <f>HYPERLINK("https://klasma.github.io/Logging_0480/klagomålsmail/A 71887-2021 FSC-klagomål mail.docx", "A 71887-2021")</f>
        <v/>
      </c>
      <c r="AC43">
        <f>HYPERLINK("https://klasma.github.io/Logging_0480/tillsyn/A 71887-2021 tillsynsbegäran.docx", "A 71887-2021")</f>
        <v/>
      </c>
      <c r="AD43">
        <f>HYPERLINK("https://klasma.github.io/Logging_0480/tillsynsmail/A 71887-2021 tillsynsbegäran mail.docx", "A 71887-2021")</f>
        <v/>
      </c>
    </row>
    <row r="44" ht="15" customHeight="1">
      <c r="A44" t="inlineStr">
        <is>
          <t>A 42335-2025</t>
        </is>
      </c>
      <c r="B44" t="inlineStr">
        <is>
          <t>avverkningsanmälan</t>
        </is>
      </c>
      <c r="C44" t="inlineStr">
        <is>
          <t>Föryngringsavverkning</t>
        </is>
      </c>
      <c r="D44" s="1" t="n">
        <v>45904</v>
      </c>
      <c r="E44" s="1" t="n">
        <v>46313</v>
      </c>
      <c r="F44" t="inlineStr">
        <is>
          <t>SÖDERMANLANDS LÄN</t>
        </is>
      </c>
      <c r="G44" t="inlineStr">
        <is>
          <t>STRÄNGNÄS</t>
        </is>
      </c>
      <c r="I44" t="n">
        <v>6.2</v>
      </c>
      <c r="J44" t="n">
        <v>2</v>
      </c>
      <c r="K44" t="n">
        <v>5</v>
      </c>
      <c r="L44" t="n">
        <v>0</v>
      </c>
      <c r="M44" t="n">
        <v>0</v>
      </c>
      <c r="N44" t="n">
        <v>1</v>
      </c>
      <c r="O44" t="n">
        <v>0</v>
      </c>
      <c r="P44" t="n">
        <v>0</v>
      </c>
      <c r="Q44" t="n">
        <v>1</v>
      </c>
      <c r="R44" t="n">
        <v>1</v>
      </c>
      <c r="S44" t="n">
        <v>9</v>
      </c>
      <c r="T44" t="n">
        <v>12</v>
      </c>
      <c r="U44" t="n">
        <v>2</v>
      </c>
      <c r="V44" s="2" t="inlineStr">
        <is>
          <t>Ask
Fällmossa
Strutbräken
Svart trolldruva
Tibast
Trädporella
Blåsippa
Hultbräken
Spillkråka</t>
        </is>
      </c>
      <c r="W44">
        <f>HYPERLINK("https://klasma.github.io/Logging_0486/artfynd/A 42335-2025 artfynd.xlsx", "A 42335-2025")</f>
        <v/>
      </c>
      <c r="X44">
        <f>HYPERLINK("https://klasma.github.io/Logging_0486/kartor/A 42335-2025 karta.png", "A 42335-2025")</f>
        <v/>
      </c>
      <c r="Y44">
        <f>HYPERLINK("https://klasma.github.io/Logging_0486/kartor_geotiff/A 42335-2025 georefererad karta.tif", "A 42335-2025")</f>
        <v/>
      </c>
      <c r="AA44">
        <f>HYPERLINK("https://klasma.github.io/Logging_0486/klagomål/A 42335-2025 FSC-klagomål.docx", "A 42335-2025")</f>
        <v/>
      </c>
      <c r="AB44">
        <f>HYPERLINK("https://klasma.github.io/Logging_0486/klagomålsmail/A 42335-2025 FSC-klagomål mail.docx", "A 42335-2025")</f>
        <v/>
      </c>
      <c r="AC44">
        <f>HYPERLINK("https://klasma.github.io/Logging_0486/tillsyn/A 42335-2025 tillsynsbegäran.docx", "A 42335-2025")</f>
        <v/>
      </c>
      <c r="AD44">
        <f>HYPERLINK("https://klasma.github.io/Logging_0486/tillsynsmail/A 42335-2025 tillsynsbegäran mail.docx", "A 42335-2025")</f>
        <v/>
      </c>
      <c r="AE44">
        <f>HYPERLINK("https://klasma.github.io/Logging_0486/fåglar/A 42335-2025 prioriterade fågelarter.docx", "A 42335-2025")</f>
        <v/>
      </c>
    </row>
    <row r="45" ht="15" customHeight="1">
      <c r="A45" t="inlineStr">
        <is>
          <t>A 24362-2026</t>
        </is>
      </c>
      <c r="B45" t="inlineStr">
        <is>
          <t>avverkningsanmälan</t>
        </is>
      </c>
      <c r="C45" t="inlineStr">
        <is>
          <t>Föryngringsavverkning</t>
        </is>
      </c>
      <c r="D45" s="1" t="n">
        <v>46169</v>
      </c>
      <c r="E45" s="1" t="n">
        <v>46313</v>
      </c>
      <c r="F45" t="inlineStr">
        <is>
          <t>SÖDERMANLANDS LÄN</t>
        </is>
      </c>
      <c r="G45" t="inlineStr">
        <is>
          <t>KATRINEHOLM</t>
        </is>
      </c>
      <c r="I45" t="n">
        <v>13.5</v>
      </c>
      <c r="J45" t="n">
        <v>1</v>
      </c>
      <c r="K45" t="n">
        <v>1</v>
      </c>
      <c r="L45" t="n">
        <v>0</v>
      </c>
      <c r="M45" t="n">
        <v>0</v>
      </c>
      <c r="N45" t="n">
        <v>0</v>
      </c>
      <c r="O45" t="n">
        <v>0</v>
      </c>
      <c r="P45" t="n">
        <v>0</v>
      </c>
      <c r="Q45" t="n">
        <v>0</v>
      </c>
      <c r="R45" t="n">
        <v>0</v>
      </c>
      <c r="S45" t="n">
        <v>9</v>
      </c>
      <c r="T45" t="n">
        <v>9</v>
      </c>
      <c r="U45" t="n">
        <v>9</v>
      </c>
      <c r="V45" s="2" t="inlineStr">
        <is>
          <t>Blåmossa
Blåbär
Hultbräken
Kärrviol
Linnea
Majbräken
Skogsstjärna
Ängskovall
Revlummer</t>
        </is>
      </c>
      <c r="W45">
        <f>HYPERLINK("https://klasma.github.io/Logging_0483/artfynd/A 24362-2026 artfynd.xlsx", "A 24362-2026")</f>
        <v/>
      </c>
      <c r="X45">
        <f>HYPERLINK("https://klasma.github.io/Logging_0483/kartor/A 24362-2026 karta.png", "A 24362-2026")</f>
        <v/>
      </c>
      <c r="Y45">
        <f>HYPERLINK("https://klasma.github.io/Logging_0483/kartor_geotiff/A 24362-2026 georefererad karta.tif", "A 24362-2026")</f>
        <v/>
      </c>
      <c r="AA45">
        <f>HYPERLINK("https://klasma.github.io/Logging_0483/klagomål/A 24362-2026 FSC-klagomål.docx", "A 24362-2026")</f>
        <v/>
      </c>
      <c r="AB45">
        <f>HYPERLINK("https://klasma.github.io/Logging_0483/klagomålsmail/A 24362-2026 FSC-klagomål mail.docx", "A 24362-2026")</f>
        <v/>
      </c>
      <c r="AC45">
        <f>HYPERLINK("https://klasma.github.io/Logging_0483/tillsyn/A 24362-2026 tillsynsbegäran.docx", "A 24362-2026")</f>
        <v/>
      </c>
      <c r="AD45">
        <f>HYPERLINK("https://klasma.github.io/Logging_0483/tillsynsmail/A 24362-2026 tillsynsbegäran mail.docx", "A 24362-2026")</f>
        <v/>
      </c>
    </row>
    <row r="46" ht="15" customHeight="1">
      <c r="A46" t="inlineStr">
        <is>
          <t>A 54002-2022</t>
        </is>
      </c>
      <c r="B46" t="inlineStr">
        <is>
          <t>avverkningsanmälan</t>
        </is>
      </c>
      <c r="C46" t="inlineStr">
        <is>
          <t>Föryngringsavverkning</t>
        </is>
      </c>
      <c r="D46" s="1" t="n">
        <v>44876</v>
      </c>
      <c r="E46" s="1" t="n">
        <v>46313</v>
      </c>
      <c r="F46" t="inlineStr">
        <is>
          <t>SÖDERMANLANDS LÄN</t>
        </is>
      </c>
      <c r="G46" t="inlineStr">
        <is>
          <t>KATRINEHOLM</t>
        </is>
      </c>
      <c r="I46" t="n">
        <v>18</v>
      </c>
      <c r="J46" t="n">
        <v>4</v>
      </c>
      <c r="K46" t="n">
        <v>4</v>
      </c>
      <c r="L46" t="n">
        <v>0</v>
      </c>
      <c r="M46" t="n">
        <v>0</v>
      </c>
      <c r="N46" t="n">
        <v>1</v>
      </c>
      <c r="O46" t="n">
        <v>0</v>
      </c>
      <c r="P46" t="n">
        <v>0</v>
      </c>
      <c r="Q46" t="n">
        <v>1</v>
      </c>
      <c r="R46" t="n">
        <v>1</v>
      </c>
      <c r="S46" t="n">
        <v>9</v>
      </c>
      <c r="T46" t="n">
        <v>9</v>
      </c>
      <c r="U46" t="n">
        <v>3</v>
      </c>
      <c r="V46" s="2" t="inlineStr">
        <is>
          <t>Skogsalm
Björksplintborre
Fällmossa
Hasselticka
Stekelbock
Blåsippa
Åkergroda
Vanlig padda
Fläcknycklar</t>
        </is>
      </c>
      <c r="W46">
        <f>HYPERLINK("https://klasma.github.io/Logging_0483/artfynd/A 54002-2022 artfynd.xlsx", "A 54002-2022")</f>
        <v/>
      </c>
      <c r="X46">
        <f>HYPERLINK("https://klasma.github.io/Logging_0483/kartor/A 54002-2022 karta.png", "A 54002-2022")</f>
        <v/>
      </c>
      <c r="Y46">
        <f>HYPERLINK("https://klasma.github.io/Logging_0483/kartor_geotiff/A 54002-2022 georefererad karta.tif", "A 54002-2022")</f>
        <v/>
      </c>
      <c r="AA46">
        <f>HYPERLINK("https://klasma.github.io/Logging_0483/klagomål/A 54002-2022 FSC-klagomål.docx", "A 54002-2022")</f>
        <v/>
      </c>
      <c r="AB46">
        <f>HYPERLINK("https://klasma.github.io/Logging_0483/klagomålsmail/A 54002-2022 FSC-klagomål mail.docx", "A 54002-2022")</f>
        <v/>
      </c>
      <c r="AC46">
        <f>HYPERLINK("https://klasma.github.io/Logging_0483/tillsyn/A 54002-2022 tillsynsbegäran.docx", "A 54002-2022")</f>
        <v/>
      </c>
      <c r="AD46">
        <f>HYPERLINK("https://klasma.github.io/Logging_0483/tillsynsmail/A 54002-2022 tillsynsbegäran mail.docx", "A 54002-2022")</f>
        <v/>
      </c>
    </row>
    <row r="47" ht="15" customHeight="1">
      <c r="A47" t="inlineStr">
        <is>
          <t>S 4093-2022</t>
        </is>
      </c>
      <c r="B47" t="inlineStr">
        <is>
          <t>samrådsanmälan</t>
        </is>
      </c>
      <c r="C47" t="inlineStr">
        <is>
          <t>Annan skogsbruksåtgärd</t>
        </is>
      </c>
      <c r="D47" s="1" t="n">
        <v>44760</v>
      </c>
      <c r="E47" s="1" t="n">
        <v>46313</v>
      </c>
      <c r="F47" t="inlineStr">
        <is>
          <t>SÖDERMANLANDS LÄN</t>
        </is>
      </c>
      <c r="G47" t="inlineStr">
        <is>
          <t>NYKÖPING</t>
        </is>
      </c>
      <c r="H47" t="inlineStr">
        <is>
          <t>Holmen skog AB</t>
        </is>
      </c>
      <c r="I47" t="n">
        <v>45</v>
      </c>
      <c r="J47" t="n">
        <v>3</v>
      </c>
      <c r="K47" t="n">
        <v>3</v>
      </c>
      <c r="L47" t="n">
        <v>4</v>
      </c>
      <c r="M47" t="n">
        <v>0</v>
      </c>
      <c r="N47" t="n">
        <v>0</v>
      </c>
      <c r="O47" t="n">
        <v>0</v>
      </c>
      <c r="P47" t="n">
        <v>0</v>
      </c>
      <c r="Q47" t="n">
        <v>4</v>
      </c>
      <c r="R47" t="n">
        <v>0</v>
      </c>
      <c r="S47" t="n">
        <v>9</v>
      </c>
      <c r="T47" t="n">
        <v>21</v>
      </c>
      <c r="U47" t="n">
        <v>21</v>
      </c>
      <c r="V47" s="2" t="inlineStr">
        <is>
          <t>Dropptaggsvamp
Motaggsvamp
Talltita
Ullticka
Blåmossa
Vedticka
Vågbandad barkbock
Tjäder
Vanlig snok</t>
        </is>
      </c>
      <c r="W47">
        <f>HYPERLINK("https://klasma.github.io/Logging_0480/artfynd/S 4093-2022 artfynd.xlsx", "S 4093-2022")</f>
        <v/>
      </c>
      <c r="X47">
        <f>HYPERLINK("https://klasma.github.io/Logging_0480/kartor/S 4093-2022 karta.png", "S 4093-2022")</f>
        <v/>
      </c>
      <c r="Y47">
        <f>HYPERLINK("https://klasma.github.io/Logging_0480/kartor_geotiff/S 4093-2022 georefererad karta.tif", "S 4093-2022")</f>
        <v/>
      </c>
      <c r="AA47">
        <f>HYPERLINK("https://klasma.github.io/Logging_0480/klagomål/S 4093-2022 FSC-klagomål.docx", "S 4093-2022")</f>
        <v/>
      </c>
      <c r="AB47">
        <f>HYPERLINK("https://klasma.github.io/Logging_0480/klagomålsmail/S 4093-2022 FSC-klagomål mail.docx", "S 4093-2022")</f>
        <v/>
      </c>
      <c r="AC47">
        <f>HYPERLINK("https://klasma.github.io/Logging_0480/tillsyn/S 4093-2022 tillsynsbegäran.docx", "S 4093-2022")</f>
        <v/>
      </c>
      <c r="AD47">
        <f>HYPERLINK("https://klasma.github.io/Logging_0480/tillsynsmail/S 4093-2022 tillsynsbegäran mail.docx", "S 4093-2022")</f>
        <v/>
      </c>
      <c r="AE47">
        <f>HYPERLINK("https://klasma.github.io/Logging_0480/fåglar/S 4093-2022 prioriterade fågelarter.docx", "S 4093-2022")</f>
        <v/>
      </c>
    </row>
    <row r="48" ht="15" customHeight="1">
      <c r="A48" t="inlineStr">
        <is>
          <t>A 10745-2022</t>
        </is>
      </c>
      <c r="B48" t="inlineStr">
        <is>
          <t>avverkningsanmälan</t>
        </is>
      </c>
      <c r="C48" t="inlineStr">
        <is>
          <t>Föryngringsavverkning</t>
        </is>
      </c>
      <c r="D48" s="1" t="n">
        <v>44624</v>
      </c>
      <c r="E48" s="1" t="n">
        <v>46313</v>
      </c>
      <c r="F48" t="inlineStr">
        <is>
          <t>SÖDERMANLANDS LÄN</t>
        </is>
      </c>
      <c r="G48" t="inlineStr">
        <is>
          <t>FLEN</t>
        </is>
      </c>
      <c r="I48" t="n">
        <v>4.2</v>
      </c>
      <c r="J48" t="n">
        <v>5</v>
      </c>
      <c r="K48" t="n">
        <v>0</v>
      </c>
      <c r="L48" t="n">
        <v>4</v>
      </c>
      <c r="M48" t="n">
        <v>2</v>
      </c>
      <c r="N48" t="n">
        <v>0</v>
      </c>
      <c r="O48" t="n">
        <v>0</v>
      </c>
      <c r="P48" t="n">
        <v>0</v>
      </c>
      <c r="Q48" t="n">
        <v>6</v>
      </c>
      <c r="R48" t="n">
        <v>2</v>
      </c>
      <c r="S48" t="n">
        <v>8</v>
      </c>
      <c r="T48" t="n">
        <v>9</v>
      </c>
      <c r="U48" t="n">
        <v>2</v>
      </c>
      <c r="V48" s="2" t="inlineStr">
        <is>
          <t>Mindre bastardsvärmare
Stare
Gulsparv
Mindre hackspett
Mindre tåtelsmygare
Svinrot
Grönsiska
Kråka</t>
        </is>
      </c>
      <c r="W48">
        <f>HYPERLINK("https://klasma.github.io/Logging_0482/artfynd/A 10745-2022 artfynd.xlsx", "A 10745-2022")</f>
        <v/>
      </c>
      <c r="X48">
        <f>HYPERLINK("https://klasma.github.io/Logging_0482/kartor/A 10745-2022 karta.png", "A 10745-2022")</f>
        <v/>
      </c>
      <c r="Y48">
        <f>HYPERLINK("https://klasma.github.io/Logging_0482/kartor_geotiff/A 10745-2022 georefererad karta.tif", "A 10745-2022")</f>
        <v/>
      </c>
      <c r="AA48">
        <f>HYPERLINK("https://klasma.github.io/Logging_0482/klagomål/A 10745-2022 FSC-klagomål.docx", "A 10745-2022")</f>
        <v/>
      </c>
      <c r="AB48">
        <f>HYPERLINK("https://klasma.github.io/Logging_0482/klagomålsmail/A 10745-2022 FSC-klagomål mail.docx", "A 10745-2022")</f>
        <v/>
      </c>
      <c r="AC48">
        <f>HYPERLINK("https://klasma.github.io/Logging_0482/tillsyn/A 10745-2022 tillsynsbegäran.docx", "A 10745-2022")</f>
        <v/>
      </c>
      <c r="AD48">
        <f>HYPERLINK("https://klasma.github.io/Logging_0482/tillsynsmail/A 10745-2022 tillsynsbegäran mail.docx", "A 10745-2022")</f>
        <v/>
      </c>
      <c r="AE48">
        <f>HYPERLINK("https://klasma.github.io/Logging_0482/fåglar/A 10745-2022 prioriterade fågelarter.docx", "A 10745-2022")</f>
        <v/>
      </c>
    </row>
    <row r="49" ht="15" customHeight="1">
      <c r="A49" t="inlineStr">
        <is>
          <t>A 4155-2024</t>
        </is>
      </c>
      <c r="B49" t="inlineStr">
        <is>
          <t>avverkningsanmälan</t>
        </is>
      </c>
      <c r="C49" t="inlineStr">
        <is>
          <t>Föryngringsavverkning</t>
        </is>
      </c>
      <c r="D49" s="1" t="n">
        <v>45323</v>
      </c>
      <c r="E49" s="1" t="n">
        <v>46313</v>
      </c>
      <c r="F49" t="inlineStr">
        <is>
          <t>SÖDERMANLANDS LÄN</t>
        </is>
      </c>
      <c r="G49" t="inlineStr">
        <is>
          <t>FLEN</t>
        </is>
      </c>
      <c r="I49" t="n">
        <v>2.1</v>
      </c>
      <c r="J49" t="n">
        <v>5</v>
      </c>
      <c r="K49" t="n">
        <v>2</v>
      </c>
      <c r="L49" t="n">
        <v>1</v>
      </c>
      <c r="M49" t="n">
        <v>1</v>
      </c>
      <c r="N49" t="n">
        <v>0</v>
      </c>
      <c r="O49" t="n">
        <v>0</v>
      </c>
      <c r="P49" t="n">
        <v>0</v>
      </c>
      <c r="Q49" t="n">
        <v>2</v>
      </c>
      <c r="R49" t="n">
        <v>1</v>
      </c>
      <c r="S49" t="n">
        <v>8</v>
      </c>
      <c r="T49" t="n">
        <v>8</v>
      </c>
      <c r="U49" t="n">
        <v>3</v>
      </c>
      <c r="V49" s="2" t="inlineStr">
        <is>
          <t>Knärot
Ängsskära
Scharlakansskål
Svart trolldruva
Blåsippa
Spillkråka
Grönvit nattviol
Gullviva</t>
        </is>
      </c>
      <c r="W49">
        <f>HYPERLINK("https://klasma.github.io/Logging_0482/artfynd/A 4155-2024 artfynd.xlsx", "A 4155-2024")</f>
        <v/>
      </c>
      <c r="X49">
        <f>HYPERLINK("https://klasma.github.io/Logging_0482/kartor/A 4155-2024 karta.png", "A 4155-2024")</f>
        <v/>
      </c>
      <c r="Y49">
        <f>HYPERLINK("https://klasma.github.io/Logging_0482/kartor_geotiff/A 4155-2024 georefererad karta.tif", "A 4155-2024")</f>
        <v/>
      </c>
      <c r="Z49">
        <f>HYPERLINK("https://klasma.github.io/Logging_0482/knärot/A 4155-2024 karta knärot.png", "A 4155-2024")</f>
        <v/>
      </c>
      <c r="AA49">
        <f>HYPERLINK("https://klasma.github.io/Logging_0482/klagomål/A 4155-2024 FSC-klagomål.docx", "A 4155-2024")</f>
        <v/>
      </c>
      <c r="AB49">
        <f>HYPERLINK("https://klasma.github.io/Logging_0482/klagomålsmail/A 4155-2024 FSC-klagomål mail.docx", "A 4155-2024")</f>
        <v/>
      </c>
      <c r="AC49">
        <f>HYPERLINK("https://klasma.github.io/Logging_0482/tillsyn/A 4155-2024 tillsynsbegäran.docx", "A 4155-2024")</f>
        <v/>
      </c>
      <c r="AD49">
        <f>HYPERLINK("https://klasma.github.io/Logging_0482/tillsynsmail/A 4155-2024 tillsynsbegäran mail.docx", "A 4155-2024")</f>
        <v/>
      </c>
      <c r="AE49">
        <f>HYPERLINK("https://klasma.github.io/Logging_0482/fåglar/A 4155-2024 prioriterade fågelarter.docx", "A 4155-2024")</f>
        <v/>
      </c>
    </row>
    <row r="50" ht="15" customHeight="1">
      <c r="A50" t="inlineStr">
        <is>
          <t>A 53869-2024</t>
        </is>
      </c>
      <c r="B50" t="inlineStr">
        <is>
          <t>avverkningsanmälan</t>
        </is>
      </c>
      <c r="C50" t="inlineStr">
        <is>
          <t>Avverkning för annat ändamål</t>
        </is>
      </c>
      <c r="D50" s="1" t="n">
        <v>45614</v>
      </c>
      <c r="E50" s="1" t="n">
        <v>46313</v>
      </c>
      <c r="F50" t="inlineStr">
        <is>
          <t>SÖDERMANLANDS LÄN</t>
        </is>
      </c>
      <c r="G50" t="inlineStr">
        <is>
          <t>TROSA</t>
        </is>
      </c>
      <c r="H50" t="inlineStr">
        <is>
          <t>Övriga statliga verk och myndigheter</t>
        </is>
      </c>
      <c r="I50" t="n">
        <v>20</v>
      </c>
      <c r="J50" t="n">
        <v>5</v>
      </c>
      <c r="K50" t="n">
        <v>1</v>
      </c>
      <c r="L50" t="n">
        <v>4</v>
      </c>
      <c r="M50" t="n">
        <v>0</v>
      </c>
      <c r="N50" t="n">
        <v>0</v>
      </c>
      <c r="O50" t="n">
        <v>0</v>
      </c>
      <c r="P50" t="n">
        <v>0</v>
      </c>
      <c r="Q50" t="n">
        <v>4</v>
      </c>
      <c r="R50" t="n">
        <v>0</v>
      </c>
      <c r="S50" t="n">
        <v>8</v>
      </c>
      <c r="T50" t="n">
        <v>9</v>
      </c>
      <c r="U50" t="n">
        <v>8</v>
      </c>
      <c r="V50" s="2" t="inlineStr">
        <is>
          <t>Enkelbeckasin
Gullpudra
Kricka
Älg
Stubbspretmossa
Spillkråka
Kungsfågel
Törnskata</t>
        </is>
      </c>
      <c r="W50">
        <f>HYPERLINK("https://klasma.github.io/Logging_0488/artfynd/A 53869-2024 artfynd.xlsx", "A 53869-2024")</f>
        <v/>
      </c>
      <c r="X50">
        <f>HYPERLINK("https://klasma.github.io/Logging_0488/kartor/A 53869-2024 karta.png", "A 53869-2024")</f>
        <v/>
      </c>
      <c r="Y50">
        <f>HYPERLINK("https://klasma.github.io/Logging_0488/kartor_geotiff/A 53869-2024 georefererad karta.tif", "A 53869-2024")</f>
        <v/>
      </c>
      <c r="AA50">
        <f>HYPERLINK("https://klasma.github.io/Logging_0488/klagomål/A 53869-2024 FSC-klagomål.docx", "A 53869-2024")</f>
        <v/>
      </c>
      <c r="AB50">
        <f>HYPERLINK("https://klasma.github.io/Logging_0488/klagomålsmail/A 53869-2024 FSC-klagomål mail.docx", "A 53869-2024")</f>
        <v/>
      </c>
      <c r="AC50">
        <f>HYPERLINK("https://klasma.github.io/Logging_0488/tillsyn/A 53869-2024 tillsynsbegäran.docx", "A 53869-2024")</f>
        <v/>
      </c>
      <c r="AD50">
        <f>HYPERLINK("https://klasma.github.io/Logging_0488/tillsynsmail/A 53869-2024 tillsynsbegäran mail.docx", "A 53869-2024")</f>
        <v/>
      </c>
      <c r="AE50">
        <f>HYPERLINK("https://klasma.github.io/Logging_0488/fåglar/A 53869-2024 prioriterade fågelarter.docx", "A 53869-2024")</f>
        <v/>
      </c>
    </row>
    <row r="51" ht="15" customHeight="1">
      <c r="A51" t="inlineStr">
        <is>
          <t>A 6539-2024</t>
        </is>
      </c>
      <c r="B51" t="inlineStr">
        <is>
          <t>avverkningsanmälan</t>
        </is>
      </c>
      <c r="C51" t="inlineStr">
        <is>
          <t>Föryngringsavverkning</t>
        </is>
      </c>
      <c r="D51" s="1" t="n">
        <v>45341</v>
      </c>
      <c r="E51" s="1" t="n">
        <v>46313</v>
      </c>
      <c r="F51" t="inlineStr">
        <is>
          <t>SÖDERMANLANDS LÄN</t>
        </is>
      </c>
      <c r="G51" t="inlineStr">
        <is>
          <t>GNESTA</t>
        </is>
      </c>
      <c r="I51" t="n">
        <v>3.5</v>
      </c>
      <c r="J51" t="n">
        <v>4</v>
      </c>
      <c r="K51" t="n">
        <v>1</v>
      </c>
      <c r="L51" t="n">
        <v>3</v>
      </c>
      <c r="M51" t="n">
        <v>0</v>
      </c>
      <c r="N51" t="n">
        <v>0</v>
      </c>
      <c r="O51" t="n">
        <v>0</v>
      </c>
      <c r="P51" t="n">
        <v>0</v>
      </c>
      <c r="Q51" t="n">
        <v>3</v>
      </c>
      <c r="R51" t="n">
        <v>0</v>
      </c>
      <c r="S51" t="n">
        <v>8</v>
      </c>
      <c r="T51" t="n">
        <v>21</v>
      </c>
      <c r="U51" t="n">
        <v>20</v>
      </c>
      <c r="V51" s="2" t="inlineStr">
        <is>
          <t>Dropptaggsvamp
Rynkskinn
Tallticka
Grönpyrola
Blåsippa
Tjäder
Revlummer
Äkta lopplummer</t>
        </is>
      </c>
      <c r="W51">
        <f>HYPERLINK("https://klasma.github.io/Logging_0461/artfynd/A 6539-2024 artfynd.xlsx", "A 6539-2024")</f>
        <v/>
      </c>
      <c r="X51">
        <f>HYPERLINK("https://klasma.github.io/Logging_0461/kartor/A 6539-2024 karta.png", "A 6539-2024")</f>
        <v/>
      </c>
      <c r="Y51">
        <f>HYPERLINK("https://klasma.github.io/Logging_0461/kartor_geotiff/A 6539-2024 georefererad karta.tif", "A 6539-2024")</f>
        <v/>
      </c>
      <c r="AA51">
        <f>HYPERLINK("https://klasma.github.io/Logging_0461/klagomål/A 6539-2024 FSC-klagomål.docx", "A 6539-2024")</f>
        <v/>
      </c>
      <c r="AB51">
        <f>HYPERLINK("https://klasma.github.io/Logging_0461/klagomålsmail/A 6539-2024 FSC-klagomål mail.docx", "A 6539-2024")</f>
        <v/>
      </c>
      <c r="AC51">
        <f>HYPERLINK("https://klasma.github.io/Logging_0461/tillsyn/A 6539-2024 tillsynsbegäran.docx", "A 6539-2024")</f>
        <v/>
      </c>
      <c r="AD51">
        <f>HYPERLINK("https://klasma.github.io/Logging_0461/tillsynsmail/A 6539-2024 tillsynsbegäran mail.docx", "A 6539-2024")</f>
        <v/>
      </c>
      <c r="AE51">
        <f>HYPERLINK("https://klasma.github.io/Logging_0461/fåglar/A 6539-2024 prioriterade fågelarter.docx", "A 6539-2024")</f>
        <v/>
      </c>
    </row>
    <row r="52" ht="15" customHeight="1">
      <c r="A52" t="inlineStr">
        <is>
          <t>A 33004-2026</t>
        </is>
      </c>
      <c r="B52" t="inlineStr">
        <is>
          <t>avverkningsanmälan</t>
        </is>
      </c>
      <c r="C52" t="inlineStr">
        <is>
          <t>Föryngringsavverkning</t>
        </is>
      </c>
      <c r="D52" s="1" t="n">
        <v>46244</v>
      </c>
      <c r="E52" s="1" t="n">
        <v>46313</v>
      </c>
      <c r="F52" t="inlineStr">
        <is>
          <t>SÖDERMANLANDS LÄN</t>
        </is>
      </c>
      <c r="G52" t="inlineStr">
        <is>
          <t>ESKILSTUNA</t>
        </is>
      </c>
      <c r="H52" t="inlineStr">
        <is>
          <t>Kommuner</t>
        </is>
      </c>
      <c r="I52" t="n">
        <v>1.7</v>
      </c>
      <c r="J52" t="n">
        <v>3</v>
      </c>
      <c r="K52" t="n">
        <v>3</v>
      </c>
      <c r="L52" t="n">
        <v>2</v>
      </c>
      <c r="M52" t="n">
        <v>0</v>
      </c>
      <c r="N52" t="n">
        <v>0</v>
      </c>
      <c r="O52" t="n">
        <v>0</v>
      </c>
      <c r="P52" t="n">
        <v>0</v>
      </c>
      <c r="Q52" t="n">
        <v>2</v>
      </c>
      <c r="R52" t="n">
        <v>0</v>
      </c>
      <c r="S52" t="n">
        <v>8</v>
      </c>
      <c r="T52" t="n">
        <v>15</v>
      </c>
      <c r="U52" t="n">
        <v>14</v>
      </c>
      <c r="V52" s="2" t="inlineStr">
        <is>
          <t>Kandelabersvamp
Älg
Hasselticka
Svart trolldruva
Tibast
Blåsippa
Spillkråka
Vanlig padda</t>
        </is>
      </c>
      <c r="W52">
        <f>HYPERLINK("https://klasma.github.io/Logging_0484/artfynd/A 33004-2026 artfynd.xlsx", "A 33004-2026")</f>
        <v/>
      </c>
      <c r="X52">
        <f>HYPERLINK("https://klasma.github.io/Logging_0484/kartor/A 33004-2026 karta.png", "A 33004-2026")</f>
        <v/>
      </c>
      <c r="Y52">
        <f>HYPERLINK("https://klasma.github.io/Logging_0484/kartor_geotiff/A 33004-2026 georefererad karta.tif", "A 33004-2026")</f>
        <v/>
      </c>
      <c r="AA52">
        <f>HYPERLINK("https://klasma.github.io/Logging_0484/klagomål/A 33004-2026 FSC-klagomål.docx", "A 33004-2026")</f>
        <v/>
      </c>
      <c r="AB52">
        <f>HYPERLINK("https://klasma.github.io/Logging_0484/klagomålsmail/A 33004-2026 FSC-klagomål mail.docx", "A 33004-2026")</f>
        <v/>
      </c>
      <c r="AC52">
        <f>HYPERLINK("https://klasma.github.io/Logging_0484/tillsyn/A 33004-2026 tillsynsbegäran.docx", "A 33004-2026")</f>
        <v/>
      </c>
      <c r="AD52">
        <f>HYPERLINK("https://klasma.github.io/Logging_0484/tillsynsmail/A 33004-2026 tillsynsbegäran mail.docx", "A 33004-2026")</f>
        <v/>
      </c>
      <c r="AE52">
        <f>HYPERLINK("https://klasma.github.io/Logging_0484/fåglar/A 33004-2026 prioriterade fågelarter.docx", "A 33004-2026")</f>
        <v/>
      </c>
    </row>
    <row r="53" ht="15" customHeight="1">
      <c r="A53" t="inlineStr">
        <is>
          <t>A 17228-2026</t>
        </is>
      </c>
      <c r="B53" t="inlineStr">
        <is>
          <t>avverkningsanmälan</t>
        </is>
      </c>
      <c r="C53" t="inlineStr">
        <is>
          <t>Föryngringsavverkning</t>
        </is>
      </c>
      <c r="D53" s="1" t="n">
        <v>46119</v>
      </c>
      <c r="E53" s="1" t="n">
        <v>46313</v>
      </c>
      <c r="F53" t="inlineStr">
        <is>
          <t>SÖDERMANLANDS LÄN</t>
        </is>
      </c>
      <c r="G53" t="inlineStr">
        <is>
          <t>NYKÖPING</t>
        </is>
      </c>
      <c r="I53" t="n">
        <v>2.7</v>
      </c>
      <c r="J53" t="n">
        <v>1</v>
      </c>
      <c r="K53" t="n">
        <v>0</v>
      </c>
      <c r="L53" t="n">
        <v>3</v>
      </c>
      <c r="M53" t="n">
        <v>1</v>
      </c>
      <c r="N53" t="n">
        <v>0</v>
      </c>
      <c r="O53" t="n">
        <v>0</v>
      </c>
      <c r="P53" t="n">
        <v>0</v>
      </c>
      <c r="Q53" t="n">
        <v>4</v>
      </c>
      <c r="R53" t="n">
        <v>1</v>
      </c>
      <c r="S53" t="n">
        <v>8</v>
      </c>
      <c r="T53" t="n">
        <v>17</v>
      </c>
      <c r="U53" t="n">
        <v>13</v>
      </c>
      <c r="V53" s="2" t="inlineStr">
        <is>
          <t>Knärot
Orange taggsvamp
Svinrot
Tallticka
Blåbär
Kransmossa
Sälg
Vitsippa</t>
        </is>
      </c>
      <c r="W53">
        <f>HYPERLINK("https://klasma.github.io/Logging_0480/artfynd/A 17228-2026 artfynd.xlsx", "A 17228-2026")</f>
        <v/>
      </c>
      <c r="X53">
        <f>HYPERLINK("https://klasma.github.io/Logging_0480/kartor/A 17228-2026 karta.png", "A 17228-2026")</f>
        <v/>
      </c>
      <c r="Y53">
        <f>HYPERLINK("https://klasma.github.io/Logging_0480/kartor_geotiff/A 17228-2026 georefererad karta.tif", "A 17228-2026")</f>
        <v/>
      </c>
      <c r="Z53">
        <f>HYPERLINK("https://klasma.github.io/Logging_0480/knärot/A 17228-2026 karta knärot.png", "A 17228-2026")</f>
        <v/>
      </c>
      <c r="AA53">
        <f>HYPERLINK("https://klasma.github.io/Logging_0480/klagomål/A 17228-2026 FSC-klagomål.docx", "A 17228-2026")</f>
        <v/>
      </c>
      <c r="AB53">
        <f>HYPERLINK("https://klasma.github.io/Logging_0480/klagomålsmail/A 17228-2026 FSC-klagomål mail.docx", "A 17228-2026")</f>
        <v/>
      </c>
      <c r="AC53">
        <f>HYPERLINK("https://klasma.github.io/Logging_0480/tillsyn/A 17228-2026 tillsynsbegäran.docx", "A 17228-2026")</f>
        <v/>
      </c>
      <c r="AD53">
        <f>HYPERLINK("https://klasma.github.io/Logging_0480/tillsynsmail/A 17228-2026 tillsynsbegäran mail.docx", "A 17228-2026")</f>
        <v/>
      </c>
    </row>
    <row r="54" ht="15" customHeight="1">
      <c r="A54" t="inlineStr">
        <is>
          <t>A 20533-2023</t>
        </is>
      </c>
      <c r="B54" t="inlineStr">
        <is>
          <t>avverkningsanmälan</t>
        </is>
      </c>
      <c r="C54" t="inlineStr">
        <is>
          <t>Föryngringsavverkning</t>
        </is>
      </c>
      <c r="D54" s="1" t="n">
        <v>45057</v>
      </c>
      <c r="E54" s="1" t="n">
        <v>46313</v>
      </c>
      <c r="F54" t="inlineStr">
        <is>
          <t>SÖDERMANLANDS LÄN</t>
        </is>
      </c>
      <c r="G54" t="inlineStr">
        <is>
          <t>KATRINEHOLM</t>
        </is>
      </c>
      <c r="I54" t="n">
        <v>20.2</v>
      </c>
      <c r="J54" t="n">
        <v>3</v>
      </c>
      <c r="K54" t="n">
        <v>3</v>
      </c>
      <c r="L54" t="n">
        <v>2</v>
      </c>
      <c r="M54" t="n">
        <v>1</v>
      </c>
      <c r="N54" t="n">
        <v>0</v>
      </c>
      <c r="O54" t="n">
        <v>0</v>
      </c>
      <c r="P54" t="n">
        <v>0</v>
      </c>
      <c r="Q54" t="n">
        <v>3</v>
      </c>
      <c r="R54" t="n">
        <v>1</v>
      </c>
      <c r="S54" t="n">
        <v>8</v>
      </c>
      <c r="T54" t="n">
        <v>10</v>
      </c>
      <c r="U54" t="n">
        <v>10</v>
      </c>
      <c r="V54" s="2" t="inlineStr">
        <is>
          <t>Mulmknäppare
Mindre hackspett
Svinrot
Noshornsoxe
Svart trolldruva
Tibast
Spillkråka
Nattviol</t>
        </is>
      </c>
      <c r="W54">
        <f>HYPERLINK("https://klasma.github.io/Logging_0483/artfynd/A 20533-2023 artfynd.xlsx", "A 20533-2023")</f>
        <v/>
      </c>
      <c r="X54">
        <f>HYPERLINK("https://klasma.github.io/Logging_0483/kartor/A 20533-2023 karta.png", "A 20533-2023")</f>
        <v/>
      </c>
      <c r="Y54">
        <f>HYPERLINK("https://klasma.github.io/Logging_0483/kartor_geotiff/A 20533-2023 georefererad karta.tif", "A 20533-2023")</f>
        <v/>
      </c>
      <c r="AA54">
        <f>HYPERLINK("https://klasma.github.io/Logging_0483/klagomål/A 20533-2023 FSC-klagomål.docx", "A 20533-2023")</f>
        <v/>
      </c>
      <c r="AB54">
        <f>HYPERLINK("https://klasma.github.io/Logging_0483/klagomålsmail/A 20533-2023 FSC-klagomål mail.docx", "A 20533-2023")</f>
        <v/>
      </c>
      <c r="AC54">
        <f>HYPERLINK("https://klasma.github.io/Logging_0483/tillsyn/A 20533-2023 tillsynsbegäran.docx", "A 20533-2023")</f>
        <v/>
      </c>
      <c r="AD54">
        <f>HYPERLINK("https://klasma.github.io/Logging_0483/tillsynsmail/A 20533-2023 tillsynsbegäran mail.docx", "A 20533-2023")</f>
        <v/>
      </c>
      <c r="AE54">
        <f>HYPERLINK("https://klasma.github.io/Logging_0483/fåglar/A 20533-2023 prioriterade fågelarter.docx", "A 20533-2023")</f>
        <v/>
      </c>
    </row>
    <row r="55" ht="15" customHeight="1">
      <c r="A55" t="inlineStr">
        <is>
          <t>A 35182-2024</t>
        </is>
      </c>
      <c r="B55" t="inlineStr">
        <is>
          <t>avverkningsanmälan</t>
        </is>
      </c>
      <c r="C55" t="inlineStr">
        <is>
          <t>Föryngringsavverkning</t>
        </is>
      </c>
      <c r="D55" s="1" t="n">
        <v>45530</v>
      </c>
      <c r="E55" s="1" t="n">
        <v>46313</v>
      </c>
      <c r="F55" t="inlineStr">
        <is>
          <t>SÖDERMANLANDS LÄN</t>
        </is>
      </c>
      <c r="G55" t="inlineStr">
        <is>
          <t>GNESTA</t>
        </is>
      </c>
      <c r="H55" t="inlineStr">
        <is>
          <t>Holmen skog AB</t>
        </is>
      </c>
      <c r="I55" t="n">
        <v>3.2</v>
      </c>
      <c r="J55" t="n">
        <v>0</v>
      </c>
      <c r="K55" t="n">
        <v>4</v>
      </c>
      <c r="L55" t="n">
        <v>4</v>
      </c>
      <c r="M55" t="n">
        <v>0</v>
      </c>
      <c r="N55" t="n">
        <v>0</v>
      </c>
      <c r="O55" t="n">
        <v>0</v>
      </c>
      <c r="P55" t="n">
        <v>0</v>
      </c>
      <c r="Q55" t="n">
        <v>4</v>
      </c>
      <c r="R55" t="n">
        <v>0</v>
      </c>
      <c r="S55" t="n">
        <v>8</v>
      </c>
      <c r="T55" t="n">
        <v>11</v>
      </c>
      <c r="U55" t="n">
        <v>11</v>
      </c>
      <c r="V55" s="2" t="inlineStr">
        <is>
          <t>Dropptaggsvamp
Dvärgbägarlav
Kandelabersvamp
Motaggsvamp
Aspvedgnagare
Bronshjon
Flagellkvastmossa
Granbarkgnagare</t>
        </is>
      </c>
      <c r="W55">
        <f>HYPERLINK("https://klasma.github.io/Logging_0461/artfynd/A 35182-2024 artfynd.xlsx", "A 35182-2024")</f>
        <v/>
      </c>
      <c r="X55">
        <f>HYPERLINK("https://klasma.github.io/Logging_0461/kartor/A 35182-2024 karta.png", "A 35182-2024")</f>
        <v/>
      </c>
      <c r="Y55">
        <f>HYPERLINK("https://klasma.github.io/Logging_0461/kartor_geotiff/A 35182-2024 georefererad karta.tif", "A 35182-2024")</f>
        <v/>
      </c>
      <c r="AA55">
        <f>HYPERLINK("https://klasma.github.io/Logging_0461/klagomål/A 35182-2024 FSC-klagomål.docx", "A 35182-2024")</f>
        <v/>
      </c>
      <c r="AB55">
        <f>HYPERLINK("https://klasma.github.io/Logging_0461/klagomålsmail/A 35182-2024 FSC-klagomål mail.docx", "A 35182-2024")</f>
        <v/>
      </c>
      <c r="AC55">
        <f>HYPERLINK("https://klasma.github.io/Logging_0461/tillsyn/A 35182-2024 tillsynsbegäran.docx", "A 35182-2024")</f>
        <v/>
      </c>
      <c r="AD55">
        <f>HYPERLINK("https://klasma.github.io/Logging_0461/tillsynsmail/A 35182-2024 tillsynsbegäran mail.docx", "A 35182-2024")</f>
        <v/>
      </c>
    </row>
    <row r="56" ht="15" customHeight="1">
      <c r="A56" t="inlineStr">
        <is>
          <t>A 59619-2021</t>
        </is>
      </c>
      <c r="B56" t="inlineStr">
        <is>
          <t>avverkningsanmälan</t>
        </is>
      </c>
      <c r="C56" t="inlineStr">
        <is>
          <t>Föryngringsavverkning</t>
        </is>
      </c>
      <c r="D56" s="1" t="n">
        <v>44491</v>
      </c>
      <c r="E56" s="1" t="n">
        <v>46313</v>
      </c>
      <c r="F56" t="inlineStr">
        <is>
          <t>SÖDERMANLANDS LÄN</t>
        </is>
      </c>
      <c r="G56" t="inlineStr">
        <is>
          <t>GNESTA</t>
        </is>
      </c>
      <c r="H56" t="inlineStr">
        <is>
          <t>Kyrkan</t>
        </is>
      </c>
      <c r="I56" t="n">
        <v>1</v>
      </c>
      <c r="J56" t="n">
        <v>2</v>
      </c>
      <c r="K56" t="n">
        <v>0</v>
      </c>
      <c r="L56" t="n">
        <v>0</v>
      </c>
      <c r="M56" t="n">
        <v>1</v>
      </c>
      <c r="N56" t="n">
        <v>0</v>
      </c>
      <c r="O56" t="n">
        <v>0</v>
      </c>
      <c r="P56" t="n">
        <v>0</v>
      </c>
      <c r="Q56" t="n">
        <v>1</v>
      </c>
      <c r="R56" t="n">
        <v>1</v>
      </c>
      <c r="S56" t="n">
        <v>7</v>
      </c>
      <c r="T56" t="n">
        <v>7</v>
      </c>
      <c r="U56" t="n">
        <v>7</v>
      </c>
      <c r="V56" s="2" t="inlineStr">
        <is>
          <t>Grönfink
Bergsslok
Blåbär
Kransmossa
Linnea
Vitsippa
Kråka</t>
        </is>
      </c>
      <c r="W56">
        <f>HYPERLINK("https://klasma.github.io/Logging_0461/artfynd/A 59619-2021 artfynd.xlsx", "A 59619-2021")</f>
        <v/>
      </c>
      <c r="X56">
        <f>HYPERLINK("https://klasma.github.io/Logging_0461/kartor/A 59619-2021 karta.png", "A 59619-2021")</f>
        <v/>
      </c>
      <c r="Y56">
        <f>HYPERLINK("https://klasma.github.io/Logging_0461/kartor_geotiff/A 59619-2021 georefererad karta.tif", "A 59619-2021")</f>
        <v/>
      </c>
      <c r="AA56">
        <f>HYPERLINK("https://klasma.github.io/Logging_0461/klagomål/A 59619-2021 FSC-klagomål.docx", "A 59619-2021")</f>
        <v/>
      </c>
      <c r="AB56">
        <f>HYPERLINK("https://klasma.github.io/Logging_0461/klagomålsmail/A 59619-2021 FSC-klagomål mail.docx", "A 59619-2021")</f>
        <v/>
      </c>
      <c r="AC56">
        <f>HYPERLINK("https://klasma.github.io/Logging_0461/tillsyn/A 59619-2021 tillsynsbegäran.docx", "A 59619-2021")</f>
        <v/>
      </c>
      <c r="AD56">
        <f>HYPERLINK("https://klasma.github.io/Logging_0461/tillsynsmail/A 59619-2021 tillsynsbegäran mail.docx", "A 59619-2021")</f>
        <v/>
      </c>
      <c r="AE56">
        <f>HYPERLINK("https://klasma.github.io/Logging_0461/fåglar/A 59619-2021 prioriterade fågelarter.docx", "A 59619-2021")</f>
        <v/>
      </c>
    </row>
    <row r="57" ht="15" customHeight="1">
      <c r="A57" t="inlineStr">
        <is>
          <t>A 17144-2023</t>
        </is>
      </c>
      <c r="B57" t="inlineStr">
        <is>
          <t>avverkningsanmälan</t>
        </is>
      </c>
      <c r="C57" t="inlineStr">
        <is>
          <t>Föryngringsavverkning</t>
        </is>
      </c>
      <c r="D57" s="1" t="n">
        <v>45034</v>
      </c>
      <c r="E57" s="1" t="n">
        <v>46313</v>
      </c>
      <c r="F57" t="inlineStr">
        <is>
          <t>SÖDERMANLANDS LÄN</t>
        </is>
      </c>
      <c r="G57" t="inlineStr">
        <is>
          <t>ESKILSTUNA</t>
        </is>
      </c>
      <c r="I57" t="n">
        <v>3.8</v>
      </c>
      <c r="J57" t="n">
        <v>2</v>
      </c>
      <c r="K57" t="n">
        <v>1</v>
      </c>
      <c r="L57" t="n">
        <v>4</v>
      </c>
      <c r="M57" t="n">
        <v>1</v>
      </c>
      <c r="N57" t="n">
        <v>0</v>
      </c>
      <c r="O57" t="n">
        <v>0</v>
      </c>
      <c r="P57" t="n">
        <v>0</v>
      </c>
      <c r="Q57" t="n">
        <v>5</v>
      </c>
      <c r="R57" t="n">
        <v>1</v>
      </c>
      <c r="S57" t="n">
        <v>7</v>
      </c>
      <c r="T57" t="n">
        <v>54</v>
      </c>
      <c r="U57" t="n">
        <v>48</v>
      </c>
      <c r="V57" s="2" t="inlineStr">
        <is>
          <t>Knärot
Dropptaggsvamp
Grantaggsvamp
Motaggsvamp
Talltaggsvamp
Mindre märgborre
Spillkråka</t>
        </is>
      </c>
      <c r="W57">
        <f>HYPERLINK("https://klasma.github.io/Logging_0484/artfynd/A 17144-2023 artfynd.xlsx", "A 17144-2023")</f>
        <v/>
      </c>
      <c r="X57">
        <f>HYPERLINK("https://klasma.github.io/Logging_0484/kartor/A 17144-2023 karta.png", "A 17144-2023")</f>
        <v/>
      </c>
      <c r="Y57">
        <f>HYPERLINK("https://klasma.github.io/Logging_0484/kartor_geotiff/A 17144-2023 georefererad karta.tif", "A 17144-2023")</f>
        <v/>
      </c>
      <c r="Z57">
        <f>HYPERLINK("https://klasma.github.io/Logging_0484/knärot/A 17144-2023 karta knärot.png", "A 17144-2023")</f>
        <v/>
      </c>
      <c r="AA57">
        <f>HYPERLINK("https://klasma.github.io/Logging_0484/klagomål/A 17144-2023 FSC-klagomål.docx", "A 17144-2023")</f>
        <v/>
      </c>
      <c r="AB57">
        <f>HYPERLINK("https://klasma.github.io/Logging_0484/klagomålsmail/A 17144-2023 FSC-klagomål mail.docx", "A 17144-2023")</f>
        <v/>
      </c>
      <c r="AC57">
        <f>HYPERLINK("https://klasma.github.io/Logging_0484/tillsyn/A 17144-2023 tillsynsbegäran.docx", "A 17144-2023")</f>
        <v/>
      </c>
      <c r="AD57">
        <f>HYPERLINK("https://klasma.github.io/Logging_0484/tillsynsmail/A 17144-2023 tillsynsbegäran mail.docx", "A 17144-2023")</f>
        <v/>
      </c>
      <c r="AE57">
        <f>HYPERLINK("https://klasma.github.io/Logging_0484/fåglar/A 17144-2023 prioriterade fågelarter.docx", "A 17144-2023")</f>
        <v/>
      </c>
    </row>
    <row r="58" ht="15" customHeight="1">
      <c r="A58" t="inlineStr">
        <is>
          <t>A 60251-2021</t>
        </is>
      </c>
      <c r="B58" t="inlineStr">
        <is>
          <t>avverkningsanmälan</t>
        </is>
      </c>
      <c r="C58" t="inlineStr">
        <is>
          <t>Föryngringsavverkning</t>
        </is>
      </c>
      <c r="D58" s="1" t="n">
        <v>44495</v>
      </c>
      <c r="E58" s="1" t="n">
        <v>46313</v>
      </c>
      <c r="F58" t="inlineStr">
        <is>
          <t>SÖDERMANLANDS LÄN</t>
        </is>
      </c>
      <c r="G58" t="inlineStr">
        <is>
          <t>FLEN</t>
        </is>
      </c>
      <c r="I58" t="n">
        <v>2.7</v>
      </c>
      <c r="J58" t="n">
        <v>1</v>
      </c>
      <c r="K58" t="n">
        <v>1</v>
      </c>
      <c r="L58" t="n">
        <v>3</v>
      </c>
      <c r="M58" t="n">
        <v>3</v>
      </c>
      <c r="N58" t="n">
        <v>0</v>
      </c>
      <c r="O58" t="n">
        <v>0</v>
      </c>
      <c r="P58" t="n">
        <v>0</v>
      </c>
      <c r="Q58" t="n">
        <v>6</v>
      </c>
      <c r="R58" t="n">
        <v>3</v>
      </c>
      <c r="S58" t="n">
        <v>7</v>
      </c>
      <c r="T58" t="n">
        <v>7</v>
      </c>
      <c r="U58" t="n">
        <v>2</v>
      </c>
      <c r="V58" s="2" t="inlineStr">
        <is>
          <t>Knärot
Ryl
Slåttergubbe
Fjällig taggsvamp s.str.
Klasefibbla
Orange taggsvamp
Grönpyrola</t>
        </is>
      </c>
      <c r="W58">
        <f>HYPERLINK("https://klasma.github.io/Logging_0482/artfynd/A 60251-2021 artfynd.xlsx", "A 60251-2021")</f>
        <v/>
      </c>
      <c r="X58">
        <f>HYPERLINK("https://klasma.github.io/Logging_0482/kartor/A 60251-2021 karta.png", "A 60251-2021")</f>
        <v/>
      </c>
      <c r="Y58">
        <f>HYPERLINK("https://klasma.github.io/Logging_0482/kartor_geotiff/A 60251-2021 georefererad karta.tif", "A 60251-2021")</f>
        <v/>
      </c>
      <c r="Z58">
        <f>HYPERLINK("https://klasma.github.io/Logging_0482/knärot/A 60251-2021 karta knärot.png", "A 60251-2021")</f>
        <v/>
      </c>
      <c r="AA58">
        <f>HYPERLINK("https://klasma.github.io/Logging_0482/klagomål/A 60251-2021 FSC-klagomål.docx", "A 60251-2021")</f>
        <v/>
      </c>
      <c r="AB58">
        <f>HYPERLINK("https://klasma.github.io/Logging_0482/klagomålsmail/A 60251-2021 FSC-klagomål mail.docx", "A 60251-2021")</f>
        <v/>
      </c>
      <c r="AC58">
        <f>HYPERLINK("https://klasma.github.io/Logging_0482/tillsyn/A 60251-2021 tillsynsbegäran.docx", "A 60251-2021")</f>
        <v/>
      </c>
      <c r="AD58">
        <f>HYPERLINK("https://klasma.github.io/Logging_0482/tillsynsmail/A 60251-2021 tillsynsbegäran mail.docx", "A 60251-2021")</f>
        <v/>
      </c>
    </row>
    <row r="59" ht="15" customHeight="1">
      <c r="A59" t="inlineStr">
        <is>
          <t>A 13012-2022</t>
        </is>
      </c>
      <c r="B59" t="inlineStr">
        <is>
          <t>avverkningsanmälan</t>
        </is>
      </c>
      <c r="C59" t="inlineStr">
        <is>
          <t>Föryngringsavverkning</t>
        </is>
      </c>
      <c r="D59" s="1" t="n">
        <v>44642</v>
      </c>
      <c r="E59" s="1" t="n">
        <v>46313</v>
      </c>
      <c r="F59" t="inlineStr">
        <is>
          <t>SÖDERMANLANDS LÄN</t>
        </is>
      </c>
      <c r="G59" t="inlineStr">
        <is>
          <t>STRÄNGNÄS</t>
        </is>
      </c>
      <c r="I59" t="n">
        <v>6</v>
      </c>
      <c r="J59" t="n">
        <v>4</v>
      </c>
      <c r="K59" t="n">
        <v>2</v>
      </c>
      <c r="L59" t="n">
        <v>2</v>
      </c>
      <c r="M59" t="n">
        <v>0</v>
      </c>
      <c r="N59" t="n">
        <v>1</v>
      </c>
      <c r="O59" t="n">
        <v>0</v>
      </c>
      <c r="P59" t="n">
        <v>0</v>
      </c>
      <c r="Q59" t="n">
        <v>3</v>
      </c>
      <c r="R59" t="n">
        <v>1</v>
      </c>
      <c r="S59" t="n">
        <v>7</v>
      </c>
      <c r="T59" t="n">
        <v>17</v>
      </c>
      <c r="U59" t="n">
        <v>4</v>
      </c>
      <c r="V59" s="2" t="inlineStr">
        <is>
          <t>Skogsalm
Duvhök
Sumpviol
Korallrot
Källmossa
Grönsiska
Vanlig snok</t>
        </is>
      </c>
      <c r="W59">
        <f>HYPERLINK("https://klasma.github.io/Logging_0486/artfynd/A 13012-2022 artfynd.xlsx", "A 13012-2022")</f>
        <v/>
      </c>
      <c r="X59">
        <f>HYPERLINK("https://klasma.github.io/Logging_0486/kartor/A 13012-2022 karta.png", "A 13012-2022")</f>
        <v/>
      </c>
      <c r="Y59">
        <f>HYPERLINK("https://klasma.github.io/Logging_0486/kartor_geotiff/A 13012-2022 georefererad karta.tif", "A 13012-2022")</f>
        <v/>
      </c>
      <c r="AA59">
        <f>HYPERLINK("https://klasma.github.io/Logging_0486/klagomål/A 13012-2022 FSC-klagomål.docx", "A 13012-2022")</f>
        <v/>
      </c>
      <c r="AB59">
        <f>HYPERLINK("https://klasma.github.io/Logging_0486/klagomålsmail/A 13012-2022 FSC-klagomål mail.docx", "A 13012-2022")</f>
        <v/>
      </c>
      <c r="AC59">
        <f>HYPERLINK("https://klasma.github.io/Logging_0486/tillsyn/A 13012-2022 tillsynsbegäran.docx", "A 13012-2022")</f>
        <v/>
      </c>
      <c r="AD59">
        <f>HYPERLINK("https://klasma.github.io/Logging_0486/tillsynsmail/A 13012-2022 tillsynsbegäran mail.docx", "A 13012-2022")</f>
        <v/>
      </c>
      <c r="AE59">
        <f>HYPERLINK("https://klasma.github.io/Logging_0486/fåglar/A 13012-2022 prioriterade fågelarter.docx", "A 13012-2022")</f>
        <v/>
      </c>
    </row>
    <row r="60" ht="15" customHeight="1">
      <c r="A60" t="inlineStr">
        <is>
          <t>A 21221-2023</t>
        </is>
      </c>
      <c r="B60" t="inlineStr">
        <is>
          <t>avverkningsanmälan</t>
        </is>
      </c>
      <c r="C60" t="inlineStr">
        <is>
          <t>Föryngringsavverkning</t>
        </is>
      </c>
      <c r="D60" s="1" t="n">
        <v>45062</v>
      </c>
      <c r="E60" s="1" t="n">
        <v>46313</v>
      </c>
      <c r="F60" t="inlineStr">
        <is>
          <t>SÖDERMANLANDS LÄN</t>
        </is>
      </c>
      <c r="G60" t="inlineStr">
        <is>
          <t>KATRINEHOLM</t>
        </is>
      </c>
      <c r="I60" t="n">
        <v>20.2</v>
      </c>
      <c r="J60" t="n">
        <v>1</v>
      </c>
      <c r="K60" t="n">
        <v>3</v>
      </c>
      <c r="L60" t="n">
        <v>2</v>
      </c>
      <c r="M60" t="n">
        <v>0</v>
      </c>
      <c r="N60" t="n">
        <v>1</v>
      </c>
      <c r="O60" t="n">
        <v>0</v>
      </c>
      <c r="P60" t="n">
        <v>0</v>
      </c>
      <c r="Q60" t="n">
        <v>3</v>
      </c>
      <c r="R60" t="n">
        <v>1</v>
      </c>
      <c r="S60" t="n">
        <v>7</v>
      </c>
      <c r="T60" t="n">
        <v>9</v>
      </c>
      <c r="U60" t="n">
        <v>0</v>
      </c>
      <c r="V60" s="2" t="inlineStr">
        <is>
          <t>Ask
Gullpudra
Vårärt
Myskmadra
Svart trolldruva
Tibast
Blåsippa</t>
        </is>
      </c>
      <c r="W60">
        <f>HYPERLINK("https://klasma.github.io/Logging_0483/artfynd/A 21221-2023 artfynd.xlsx", "A 21221-2023")</f>
        <v/>
      </c>
      <c r="X60">
        <f>HYPERLINK("https://klasma.github.io/Logging_0483/kartor/A 21221-2023 karta.png", "A 21221-2023")</f>
        <v/>
      </c>
      <c r="Y60">
        <f>HYPERLINK("https://klasma.github.io/Logging_0483/kartor_geotiff/A 21221-2023 georefererad karta.tif", "A 21221-2023")</f>
        <v/>
      </c>
      <c r="AA60">
        <f>HYPERLINK("https://klasma.github.io/Logging_0483/klagomål/A 21221-2023 FSC-klagomål.docx", "A 21221-2023")</f>
        <v/>
      </c>
      <c r="AB60">
        <f>HYPERLINK("https://klasma.github.io/Logging_0483/klagomålsmail/A 21221-2023 FSC-klagomål mail.docx", "A 21221-2023")</f>
        <v/>
      </c>
      <c r="AC60">
        <f>HYPERLINK("https://klasma.github.io/Logging_0483/tillsyn/A 21221-2023 tillsynsbegäran.docx", "A 21221-2023")</f>
        <v/>
      </c>
      <c r="AD60">
        <f>HYPERLINK("https://klasma.github.io/Logging_0483/tillsynsmail/A 21221-2023 tillsynsbegäran mail.docx", "A 21221-2023")</f>
        <v/>
      </c>
    </row>
    <row r="61" ht="15" customHeight="1">
      <c r="A61" t="inlineStr">
        <is>
          <t>A 4219-2023</t>
        </is>
      </c>
      <c r="B61" t="inlineStr">
        <is>
          <t>avverkningsanmälan</t>
        </is>
      </c>
      <c r="C61" t="inlineStr">
        <is>
          <t>Föryngringsavverkning</t>
        </is>
      </c>
      <c r="D61" s="1" t="n">
        <v>44953</v>
      </c>
      <c r="E61" s="1" t="n">
        <v>46313</v>
      </c>
      <c r="F61" t="inlineStr">
        <is>
          <t>SÖDERMANLANDS LÄN</t>
        </is>
      </c>
      <c r="G61" t="inlineStr">
        <is>
          <t>ESKILSTUNA</t>
        </is>
      </c>
      <c r="H61" t="inlineStr">
        <is>
          <t>Kyrkan</t>
        </is>
      </c>
      <c r="I61" t="n">
        <v>0.6</v>
      </c>
      <c r="J61" t="n">
        <v>3</v>
      </c>
      <c r="K61" t="n">
        <v>3</v>
      </c>
      <c r="L61" t="n">
        <v>2</v>
      </c>
      <c r="M61" t="n">
        <v>1</v>
      </c>
      <c r="N61" t="n">
        <v>0</v>
      </c>
      <c r="O61" t="n">
        <v>0</v>
      </c>
      <c r="P61" t="n">
        <v>0</v>
      </c>
      <c r="Q61" t="n">
        <v>3</v>
      </c>
      <c r="R61" t="n">
        <v>1</v>
      </c>
      <c r="S61" t="n">
        <v>7</v>
      </c>
      <c r="T61" t="n">
        <v>10</v>
      </c>
      <c r="U61" t="n">
        <v>7</v>
      </c>
      <c r="V61" s="2" t="inlineStr">
        <is>
          <t>Knärot
Tallkötticka
Talltita
Blodticka
Blåmossa
Mindre märgborre
Blåsippa</t>
        </is>
      </c>
      <c r="W61">
        <f>HYPERLINK("https://klasma.github.io/Logging_0484/artfynd/A 4219-2023 artfynd.xlsx", "A 4219-2023")</f>
        <v/>
      </c>
      <c r="X61">
        <f>HYPERLINK("https://klasma.github.io/Logging_0484/kartor/A 4219-2023 karta.png", "A 4219-2023")</f>
        <v/>
      </c>
      <c r="Y61">
        <f>HYPERLINK("https://klasma.github.io/Logging_0484/kartor_geotiff/A 4219-2023 georefererad karta.tif", "A 4219-2023")</f>
        <v/>
      </c>
      <c r="Z61">
        <f>HYPERLINK("https://klasma.github.io/Logging_0484/knärot/A 4219-2023 karta knärot.png", "A 4219-2023")</f>
        <v/>
      </c>
      <c r="AA61">
        <f>HYPERLINK("https://klasma.github.io/Logging_0484/klagomål/A 4219-2023 FSC-klagomål.docx", "A 4219-2023")</f>
        <v/>
      </c>
      <c r="AB61">
        <f>HYPERLINK("https://klasma.github.io/Logging_0484/klagomålsmail/A 4219-2023 FSC-klagomål mail.docx", "A 4219-2023")</f>
        <v/>
      </c>
      <c r="AC61">
        <f>HYPERLINK("https://klasma.github.io/Logging_0484/tillsyn/A 4219-2023 tillsynsbegäran.docx", "A 4219-2023")</f>
        <v/>
      </c>
      <c r="AD61">
        <f>HYPERLINK("https://klasma.github.io/Logging_0484/tillsynsmail/A 4219-2023 tillsynsbegäran mail.docx", "A 4219-2023")</f>
        <v/>
      </c>
      <c r="AE61">
        <f>HYPERLINK("https://klasma.github.io/Logging_0484/fåglar/A 4219-2023 prioriterade fågelarter.docx", "A 4219-2023")</f>
        <v/>
      </c>
    </row>
    <row r="62" ht="15" customHeight="1">
      <c r="A62" t="inlineStr">
        <is>
          <t>A 21734-2023</t>
        </is>
      </c>
      <c r="B62" t="inlineStr">
        <is>
          <t>avverkningsanmälan</t>
        </is>
      </c>
      <c r="C62" t="inlineStr">
        <is>
          <t>Föryngringsavverkning</t>
        </is>
      </c>
      <c r="D62" s="1" t="n">
        <v>45063</v>
      </c>
      <c r="E62" s="1" t="n">
        <v>46313</v>
      </c>
      <c r="F62" t="inlineStr">
        <is>
          <t>SÖDERMANLANDS LÄN</t>
        </is>
      </c>
      <c r="G62" t="inlineStr">
        <is>
          <t>ESKILSTUNA</t>
        </is>
      </c>
      <c r="I62" t="n">
        <v>10.5</v>
      </c>
      <c r="J62" t="n">
        <v>0</v>
      </c>
      <c r="K62" t="n">
        <v>1</v>
      </c>
      <c r="L62" t="n">
        <v>6</v>
      </c>
      <c r="M62" t="n">
        <v>0</v>
      </c>
      <c r="N62" t="n">
        <v>0</v>
      </c>
      <c r="O62" t="n">
        <v>0</v>
      </c>
      <c r="P62" t="n">
        <v>0</v>
      </c>
      <c r="Q62" t="n">
        <v>6</v>
      </c>
      <c r="R62" t="n">
        <v>0</v>
      </c>
      <c r="S62" t="n">
        <v>7</v>
      </c>
      <c r="T62" t="n">
        <v>10</v>
      </c>
      <c r="U62" t="n">
        <v>10</v>
      </c>
      <c r="V62" s="2" t="inlineStr">
        <is>
          <t>Dropptaggsvamp
Kryddspindling
Motaggsvamp
Skarp dropptaggsvamp
Svartvit taggsvamp
Talltaggsvamp
Grönpyrola</t>
        </is>
      </c>
      <c r="W62">
        <f>HYPERLINK("https://klasma.github.io/Logging_0484/artfynd/A 21734-2023 artfynd.xlsx", "A 21734-2023")</f>
        <v/>
      </c>
      <c r="X62">
        <f>HYPERLINK("https://klasma.github.io/Logging_0484/kartor/A 21734-2023 karta.png", "A 21734-2023")</f>
        <v/>
      </c>
      <c r="Y62">
        <f>HYPERLINK("https://klasma.github.io/Logging_0484/kartor_geotiff/A 21734-2023 georefererad karta.tif", "A 21734-2023")</f>
        <v/>
      </c>
      <c r="AA62">
        <f>HYPERLINK("https://klasma.github.io/Logging_0484/klagomål/A 21734-2023 FSC-klagomål.docx", "A 21734-2023")</f>
        <v/>
      </c>
      <c r="AB62">
        <f>HYPERLINK("https://klasma.github.io/Logging_0484/klagomålsmail/A 21734-2023 FSC-klagomål mail.docx", "A 21734-2023")</f>
        <v/>
      </c>
      <c r="AC62">
        <f>HYPERLINK("https://klasma.github.io/Logging_0484/tillsyn/A 21734-2023 tillsynsbegäran.docx", "A 21734-2023")</f>
        <v/>
      </c>
      <c r="AD62">
        <f>HYPERLINK("https://klasma.github.io/Logging_0484/tillsynsmail/A 21734-2023 tillsynsbegäran mail.docx", "A 21734-2023")</f>
        <v/>
      </c>
    </row>
    <row r="63" ht="15" customHeight="1">
      <c r="A63" t="inlineStr">
        <is>
          <t>A 20533-2023</t>
        </is>
      </c>
      <c r="B63" t="inlineStr">
        <is>
          <t>avverkningsanmälan</t>
        </is>
      </c>
      <c r="C63" t="inlineStr">
        <is>
          <t>Föryngringsavverkning</t>
        </is>
      </c>
      <c r="D63" s="1" t="n">
        <v>45057</v>
      </c>
      <c r="E63" s="1" t="n">
        <v>46313</v>
      </c>
      <c r="F63" t="inlineStr">
        <is>
          <t>SÖDERMANLANDS LÄN</t>
        </is>
      </c>
      <c r="G63" t="inlineStr">
        <is>
          <t>KATRINEHOLM</t>
        </is>
      </c>
      <c r="I63" t="n">
        <v>1.2</v>
      </c>
      <c r="J63" t="n">
        <v>7</v>
      </c>
      <c r="K63" t="n">
        <v>0</v>
      </c>
      <c r="L63" t="n">
        <v>3</v>
      </c>
      <c r="M63" t="n">
        <v>1</v>
      </c>
      <c r="N63" t="n">
        <v>0</v>
      </c>
      <c r="O63" t="n">
        <v>0</v>
      </c>
      <c r="P63" t="n">
        <v>0</v>
      </c>
      <c r="Q63" t="n">
        <v>4</v>
      </c>
      <c r="R63" t="n">
        <v>1</v>
      </c>
      <c r="S63" t="n">
        <v>7</v>
      </c>
      <c r="T63" t="n">
        <v>7</v>
      </c>
      <c r="U63" t="n">
        <v>7</v>
      </c>
      <c r="V63" s="2" t="inlineStr">
        <is>
          <t>Blå kärrhök
Bivråk
Mindre hackspett
Sparvuggla
Fiskgjuse
Havsörn
Röd glada</t>
        </is>
      </c>
      <c r="W63">
        <f>HYPERLINK("https://klasma.github.io/Logging_0483/artfynd/A 20533-2023 artfynd.xlsx", "A 20533-2023")</f>
        <v/>
      </c>
      <c r="X63">
        <f>HYPERLINK("https://klasma.github.io/Logging_0483/kartor/A 20533-2023 karta.png", "A 20533-2023")</f>
        <v/>
      </c>
      <c r="Y63">
        <f>HYPERLINK("https://klasma.github.io/Logging_0483/kartor_geotiff/A 20533-2023 georefererad karta.tif", "A 20533-2023")</f>
        <v/>
      </c>
      <c r="AA63">
        <f>HYPERLINK("https://klasma.github.io/Logging_0483/klagomål/A 20533-2023 FSC-klagomål.docx", "A 20533-2023")</f>
        <v/>
      </c>
      <c r="AB63">
        <f>HYPERLINK("https://klasma.github.io/Logging_0483/klagomålsmail/A 20533-2023 FSC-klagomål mail.docx", "A 20533-2023")</f>
        <v/>
      </c>
      <c r="AC63">
        <f>HYPERLINK("https://klasma.github.io/Logging_0483/tillsyn/A 20533-2023 tillsynsbegäran.docx", "A 20533-2023")</f>
        <v/>
      </c>
      <c r="AD63">
        <f>HYPERLINK("https://klasma.github.io/Logging_0483/tillsynsmail/A 20533-2023 tillsynsbegäran mail.docx", "A 20533-2023")</f>
        <v/>
      </c>
      <c r="AE63">
        <f>HYPERLINK("https://klasma.github.io/Logging_0483/fåglar/A 20533-2023 prioriterade fågelarter.docx", "A 20533-2023")</f>
        <v/>
      </c>
    </row>
    <row r="64" ht="15" customHeight="1">
      <c r="A64" t="inlineStr">
        <is>
          <t>A 6570-2023</t>
        </is>
      </c>
      <c r="B64" t="inlineStr">
        <is>
          <t>avverkningsanmälan</t>
        </is>
      </c>
      <c r="C64" t="inlineStr">
        <is>
          <t>Avverkning för annat ändamål</t>
        </is>
      </c>
      <c r="D64" s="1" t="n">
        <v>44963</v>
      </c>
      <c r="E64" s="1" t="n">
        <v>46313</v>
      </c>
      <c r="F64" t="inlineStr">
        <is>
          <t>SÖDERMANLANDS LÄN</t>
        </is>
      </c>
      <c r="G64" t="inlineStr">
        <is>
          <t>STRÄNGNÄS</t>
        </is>
      </c>
      <c r="I64" t="n">
        <v>1</v>
      </c>
      <c r="J64" t="n">
        <v>4</v>
      </c>
      <c r="K64" t="n">
        <v>1</v>
      </c>
      <c r="L64" t="n">
        <v>3</v>
      </c>
      <c r="M64" t="n">
        <v>0</v>
      </c>
      <c r="N64" t="n">
        <v>0</v>
      </c>
      <c r="O64" t="n">
        <v>0</v>
      </c>
      <c r="P64" t="n">
        <v>0</v>
      </c>
      <c r="Q64" t="n">
        <v>3</v>
      </c>
      <c r="R64" t="n">
        <v>0</v>
      </c>
      <c r="S64" t="n">
        <v>7</v>
      </c>
      <c r="T64" t="n">
        <v>9</v>
      </c>
      <c r="U64" t="n">
        <v>9</v>
      </c>
      <c r="V64" s="2" t="inlineStr">
        <is>
          <t>Motaggsvamp
Nordfladdermus
Tallticka
Blomkålssvamp
Mattlummer
Spillkråka
Fläcknycklar</t>
        </is>
      </c>
      <c r="W64">
        <f>HYPERLINK("https://klasma.github.io/Logging_0486/artfynd/A 6570-2023 artfynd.xlsx", "A 6570-2023")</f>
        <v/>
      </c>
      <c r="X64">
        <f>HYPERLINK("https://klasma.github.io/Logging_0486/kartor/A 6570-2023 karta.png", "A 6570-2023")</f>
        <v/>
      </c>
      <c r="Y64">
        <f>HYPERLINK("https://klasma.github.io/Logging_0486/kartor_geotiff/A 6570-2023 georefererad karta.tif", "A 6570-2023")</f>
        <v/>
      </c>
      <c r="Z64">
        <f>HYPERLINK("https://klasma.github.io/Logging_0486/knärot/A 6570-2023 karta knärot.png", "A 6570-2023")</f>
        <v/>
      </c>
      <c r="AA64">
        <f>HYPERLINK("https://klasma.github.io/Logging_0486/klagomål/A 6570-2023 FSC-klagomål.docx", "A 6570-2023")</f>
        <v/>
      </c>
      <c r="AB64">
        <f>HYPERLINK("https://klasma.github.io/Logging_0486/klagomålsmail/A 6570-2023 FSC-klagomål mail.docx", "A 6570-2023")</f>
        <v/>
      </c>
      <c r="AC64">
        <f>HYPERLINK("https://klasma.github.io/Logging_0486/tillsyn/A 6570-2023 tillsynsbegäran.docx", "A 6570-2023")</f>
        <v/>
      </c>
      <c r="AD64">
        <f>HYPERLINK("https://klasma.github.io/Logging_0486/tillsynsmail/A 6570-2023 tillsynsbegäran mail.docx", "A 6570-2023")</f>
        <v/>
      </c>
      <c r="AE64">
        <f>HYPERLINK("https://klasma.github.io/Logging_0486/fåglar/A 6570-2023 prioriterade fågelarter.docx", "A 6570-2023")</f>
        <v/>
      </c>
    </row>
    <row r="65" ht="15" customHeight="1">
      <c r="A65" t="inlineStr">
        <is>
          <t>A 18078-2023</t>
        </is>
      </c>
      <c r="B65" t="inlineStr">
        <is>
          <t>avverkningsanmälan</t>
        </is>
      </c>
      <c r="C65" t="inlineStr">
        <is>
          <t>Föryngringsavverkning</t>
        </is>
      </c>
      <c r="D65" s="1" t="n">
        <v>45039</v>
      </c>
      <c r="E65" s="1" t="n">
        <v>46313</v>
      </c>
      <c r="F65" t="inlineStr">
        <is>
          <t>SÖDERMANLANDS LÄN</t>
        </is>
      </c>
      <c r="G65" t="inlineStr">
        <is>
          <t>FLEN</t>
        </is>
      </c>
      <c r="I65" t="n">
        <v>8.9</v>
      </c>
      <c r="J65" t="n">
        <v>1</v>
      </c>
      <c r="K65" t="n">
        <v>4</v>
      </c>
      <c r="L65" t="n">
        <v>2</v>
      </c>
      <c r="M65" t="n">
        <v>0</v>
      </c>
      <c r="N65" t="n">
        <v>0</v>
      </c>
      <c r="O65" t="n">
        <v>0</v>
      </c>
      <c r="P65" t="n">
        <v>0</v>
      </c>
      <c r="Q65" t="n">
        <v>2</v>
      </c>
      <c r="R65" t="n">
        <v>0</v>
      </c>
      <c r="S65" t="n">
        <v>7</v>
      </c>
      <c r="T65" t="n">
        <v>8</v>
      </c>
      <c r="U65" t="n">
        <v>4</v>
      </c>
      <c r="V65" s="2" t="inlineStr">
        <is>
          <t>Gullklöver
Svinrot
Aspvedgnagare
Gulnål
Kornig nållav
Rävticka
Nattviol</t>
        </is>
      </c>
      <c r="W65">
        <f>HYPERLINK("https://klasma.github.io/Logging_0482/artfynd/A 18078-2023 artfynd.xlsx", "A 18078-2023")</f>
        <v/>
      </c>
      <c r="X65">
        <f>HYPERLINK("https://klasma.github.io/Logging_0482/kartor/A 18078-2023 karta.png", "A 18078-2023")</f>
        <v/>
      </c>
      <c r="Y65">
        <f>HYPERLINK("https://klasma.github.io/Logging_0482/kartor_geotiff/A 18078-2023 georefererad karta.tif", "A 18078-2023")</f>
        <v/>
      </c>
      <c r="AA65">
        <f>HYPERLINK("https://klasma.github.io/Logging_0482/klagomål/A 18078-2023 FSC-klagomål.docx", "A 18078-2023")</f>
        <v/>
      </c>
      <c r="AB65">
        <f>HYPERLINK("https://klasma.github.io/Logging_0482/klagomålsmail/A 18078-2023 FSC-klagomål mail.docx", "A 18078-2023")</f>
        <v/>
      </c>
      <c r="AC65">
        <f>HYPERLINK("https://klasma.github.io/Logging_0482/tillsyn/A 18078-2023 tillsynsbegäran.docx", "A 18078-2023")</f>
        <v/>
      </c>
      <c r="AD65">
        <f>HYPERLINK("https://klasma.github.io/Logging_0482/tillsynsmail/A 18078-2023 tillsynsbegäran mail.docx", "A 18078-2023")</f>
        <v/>
      </c>
    </row>
    <row r="66" ht="15" customHeight="1">
      <c r="A66" t="inlineStr">
        <is>
          <t>A 52453-2023</t>
        </is>
      </c>
      <c r="B66" t="inlineStr">
        <is>
          <t>avverkningsanmälan</t>
        </is>
      </c>
      <c r="C66" t="inlineStr">
        <is>
          <t>Föryngringsavverkning</t>
        </is>
      </c>
      <c r="D66" s="1" t="n">
        <v>45225</v>
      </c>
      <c r="E66" s="1" t="n">
        <v>46313</v>
      </c>
      <c r="F66" t="inlineStr">
        <is>
          <t>SÖDERMANLANDS LÄN</t>
        </is>
      </c>
      <c r="G66" t="inlineStr">
        <is>
          <t>KATRINEHOLM</t>
        </is>
      </c>
      <c r="H66" t="inlineStr">
        <is>
          <t>Kyrkan</t>
        </is>
      </c>
      <c r="I66" t="n">
        <v>15.2</v>
      </c>
      <c r="J66" t="n">
        <v>6</v>
      </c>
      <c r="K66" t="n">
        <v>0</v>
      </c>
      <c r="L66" t="n">
        <v>4</v>
      </c>
      <c r="M66" t="n">
        <v>0</v>
      </c>
      <c r="N66" t="n">
        <v>0</v>
      </c>
      <c r="O66" t="n">
        <v>0</v>
      </c>
      <c r="P66" t="n">
        <v>0</v>
      </c>
      <c r="Q66" t="n">
        <v>4</v>
      </c>
      <c r="R66" t="n">
        <v>0</v>
      </c>
      <c r="S66" t="n">
        <v>7</v>
      </c>
      <c r="T66" t="n">
        <v>8</v>
      </c>
      <c r="U66" t="n">
        <v>2</v>
      </c>
      <c r="V66" s="2" t="inlineStr">
        <is>
          <t>Gulsparv
Kungsörn
Talltita
Älg
Havsörn
Röd glada
Skogsduva</t>
        </is>
      </c>
      <c r="W66">
        <f>HYPERLINK("https://klasma.github.io/Logging_0483/artfynd/A 52453-2023 artfynd.xlsx", "A 52453-2023")</f>
        <v/>
      </c>
      <c r="X66">
        <f>HYPERLINK("https://klasma.github.io/Logging_0483/kartor/A 52453-2023 karta.png", "A 52453-2023")</f>
        <v/>
      </c>
      <c r="Y66">
        <f>HYPERLINK("https://klasma.github.io/Logging_0483/kartor_geotiff/A 52453-2023 georefererad karta.tif", "A 52453-2023")</f>
        <v/>
      </c>
      <c r="AA66">
        <f>HYPERLINK("https://klasma.github.io/Logging_0483/klagomål/A 52453-2023 FSC-klagomål.docx", "A 52453-2023")</f>
        <v/>
      </c>
      <c r="AB66">
        <f>HYPERLINK("https://klasma.github.io/Logging_0483/klagomålsmail/A 52453-2023 FSC-klagomål mail.docx", "A 52453-2023")</f>
        <v/>
      </c>
      <c r="AC66">
        <f>HYPERLINK("https://klasma.github.io/Logging_0483/tillsyn/A 52453-2023 tillsynsbegäran.docx", "A 52453-2023")</f>
        <v/>
      </c>
      <c r="AD66">
        <f>HYPERLINK("https://klasma.github.io/Logging_0483/tillsynsmail/A 52453-2023 tillsynsbegäran mail.docx", "A 52453-2023")</f>
        <v/>
      </c>
      <c r="AE66">
        <f>HYPERLINK("https://klasma.github.io/Logging_0483/fåglar/A 52453-2023 prioriterade fågelarter.docx", "A 52453-2023")</f>
        <v/>
      </c>
    </row>
    <row r="67" ht="15" customHeight="1">
      <c r="A67" t="inlineStr">
        <is>
          <t>A 25183-2022</t>
        </is>
      </c>
      <c r="B67" t="inlineStr">
        <is>
          <t>avverkningsanmälan</t>
        </is>
      </c>
      <c r="C67" t="inlineStr">
        <is>
          <t>Avverkning för annat ändamål</t>
        </is>
      </c>
      <c r="D67" s="1" t="n">
        <v>44729</v>
      </c>
      <c r="E67" s="1" t="n">
        <v>46313</v>
      </c>
      <c r="F67" t="inlineStr">
        <is>
          <t>SÖDERMANLANDS LÄN</t>
        </is>
      </c>
      <c r="G67" t="inlineStr">
        <is>
          <t>NYKÖPING</t>
        </is>
      </c>
      <c r="I67" t="n">
        <v>3</v>
      </c>
      <c r="J67" t="n">
        <v>0</v>
      </c>
      <c r="K67" t="n">
        <v>4</v>
      </c>
      <c r="L67" t="n">
        <v>2</v>
      </c>
      <c r="M67" t="n">
        <v>0</v>
      </c>
      <c r="N67" t="n">
        <v>1</v>
      </c>
      <c r="O67" t="n">
        <v>0</v>
      </c>
      <c r="P67" t="n">
        <v>0</v>
      </c>
      <c r="Q67" t="n">
        <v>3</v>
      </c>
      <c r="R67" t="n">
        <v>1</v>
      </c>
      <c r="S67" t="n">
        <v>7</v>
      </c>
      <c r="T67" t="n">
        <v>7</v>
      </c>
      <c r="U67" t="n">
        <v>2</v>
      </c>
      <c r="V67" s="2" t="inlineStr">
        <is>
          <t>Ask
Backtimjan
Svinrot
Blåmossa
Gulvaxing
Toppvaxing
Ängsvaxing agg.</t>
        </is>
      </c>
      <c r="W67">
        <f>HYPERLINK("https://klasma.github.io/Logging_0480/artfynd/A 25183-2022 artfynd.xlsx", "A 25183-2022")</f>
        <v/>
      </c>
      <c r="X67">
        <f>HYPERLINK("https://klasma.github.io/Logging_0480/kartor/A 25183-2022 karta.png", "A 25183-2022")</f>
        <v/>
      </c>
      <c r="Y67">
        <f>HYPERLINK("https://klasma.github.io/Logging_0480/kartor_geotiff/A 25183-2022 georefererad karta.tif", "A 25183-2022")</f>
        <v/>
      </c>
      <c r="AA67">
        <f>HYPERLINK("https://klasma.github.io/Logging_0480/klagomål/A 25183-2022 FSC-klagomål.docx", "A 25183-2022")</f>
        <v/>
      </c>
      <c r="AB67">
        <f>HYPERLINK("https://klasma.github.io/Logging_0480/klagomålsmail/A 25183-2022 FSC-klagomål mail.docx", "A 25183-2022")</f>
        <v/>
      </c>
      <c r="AC67">
        <f>HYPERLINK("https://klasma.github.io/Logging_0480/tillsyn/A 25183-2022 tillsynsbegäran.docx", "A 25183-2022")</f>
        <v/>
      </c>
      <c r="AD67">
        <f>HYPERLINK("https://klasma.github.io/Logging_0480/tillsynsmail/A 25183-2022 tillsynsbegäran mail.docx", "A 25183-2022")</f>
        <v/>
      </c>
    </row>
    <row r="68" ht="15" customHeight="1">
      <c r="A68" t="inlineStr">
        <is>
          <t>A 1148-2025</t>
        </is>
      </c>
      <c r="B68" t="inlineStr">
        <is>
          <t>avverkningsanmälan</t>
        </is>
      </c>
      <c r="C68" t="inlineStr">
        <is>
          <t>Föryngringsavverkning</t>
        </is>
      </c>
      <c r="D68" s="1" t="n">
        <v>45666</v>
      </c>
      <c r="E68" s="1" t="n">
        <v>46313</v>
      </c>
      <c r="F68" t="inlineStr">
        <is>
          <t>SÖDERMANLANDS LÄN</t>
        </is>
      </c>
      <c r="G68" t="inlineStr">
        <is>
          <t>FLEN</t>
        </is>
      </c>
      <c r="H68" t="inlineStr">
        <is>
          <t>Övriga statliga verk och myndigheter</t>
        </is>
      </c>
      <c r="I68" t="n">
        <v>3</v>
      </c>
      <c r="J68" t="n">
        <v>3</v>
      </c>
      <c r="K68" t="n">
        <v>0</v>
      </c>
      <c r="L68" t="n">
        <v>4</v>
      </c>
      <c r="M68" t="n">
        <v>0</v>
      </c>
      <c r="N68" t="n">
        <v>0</v>
      </c>
      <c r="O68" t="n">
        <v>0</v>
      </c>
      <c r="P68" t="n">
        <v>0</v>
      </c>
      <c r="Q68" t="n">
        <v>4</v>
      </c>
      <c r="R68" t="n">
        <v>0</v>
      </c>
      <c r="S68" t="n">
        <v>7</v>
      </c>
      <c r="T68" t="n">
        <v>7</v>
      </c>
      <c r="U68" t="n">
        <v>5</v>
      </c>
      <c r="V68" s="2" t="inlineStr">
        <is>
          <t>Jungfrulin
Svedjenäva
Svinrot
Älg
Mattlummer
Huggorm
Grönvit nattviol</t>
        </is>
      </c>
      <c r="W68">
        <f>HYPERLINK("https://klasma.github.io/Logging_0482/artfynd/A 1148-2025 artfynd.xlsx", "A 1148-2025")</f>
        <v/>
      </c>
      <c r="X68">
        <f>HYPERLINK("https://klasma.github.io/Logging_0482/kartor/A 1148-2025 karta.png", "A 1148-2025")</f>
        <v/>
      </c>
      <c r="Y68">
        <f>HYPERLINK("https://klasma.github.io/Logging_0482/kartor_geotiff/A 1148-2025 georefererad karta.tif", "A 1148-2025")</f>
        <v/>
      </c>
      <c r="AA68">
        <f>HYPERLINK("https://klasma.github.io/Logging_0482/klagomål/A 1148-2025 FSC-klagomål.docx", "A 1148-2025")</f>
        <v/>
      </c>
      <c r="AB68">
        <f>HYPERLINK("https://klasma.github.io/Logging_0482/klagomålsmail/A 1148-2025 FSC-klagomål mail.docx", "A 1148-2025")</f>
        <v/>
      </c>
      <c r="AC68">
        <f>HYPERLINK("https://klasma.github.io/Logging_0482/tillsyn/A 1148-2025 tillsynsbegäran.docx", "A 1148-2025")</f>
        <v/>
      </c>
      <c r="AD68">
        <f>HYPERLINK("https://klasma.github.io/Logging_0482/tillsynsmail/A 1148-2025 tillsynsbegäran mail.docx", "A 1148-2025")</f>
        <v/>
      </c>
    </row>
    <row r="69" ht="15" customHeight="1">
      <c r="A69" t="inlineStr">
        <is>
          <t>A 48791-2024</t>
        </is>
      </c>
      <c r="B69" t="inlineStr">
        <is>
          <t>avverkningsanmälan</t>
        </is>
      </c>
      <c r="C69" t="inlineStr">
        <is>
          <t>Avverkning för annat ändamål</t>
        </is>
      </c>
      <c r="D69" s="1" t="n">
        <v>45593</v>
      </c>
      <c r="E69" s="1" t="n">
        <v>46313</v>
      </c>
      <c r="F69" t="inlineStr">
        <is>
          <t>SÖDERMANLANDS LÄN</t>
        </is>
      </c>
      <c r="G69" t="inlineStr">
        <is>
          <t>TROSA</t>
        </is>
      </c>
      <c r="I69" t="n">
        <v>20.7</v>
      </c>
      <c r="J69" t="n">
        <v>5</v>
      </c>
      <c r="K69" t="n">
        <v>2</v>
      </c>
      <c r="L69" t="n">
        <v>2</v>
      </c>
      <c r="M69" t="n">
        <v>0</v>
      </c>
      <c r="N69" t="n">
        <v>0</v>
      </c>
      <c r="O69" t="n">
        <v>0</v>
      </c>
      <c r="P69" t="n">
        <v>0</v>
      </c>
      <c r="Q69" t="n">
        <v>2</v>
      </c>
      <c r="R69" t="n">
        <v>0</v>
      </c>
      <c r="S69" t="n">
        <v>7</v>
      </c>
      <c r="T69" t="n">
        <v>8</v>
      </c>
      <c r="U69" t="n">
        <v>6</v>
      </c>
      <c r="V69" s="2" t="inlineStr">
        <is>
          <t>Kricka
Svart skogssnigel
Korallrot
Svavelriska
Mattlummer
Havsörn
Fläcknycklar</t>
        </is>
      </c>
      <c r="W69">
        <f>HYPERLINK("https://klasma.github.io/Logging_0488/artfynd/A 48791-2024 artfynd.xlsx", "A 48791-2024")</f>
        <v/>
      </c>
      <c r="X69">
        <f>HYPERLINK("https://klasma.github.io/Logging_0488/kartor/A 48791-2024 karta.png", "A 48791-2024")</f>
        <v/>
      </c>
      <c r="Y69">
        <f>HYPERLINK("https://klasma.github.io/Logging_0488/kartor_geotiff/A 48791-2024 georefererad karta.tif", "A 48791-2024")</f>
        <v/>
      </c>
      <c r="AA69">
        <f>HYPERLINK("https://klasma.github.io/Logging_0488/klagomål/A 48791-2024 FSC-klagomål.docx", "A 48791-2024")</f>
        <v/>
      </c>
      <c r="AB69">
        <f>HYPERLINK("https://klasma.github.io/Logging_0488/klagomålsmail/A 48791-2024 FSC-klagomål mail.docx", "A 48791-2024")</f>
        <v/>
      </c>
      <c r="AC69">
        <f>HYPERLINK("https://klasma.github.io/Logging_0488/tillsyn/A 48791-2024 tillsynsbegäran.docx", "A 48791-2024")</f>
        <v/>
      </c>
      <c r="AD69">
        <f>HYPERLINK("https://klasma.github.io/Logging_0488/tillsynsmail/A 48791-2024 tillsynsbegäran mail.docx", "A 48791-2024")</f>
        <v/>
      </c>
      <c r="AE69">
        <f>HYPERLINK("https://klasma.github.io/Logging_0488/fåglar/A 48791-2024 prioriterade fågelarter.docx", "A 48791-2024")</f>
        <v/>
      </c>
    </row>
    <row r="70" ht="15" customHeight="1">
      <c r="A70" t="inlineStr">
        <is>
          <t>A 57599-2025</t>
        </is>
      </c>
      <c r="B70" t="inlineStr">
        <is>
          <t>avverkningsanmälan</t>
        </is>
      </c>
      <c r="C70" t="inlineStr">
        <is>
          <t>Föryngringsavverkning</t>
        </is>
      </c>
      <c r="D70" s="1" t="n">
        <v>45981</v>
      </c>
      <c r="E70" s="1" t="n">
        <v>46313</v>
      </c>
      <c r="F70" t="inlineStr">
        <is>
          <t>SÖDERMANLANDS LÄN</t>
        </is>
      </c>
      <c r="G70" t="inlineStr">
        <is>
          <t>NYKÖPING</t>
        </is>
      </c>
      <c r="I70" t="n">
        <v>10.6</v>
      </c>
      <c r="J70" t="n">
        <v>2</v>
      </c>
      <c r="K70" t="n">
        <v>3</v>
      </c>
      <c r="L70" t="n">
        <v>4</v>
      </c>
      <c r="M70" t="n">
        <v>0</v>
      </c>
      <c r="N70" t="n">
        <v>0</v>
      </c>
      <c r="O70" t="n">
        <v>0</v>
      </c>
      <c r="P70" t="n">
        <v>0</v>
      </c>
      <c r="Q70" t="n">
        <v>4</v>
      </c>
      <c r="R70" t="n">
        <v>0</v>
      </c>
      <c r="S70" t="n">
        <v>7</v>
      </c>
      <c r="T70" t="n">
        <v>7</v>
      </c>
      <c r="U70" t="n">
        <v>7</v>
      </c>
      <c r="V70" s="2" t="inlineStr">
        <is>
          <t>Blanksvart spiklav
Duvhök
Rynkskinn
Talltita
Bronshjon
Grönpyrola
Rödgul trumpetsvamp</t>
        </is>
      </c>
      <c r="W70">
        <f>HYPERLINK("https://klasma.github.io/Logging_0480/artfynd/A 57599-2025 artfynd.xlsx", "A 57599-2025")</f>
        <v/>
      </c>
      <c r="X70">
        <f>HYPERLINK("https://klasma.github.io/Logging_0480/kartor/A 57599-2025 karta.png", "A 57599-2025")</f>
        <v/>
      </c>
      <c r="Y70">
        <f>HYPERLINK("https://klasma.github.io/Logging_0480/kartor_geotiff/A 57599-2025 georefererad karta.tif", "A 57599-2025")</f>
        <v/>
      </c>
      <c r="AA70">
        <f>HYPERLINK("https://klasma.github.io/Logging_0480/klagomål/A 57599-2025 FSC-klagomål.docx", "A 57599-2025")</f>
        <v/>
      </c>
      <c r="AB70">
        <f>HYPERLINK("https://klasma.github.io/Logging_0480/klagomålsmail/A 57599-2025 FSC-klagomål mail.docx", "A 57599-2025")</f>
        <v/>
      </c>
      <c r="AC70">
        <f>HYPERLINK("https://klasma.github.io/Logging_0480/tillsyn/A 57599-2025 tillsynsbegäran.docx", "A 57599-2025")</f>
        <v/>
      </c>
      <c r="AD70">
        <f>HYPERLINK("https://klasma.github.io/Logging_0480/tillsynsmail/A 57599-2025 tillsynsbegäran mail.docx", "A 57599-2025")</f>
        <v/>
      </c>
      <c r="AE70">
        <f>HYPERLINK("https://klasma.github.io/Logging_0480/fåglar/A 57599-2025 prioriterade fågelarter.docx", "A 57599-2025")</f>
        <v/>
      </c>
    </row>
    <row r="71" ht="15" customHeight="1">
      <c r="A71" t="inlineStr">
        <is>
          <t>A 35137-2025</t>
        </is>
      </c>
      <c r="B71" t="inlineStr">
        <is>
          <t>avverkningsanmälan</t>
        </is>
      </c>
      <c r="C71" t="inlineStr">
        <is>
          <t>Föryngringsavverkning</t>
        </is>
      </c>
      <c r="D71" s="1" t="n">
        <v>45852</v>
      </c>
      <c r="E71" s="1" t="n">
        <v>46313</v>
      </c>
      <c r="F71" t="inlineStr">
        <is>
          <t>SÖDERMANLANDS LÄN</t>
        </is>
      </c>
      <c r="G71" t="inlineStr">
        <is>
          <t>KATRINEHOLM</t>
        </is>
      </c>
      <c r="I71" t="n">
        <v>5.6</v>
      </c>
      <c r="J71" t="n">
        <v>1</v>
      </c>
      <c r="K71" t="n">
        <v>4</v>
      </c>
      <c r="L71" t="n">
        <v>1</v>
      </c>
      <c r="M71" t="n">
        <v>0</v>
      </c>
      <c r="N71" t="n">
        <v>1</v>
      </c>
      <c r="O71" t="n">
        <v>0</v>
      </c>
      <c r="P71" t="n">
        <v>0</v>
      </c>
      <c r="Q71" t="n">
        <v>2</v>
      </c>
      <c r="R71" t="n">
        <v>1</v>
      </c>
      <c r="S71" t="n">
        <v>7</v>
      </c>
      <c r="T71" t="n">
        <v>8</v>
      </c>
      <c r="U71" t="n">
        <v>0</v>
      </c>
      <c r="V71" s="2" t="inlineStr">
        <is>
          <t>Ask
Vippärt
Svart trolldruva
Tibast
Underviol
Vätteros
Blåsippa</t>
        </is>
      </c>
      <c r="W71">
        <f>HYPERLINK("https://klasma.github.io/Logging_0483/artfynd/A 35137-2025 artfynd.xlsx", "A 35137-2025")</f>
        <v/>
      </c>
      <c r="X71">
        <f>HYPERLINK("https://klasma.github.io/Logging_0483/kartor/A 35137-2025 karta.png", "A 35137-2025")</f>
        <v/>
      </c>
      <c r="Y71">
        <f>HYPERLINK("https://klasma.github.io/Logging_0483/kartor_geotiff/A 35137-2025 georefererad karta.tif", "A 35137-2025")</f>
        <v/>
      </c>
      <c r="AA71">
        <f>HYPERLINK("https://klasma.github.io/Logging_0483/klagomål/A 35137-2025 FSC-klagomål.docx", "A 35137-2025")</f>
        <v/>
      </c>
      <c r="AB71">
        <f>HYPERLINK("https://klasma.github.io/Logging_0483/klagomålsmail/A 35137-2025 FSC-klagomål mail.docx", "A 35137-2025")</f>
        <v/>
      </c>
      <c r="AC71">
        <f>HYPERLINK("https://klasma.github.io/Logging_0483/tillsyn/A 35137-2025 tillsynsbegäran.docx", "A 35137-2025")</f>
        <v/>
      </c>
      <c r="AD71">
        <f>HYPERLINK("https://klasma.github.io/Logging_0483/tillsynsmail/A 35137-2025 tillsynsbegäran mail.docx", "A 35137-2025")</f>
        <v/>
      </c>
    </row>
    <row r="72" ht="15" customHeight="1">
      <c r="A72" t="inlineStr">
        <is>
          <t>S 1905-2020</t>
        </is>
      </c>
      <c r="B72" t="inlineStr">
        <is>
          <t>samrådsanmälan</t>
        </is>
      </c>
      <c r="C72" t="inlineStr">
        <is>
          <t>Åtgärd i nyckelbiotop</t>
        </is>
      </c>
      <c r="D72" s="1" t="n">
        <v>44078</v>
      </c>
      <c r="E72" s="1" t="n">
        <v>46313</v>
      </c>
      <c r="F72" t="inlineStr">
        <is>
          <t>SÖDERMANLANDS LÄN</t>
        </is>
      </c>
      <c r="G72" t="inlineStr">
        <is>
          <t>FLEN</t>
        </is>
      </c>
      <c r="I72" t="n">
        <v>3.7</v>
      </c>
      <c r="J72" t="n">
        <v>2</v>
      </c>
      <c r="K72" t="n">
        <v>4</v>
      </c>
      <c r="L72" t="n">
        <v>1</v>
      </c>
      <c r="M72" t="n">
        <v>1</v>
      </c>
      <c r="N72" t="n">
        <v>0</v>
      </c>
      <c r="O72" t="n">
        <v>0</v>
      </c>
      <c r="P72" t="n">
        <v>0</v>
      </c>
      <c r="Q72" t="n">
        <v>2</v>
      </c>
      <c r="R72" t="n">
        <v>1</v>
      </c>
      <c r="S72" t="n">
        <v>7</v>
      </c>
      <c r="T72" t="n">
        <v>14</v>
      </c>
      <c r="U72" t="n">
        <v>0</v>
      </c>
      <c r="V72" s="2" t="inlineStr">
        <is>
          <t>Knärot
Ullticka
Blomkålssvamp
Brandticka
Granbarkgnagare
Vedticka
Blåsippa</t>
        </is>
      </c>
      <c r="W72">
        <f>HYPERLINK("https://klasma.github.io/Logging_0482/artfynd/S 1905-2020 artfynd.xlsx", "S 1905-2020")</f>
        <v/>
      </c>
      <c r="X72">
        <f>HYPERLINK("https://klasma.github.io/Logging_0482/kartor/S 1905-2020 karta.png", "S 1905-2020")</f>
        <v/>
      </c>
      <c r="Y72">
        <f>HYPERLINK("https://klasma.github.io/Logging_0482/kartor_geotiff/S 1905-2020 georefererad karta.tif", "S 1905-2020")</f>
        <v/>
      </c>
      <c r="Z72">
        <f>HYPERLINK("https://klasma.github.io/Logging_0482/knärot/S 1905-2020 karta knärot.png", "S 1905-2020")</f>
        <v/>
      </c>
      <c r="AA72">
        <f>HYPERLINK("https://klasma.github.io/Logging_0482/klagomål/S 1905-2020 FSC-klagomål.docx", "S 1905-2020")</f>
        <v/>
      </c>
      <c r="AB72">
        <f>HYPERLINK("https://klasma.github.io/Logging_0482/klagomålsmail/S 1905-2020 FSC-klagomål mail.docx", "S 1905-2020")</f>
        <v/>
      </c>
      <c r="AC72">
        <f>HYPERLINK("https://klasma.github.io/Logging_0482/tillsyn/S 1905-2020 tillsynsbegäran.docx", "S 1905-2020")</f>
        <v/>
      </c>
      <c r="AD72">
        <f>HYPERLINK("https://klasma.github.io/Logging_0482/tillsynsmail/S 1905-2020 tillsynsbegäran mail.docx", "S 1905-2020")</f>
        <v/>
      </c>
    </row>
    <row r="73" ht="15" customHeight="1">
      <c r="A73" t="inlineStr">
        <is>
          <t>S 6326-2022</t>
        </is>
      </c>
      <c r="B73" t="inlineStr">
        <is>
          <t>samrådsanmälan</t>
        </is>
      </c>
      <c r="C73" t="inlineStr">
        <is>
          <t>Annan skogsbruksåtgärd</t>
        </is>
      </c>
      <c r="D73" s="1" t="n">
        <v>44872</v>
      </c>
      <c r="E73" s="1" t="n">
        <v>46313</v>
      </c>
      <c r="F73" t="inlineStr">
        <is>
          <t>SÖDERMANLANDS LÄN</t>
        </is>
      </c>
      <c r="G73" t="inlineStr">
        <is>
          <t>VINGÅKER</t>
        </is>
      </c>
      <c r="I73" t="n">
        <v>8.800000000000001</v>
      </c>
      <c r="J73" t="n">
        <v>2</v>
      </c>
      <c r="K73" t="n">
        <v>3</v>
      </c>
      <c r="L73" t="n">
        <v>2</v>
      </c>
      <c r="M73" t="n">
        <v>0</v>
      </c>
      <c r="N73" t="n">
        <v>0</v>
      </c>
      <c r="O73" t="n">
        <v>0</v>
      </c>
      <c r="P73" t="n">
        <v>0</v>
      </c>
      <c r="Q73" t="n">
        <v>2</v>
      </c>
      <c r="R73" t="n">
        <v>0</v>
      </c>
      <c r="S73" t="n">
        <v>7</v>
      </c>
      <c r="T73" t="n">
        <v>7</v>
      </c>
      <c r="U73" t="n">
        <v>2</v>
      </c>
      <c r="V73" s="2" t="inlineStr">
        <is>
          <t>Kandelabersvamp
Vårärt
Blomskägglav
Hasselticka
Vätteros
Blåsippa
Gullviva</t>
        </is>
      </c>
      <c r="W73">
        <f>HYPERLINK("https://klasma.github.io/Logging_0428/artfynd/S 6326-2022 artfynd.xlsx", "S 6326-2022")</f>
        <v/>
      </c>
      <c r="X73">
        <f>HYPERLINK("https://klasma.github.io/Logging_0428/kartor/S 6326-2022 karta.png", "S 6326-2022")</f>
        <v/>
      </c>
      <c r="Y73">
        <f>HYPERLINK("https://klasma.github.io/Logging_0428/kartor_geotiff/S 6326-2022 georefererad karta.tif", "S 6326-2022")</f>
        <v/>
      </c>
      <c r="AA73">
        <f>HYPERLINK("https://klasma.github.io/Logging_0428/klagomål/S 6326-2022 FSC-klagomål.docx", "S 6326-2022")</f>
        <v/>
      </c>
      <c r="AB73">
        <f>HYPERLINK("https://klasma.github.io/Logging_0428/klagomålsmail/S 6326-2022 FSC-klagomål mail.docx", "S 6326-2022")</f>
        <v/>
      </c>
      <c r="AC73">
        <f>HYPERLINK("https://klasma.github.io/Logging_0428/tillsyn/S 6326-2022 tillsynsbegäran.docx", "S 6326-2022")</f>
        <v/>
      </c>
      <c r="AD73">
        <f>HYPERLINK("https://klasma.github.io/Logging_0428/tillsynsmail/S 6326-2022 tillsynsbegäran mail.docx", "S 6326-2022")</f>
        <v/>
      </c>
    </row>
    <row r="74" ht="15" customHeight="1">
      <c r="A74" t="inlineStr">
        <is>
          <t>S 1455-2025</t>
        </is>
      </c>
      <c r="B74" t="inlineStr">
        <is>
          <t>samrådsanmälan</t>
        </is>
      </c>
      <c r="C74" t="inlineStr">
        <is>
          <t>Annan skogsbruksåtgärd</t>
        </is>
      </c>
      <c r="D74" s="1" t="n">
        <v>45785</v>
      </c>
      <c r="E74" s="1" t="n">
        <v>46313</v>
      </c>
      <c r="F74" t="inlineStr">
        <is>
          <t>SÖDERMANLANDS LÄN</t>
        </is>
      </c>
      <c r="G74" t="inlineStr">
        <is>
          <t>GNESTA</t>
        </is>
      </c>
      <c r="I74" t="n">
        <v>5.2</v>
      </c>
      <c r="J74" t="n">
        <v>0</v>
      </c>
      <c r="K74" t="n">
        <v>4</v>
      </c>
      <c r="L74" t="n">
        <v>3</v>
      </c>
      <c r="M74" t="n">
        <v>0</v>
      </c>
      <c r="N74" t="n">
        <v>0</v>
      </c>
      <c r="O74" t="n">
        <v>0</v>
      </c>
      <c r="P74" t="n">
        <v>0</v>
      </c>
      <c r="Q74" t="n">
        <v>3</v>
      </c>
      <c r="R74" t="n">
        <v>0</v>
      </c>
      <c r="S74" t="n">
        <v>7</v>
      </c>
      <c r="T74" t="n">
        <v>18</v>
      </c>
      <c r="U74" t="n">
        <v>0</v>
      </c>
      <c r="V74" s="2" t="inlineStr">
        <is>
          <t>Motaggsvamp
Ullticka
Vedskivlav
Blåmossa
Flagellkvastmossa
Mindre märgborre
Trind spretmossa</t>
        </is>
      </c>
      <c r="W74">
        <f>HYPERLINK("https://klasma.github.io/Logging_0461/artfynd/S 1455-2025 artfynd.xlsx", "S 1455-2025")</f>
        <v/>
      </c>
      <c r="X74">
        <f>HYPERLINK("https://klasma.github.io/Logging_0461/kartor/S 1455-2025 karta.png", "S 1455-2025")</f>
        <v/>
      </c>
      <c r="Y74">
        <f>HYPERLINK("https://klasma.github.io/Logging_0461/kartor_geotiff/S 1455-2025 georefererad karta.tif", "S 1455-2025")</f>
        <v/>
      </c>
      <c r="AA74">
        <f>HYPERLINK("https://klasma.github.io/Logging_0461/klagomål/S 1455-2025 FSC-klagomål.docx", "S 1455-2025")</f>
        <v/>
      </c>
      <c r="AB74">
        <f>HYPERLINK("https://klasma.github.io/Logging_0461/klagomålsmail/S 1455-2025 FSC-klagomål mail.docx", "S 1455-2025")</f>
        <v/>
      </c>
      <c r="AC74">
        <f>HYPERLINK("https://klasma.github.io/Logging_0461/tillsyn/S 1455-2025 tillsynsbegäran.docx", "S 1455-2025")</f>
        <v/>
      </c>
      <c r="AD74">
        <f>HYPERLINK("https://klasma.github.io/Logging_0461/tillsynsmail/S 1455-2025 tillsynsbegäran mail.docx", "S 1455-2025")</f>
        <v/>
      </c>
    </row>
    <row r="75" ht="15" customHeight="1">
      <c r="A75" t="inlineStr">
        <is>
          <t>A 61503-2022</t>
        </is>
      </c>
      <c r="B75" t="inlineStr">
        <is>
          <t>avverkningsanmälan</t>
        </is>
      </c>
      <c r="C75" t="inlineStr">
        <is>
          <t>Föryngringsavverkning</t>
        </is>
      </c>
      <c r="D75" s="1" t="n">
        <v>44916</v>
      </c>
      <c r="E75" s="1" t="n">
        <v>46313</v>
      </c>
      <c r="F75" t="inlineStr">
        <is>
          <t>SÖDERMANLANDS LÄN</t>
        </is>
      </c>
      <c r="G75" t="inlineStr">
        <is>
          <t>ESKILSTUNA</t>
        </is>
      </c>
      <c r="I75" t="n">
        <v>1.8</v>
      </c>
      <c r="J75" t="n">
        <v>0</v>
      </c>
      <c r="K75" t="n">
        <v>0</v>
      </c>
      <c r="L75" t="n">
        <v>5</v>
      </c>
      <c r="M75" t="n">
        <v>1</v>
      </c>
      <c r="N75" t="n">
        <v>0</v>
      </c>
      <c r="O75" t="n">
        <v>0</v>
      </c>
      <c r="P75" t="n">
        <v>0</v>
      </c>
      <c r="Q75" t="n">
        <v>6</v>
      </c>
      <c r="R75" t="n">
        <v>1</v>
      </c>
      <c r="S75" t="n">
        <v>6</v>
      </c>
      <c r="T75" t="n">
        <v>13</v>
      </c>
      <c r="U75" t="n">
        <v>2</v>
      </c>
      <c r="V75" s="2" t="inlineStr">
        <is>
          <t>Mindre bastardsvärmare
Jungfrulin
Klasefibbla
Silversmygare
Skogsklocka
Svinrot</t>
        </is>
      </c>
      <c r="W75">
        <f>HYPERLINK("https://klasma.github.io/Logging_0484/artfynd/A 61503-2022 artfynd.xlsx", "A 61503-2022")</f>
        <v/>
      </c>
      <c r="X75">
        <f>HYPERLINK("https://klasma.github.io/Logging_0484/kartor/A 61503-2022 karta.png", "A 61503-2022")</f>
        <v/>
      </c>
      <c r="Y75">
        <f>HYPERLINK("https://klasma.github.io/Logging_0484/kartor_geotiff/A 61503-2022 georefererad karta.tif", "A 61503-2022")</f>
        <v/>
      </c>
      <c r="AA75">
        <f>HYPERLINK("https://klasma.github.io/Logging_0484/klagomål/A 61503-2022 FSC-klagomål.docx", "A 61503-2022")</f>
        <v/>
      </c>
      <c r="AB75">
        <f>HYPERLINK("https://klasma.github.io/Logging_0484/klagomålsmail/A 61503-2022 FSC-klagomål mail.docx", "A 61503-2022")</f>
        <v/>
      </c>
      <c r="AC75">
        <f>HYPERLINK("https://klasma.github.io/Logging_0484/tillsyn/A 61503-2022 tillsynsbegäran.docx", "A 61503-2022")</f>
        <v/>
      </c>
      <c r="AD75">
        <f>HYPERLINK("https://klasma.github.io/Logging_0484/tillsynsmail/A 61503-2022 tillsynsbegäran mail.docx", "A 61503-2022")</f>
        <v/>
      </c>
    </row>
    <row r="76" ht="15" customHeight="1">
      <c r="A76" t="inlineStr">
        <is>
          <t>A 13230-2023</t>
        </is>
      </c>
      <c r="B76" t="inlineStr">
        <is>
          <t>avverkningsanmälan</t>
        </is>
      </c>
      <c r="C76" t="inlineStr">
        <is>
          <t>Föryngringsavverkning</t>
        </is>
      </c>
      <c r="D76" s="1" t="n">
        <v>45002</v>
      </c>
      <c r="E76" s="1" t="n">
        <v>46313</v>
      </c>
      <c r="F76" t="inlineStr">
        <is>
          <t>SÖDERMANLANDS LÄN</t>
        </is>
      </c>
      <c r="G76" t="inlineStr">
        <is>
          <t>FLEN</t>
        </is>
      </c>
      <c r="H76" t="inlineStr">
        <is>
          <t>Kommuner</t>
        </is>
      </c>
      <c r="I76" t="n">
        <v>7.8</v>
      </c>
      <c r="J76" t="n">
        <v>1</v>
      </c>
      <c r="K76" t="n">
        <v>4</v>
      </c>
      <c r="L76" t="n">
        <v>0</v>
      </c>
      <c r="M76" t="n">
        <v>0</v>
      </c>
      <c r="N76" t="n">
        <v>0</v>
      </c>
      <c r="O76" t="n">
        <v>0</v>
      </c>
      <c r="P76" t="n">
        <v>0</v>
      </c>
      <c r="Q76" t="n">
        <v>0</v>
      </c>
      <c r="R76" t="n">
        <v>0</v>
      </c>
      <c r="S76" t="n">
        <v>6</v>
      </c>
      <c r="T76" t="n">
        <v>7</v>
      </c>
      <c r="U76" t="n">
        <v>4</v>
      </c>
      <c r="V76" s="2" t="inlineStr">
        <is>
          <t>Källpraktmossa
Stor aspticka
Thomsons trägnagare
Vågbandad barkbock
Blåsippa
Glansfläck</t>
        </is>
      </c>
      <c r="W76">
        <f>HYPERLINK("https://klasma.github.io/Logging_0482/artfynd/A 13230-2023 artfynd.xlsx", "A 13230-2023")</f>
        <v/>
      </c>
      <c r="X76">
        <f>HYPERLINK("https://klasma.github.io/Logging_0482/kartor/A 13230-2023 karta.png", "A 13230-2023")</f>
        <v/>
      </c>
      <c r="Y76">
        <f>HYPERLINK("https://klasma.github.io/Logging_0482/kartor_geotiff/A 13230-2023 georefererad karta.tif", "A 13230-2023")</f>
        <v/>
      </c>
      <c r="AA76">
        <f>HYPERLINK("https://klasma.github.io/Logging_0482/klagomål/A 13230-2023 FSC-klagomål.docx", "A 13230-2023")</f>
        <v/>
      </c>
      <c r="AB76">
        <f>HYPERLINK("https://klasma.github.io/Logging_0482/klagomålsmail/A 13230-2023 FSC-klagomål mail.docx", "A 13230-2023")</f>
        <v/>
      </c>
      <c r="AC76">
        <f>HYPERLINK("https://klasma.github.io/Logging_0482/tillsyn/A 13230-2023 tillsynsbegäran.docx", "A 13230-2023")</f>
        <v/>
      </c>
      <c r="AD76">
        <f>HYPERLINK("https://klasma.github.io/Logging_0482/tillsynsmail/A 13230-2023 tillsynsbegäran mail.docx", "A 13230-2023")</f>
        <v/>
      </c>
    </row>
    <row r="77" ht="15" customHeight="1">
      <c r="A77" t="inlineStr">
        <is>
          <t>A 43388-2022</t>
        </is>
      </c>
      <c r="B77" t="inlineStr">
        <is>
          <t>avverkningsanmälan</t>
        </is>
      </c>
      <c r="C77" t="inlineStr">
        <is>
          <t>Föryngringsavverkning</t>
        </is>
      </c>
      <c r="D77" s="1" t="n">
        <v>44834</v>
      </c>
      <c r="E77" s="1" t="n">
        <v>46313</v>
      </c>
      <c r="F77" t="inlineStr">
        <is>
          <t>SÖDERMANLANDS LÄN</t>
        </is>
      </c>
      <c r="G77" t="inlineStr">
        <is>
          <t>STRÄNGNÄS</t>
        </is>
      </c>
      <c r="I77" t="n">
        <v>16.5</v>
      </c>
      <c r="J77" t="n">
        <v>0</v>
      </c>
      <c r="K77" t="n">
        <v>3</v>
      </c>
      <c r="L77" t="n">
        <v>3</v>
      </c>
      <c r="M77" t="n">
        <v>0</v>
      </c>
      <c r="N77" t="n">
        <v>0</v>
      </c>
      <c r="O77" t="n">
        <v>0</v>
      </c>
      <c r="P77" t="n">
        <v>0</v>
      </c>
      <c r="Q77" t="n">
        <v>3</v>
      </c>
      <c r="R77" t="n">
        <v>0</v>
      </c>
      <c r="S77" t="n">
        <v>6</v>
      </c>
      <c r="T77" t="n">
        <v>9</v>
      </c>
      <c r="U77" t="n">
        <v>0</v>
      </c>
      <c r="V77" s="2" t="inlineStr">
        <is>
          <t>Gammelekslav
Gul dropplav
Skuggorangelav
Brun nållav
Grå skärelav
Gulpudrad spiklav</t>
        </is>
      </c>
      <c r="W77">
        <f>HYPERLINK("https://klasma.github.io/Logging_0486/artfynd/A 43388-2022 artfynd.xlsx", "A 43388-2022")</f>
        <v/>
      </c>
      <c r="X77">
        <f>HYPERLINK("https://klasma.github.io/Logging_0486/kartor/A 43388-2022 karta.png", "A 43388-2022")</f>
        <v/>
      </c>
      <c r="Y77">
        <f>HYPERLINK("https://klasma.github.io/Logging_0486/kartor_geotiff/A 43388-2022 georefererad karta.tif", "A 43388-2022")</f>
        <v/>
      </c>
      <c r="AA77">
        <f>HYPERLINK("https://klasma.github.io/Logging_0486/klagomål/A 43388-2022 FSC-klagomål.docx", "A 43388-2022")</f>
        <v/>
      </c>
      <c r="AB77">
        <f>HYPERLINK("https://klasma.github.io/Logging_0486/klagomålsmail/A 43388-2022 FSC-klagomål mail.docx", "A 43388-2022")</f>
        <v/>
      </c>
      <c r="AC77">
        <f>HYPERLINK("https://klasma.github.io/Logging_0486/tillsyn/A 43388-2022 tillsynsbegäran.docx", "A 43388-2022")</f>
        <v/>
      </c>
      <c r="AD77">
        <f>HYPERLINK("https://klasma.github.io/Logging_0486/tillsynsmail/A 43388-2022 tillsynsbegäran mail.docx", "A 43388-2022")</f>
        <v/>
      </c>
    </row>
    <row r="78" ht="15" customHeight="1">
      <c r="A78" t="inlineStr">
        <is>
          <t>A 12671-2022</t>
        </is>
      </c>
      <c r="B78" t="inlineStr">
        <is>
          <t>avverkningsanmälan</t>
        </is>
      </c>
      <c r="C78" t="inlineStr">
        <is>
          <t>Föryngringsavverkning</t>
        </is>
      </c>
      <c r="D78" s="1" t="n">
        <v>44641</v>
      </c>
      <c r="E78" s="1" t="n">
        <v>46313</v>
      </c>
      <c r="F78" t="inlineStr">
        <is>
          <t>SÖDERMANLANDS LÄN</t>
        </is>
      </c>
      <c r="G78" t="inlineStr">
        <is>
          <t>STRÄNGNÄS</t>
        </is>
      </c>
      <c r="I78" t="n">
        <v>6</v>
      </c>
      <c r="J78" t="n">
        <v>6</v>
      </c>
      <c r="K78" t="n">
        <v>0</v>
      </c>
      <c r="L78" t="n">
        <v>2</v>
      </c>
      <c r="M78" t="n">
        <v>1</v>
      </c>
      <c r="N78" t="n">
        <v>0</v>
      </c>
      <c r="O78" t="n">
        <v>0</v>
      </c>
      <c r="P78" t="n">
        <v>0</v>
      </c>
      <c r="Q78" t="n">
        <v>3</v>
      </c>
      <c r="R78" t="n">
        <v>1</v>
      </c>
      <c r="S78" t="n">
        <v>6</v>
      </c>
      <c r="T78" t="n">
        <v>6</v>
      </c>
      <c r="U78" t="n">
        <v>4</v>
      </c>
      <c r="V78" s="2" t="inlineStr">
        <is>
          <t>Gråtrut
Göktyta
Talltita
Grönsiska
Kungsfågel
Svartvit flugsnappare</t>
        </is>
      </c>
      <c r="W78">
        <f>HYPERLINK("https://klasma.github.io/Logging_0486/artfynd/A 12671-2022 artfynd.xlsx", "A 12671-2022")</f>
        <v/>
      </c>
      <c r="X78">
        <f>HYPERLINK("https://klasma.github.io/Logging_0486/kartor/A 12671-2022 karta.png", "A 12671-2022")</f>
        <v/>
      </c>
      <c r="Y78">
        <f>HYPERLINK("https://klasma.github.io/Logging_0486/kartor_geotiff/A 12671-2022 georefererad karta.tif", "A 12671-2022")</f>
        <v/>
      </c>
      <c r="AA78">
        <f>HYPERLINK("https://klasma.github.io/Logging_0486/klagomål/A 12671-2022 FSC-klagomål.docx", "A 12671-2022")</f>
        <v/>
      </c>
      <c r="AB78">
        <f>HYPERLINK("https://klasma.github.io/Logging_0486/klagomålsmail/A 12671-2022 FSC-klagomål mail.docx", "A 12671-2022")</f>
        <v/>
      </c>
      <c r="AC78">
        <f>HYPERLINK("https://klasma.github.io/Logging_0486/tillsyn/A 12671-2022 tillsynsbegäran.docx", "A 12671-2022")</f>
        <v/>
      </c>
      <c r="AD78">
        <f>HYPERLINK("https://klasma.github.io/Logging_0486/tillsynsmail/A 12671-2022 tillsynsbegäran mail.docx", "A 12671-2022")</f>
        <v/>
      </c>
      <c r="AE78">
        <f>HYPERLINK("https://klasma.github.io/Logging_0486/fåglar/A 12671-2022 prioriterade fågelarter.docx", "A 12671-2022")</f>
        <v/>
      </c>
    </row>
    <row r="79" ht="15" customHeight="1">
      <c r="A79" t="inlineStr">
        <is>
          <t>A 20124-2022</t>
        </is>
      </c>
      <c r="B79" t="inlineStr">
        <is>
          <t>avverkningsanmälan</t>
        </is>
      </c>
      <c r="C79" t="inlineStr">
        <is>
          <t>Föryngringsavverkning</t>
        </is>
      </c>
      <c r="D79" s="1" t="n">
        <v>44698</v>
      </c>
      <c r="E79" s="1" t="n">
        <v>46313</v>
      </c>
      <c r="F79" t="inlineStr">
        <is>
          <t>SÖDERMANLANDS LÄN</t>
        </is>
      </c>
      <c r="G79" t="inlineStr">
        <is>
          <t>GNESTA</t>
        </is>
      </c>
      <c r="I79" t="n">
        <v>6.2</v>
      </c>
      <c r="J79" t="n">
        <v>1</v>
      </c>
      <c r="K79" t="n">
        <v>0</v>
      </c>
      <c r="L79" t="n">
        <v>5</v>
      </c>
      <c r="M79" t="n">
        <v>0</v>
      </c>
      <c r="N79" t="n">
        <v>0</v>
      </c>
      <c r="O79" t="n">
        <v>0</v>
      </c>
      <c r="P79" t="n">
        <v>0</v>
      </c>
      <c r="Q79" t="n">
        <v>5</v>
      </c>
      <c r="R79" t="n">
        <v>0</v>
      </c>
      <c r="S79" t="n">
        <v>6</v>
      </c>
      <c r="T79" t="n">
        <v>8</v>
      </c>
      <c r="U79" t="n">
        <v>5</v>
      </c>
      <c r="V79" s="2" t="inlineStr">
        <is>
          <t>Dropptaggsvamp
Motaggsvamp
Orange taggsvamp
Skogshare
Tallticka
Orre</t>
        </is>
      </c>
      <c r="W79">
        <f>HYPERLINK("https://klasma.github.io/Logging_0461/artfynd/A 20124-2022 artfynd.xlsx", "A 20124-2022")</f>
        <v/>
      </c>
      <c r="X79">
        <f>HYPERLINK("https://klasma.github.io/Logging_0461/kartor/A 20124-2022 karta.png", "A 20124-2022")</f>
        <v/>
      </c>
      <c r="Y79">
        <f>HYPERLINK("https://klasma.github.io/Logging_0461/kartor_geotiff/A 20124-2022 georefererad karta.tif", "A 20124-2022")</f>
        <v/>
      </c>
      <c r="AA79">
        <f>HYPERLINK("https://klasma.github.io/Logging_0461/klagomål/A 20124-2022 FSC-klagomål.docx", "A 20124-2022")</f>
        <v/>
      </c>
      <c r="AB79">
        <f>HYPERLINK("https://klasma.github.io/Logging_0461/klagomålsmail/A 20124-2022 FSC-klagomål mail.docx", "A 20124-2022")</f>
        <v/>
      </c>
      <c r="AC79">
        <f>HYPERLINK("https://klasma.github.io/Logging_0461/tillsyn/A 20124-2022 tillsynsbegäran.docx", "A 20124-2022")</f>
        <v/>
      </c>
      <c r="AD79">
        <f>HYPERLINK("https://klasma.github.io/Logging_0461/tillsynsmail/A 20124-2022 tillsynsbegäran mail.docx", "A 20124-2022")</f>
        <v/>
      </c>
      <c r="AE79">
        <f>HYPERLINK("https://klasma.github.io/Logging_0461/fåglar/A 20124-2022 prioriterade fågelarter.docx", "A 20124-2022")</f>
        <v/>
      </c>
    </row>
    <row r="80" ht="15" customHeight="1">
      <c r="A80" t="inlineStr">
        <is>
          <t>A 8998-2025</t>
        </is>
      </c>
      <c r="B80" t="inlineStr">
        <is>
          <t>avverkningsanmälan</t>
        </is>
      </c>
      <c r="C80" t="inlineStr">
        <is>
          <t>Föryngringsavverkning</t>
        </is>
      </c>
      <c r="D80" s="1" t="n">
        <v>45713</v>
      </c>
      <c r="E80" s="1" t="n">
        <v>46313</v>
      </c>
      <c r="F80" t="inlineStr">
        <is>
          <t>SÖDERMANLANDS LÄN</t>
        </is>
      </c>
      <c r="G80" t="inlineStr">
        <is>
          <t>STRÄNGNÄS</t>
        </is>
      </c>
      <c r="I80" t="n">
        <v>4.2</v>
      </c>
      <c r="J80" t="n">
        <v>3</v>
      </c>
      <c r="K80" t="n">
        <v>2</v>
      </c>
      <c r="L80" t="n">
        <v>1</v>
      </c>
      <c r="M80" t="n">
        <v>0</v>
      </c>
      <c r="N80" t="n">
        <v>1</v>
      </c>
      <c r="O80" t="n">
        <v>0</v>
      </c>
      <c r="P80" t="n">
        <v>0</v>
      </c>
      <c r="Q80" t="n">
        <v>2</v>
      </c>
      <c r="R80" t="n">
        <v>1</v>
      </c>
      <c r="S80" t="n">
        <v>6</v>
      </c>
      <c r="T80" t="n">
        <v>6</v>
      </c>
      <c r="U80" t="n">
        <v>1</v>
      </c>
      <c r="V80" s="2" t="inlineStr">
        <is>
          <t>Ask
Sårläka
Hasselticka
Nästrot
Blåsippa
Gullviva</t>
        </is>
      </c>
      <c r="W80">
        <f>HYPERLINK("https://klasma.github.io/Logging_0486/artfynd/A 8998-2025 artfynd.xlsx", "A 8998-2025")</f>
        <v/>
      </c>
      <c r="X80">
        <f>HYPERLINK("https://klasma.github.io/Logging_0486/kartor/A 8998-2025 karta.png", "A 8998-2025")</f>
        <v/>
      </c>
      <c r="Y80">
        <f>HYPERLINK("https://klasma.github.io/Logging_0486/kartor_geotiff/A 8998-2025 georefererad karta.tif", "A 8998-2025")</f>
        <v/>
      </c>
      <c r="AA80">
        <f>HYPERLINK("https://klasma.github.io/Logging_0486/klagomål/A 8998-2025 FSC-klagomål.docx", "A 8998-2025")</f>
        <v/>
      </c>
      <c r="AB80">
        <f>HYPERLINK("https://klasma.github.io/Logging_0486/klagomålsmail/A 8998-2025 FSC-klagomål mail.docx", "A 8998-2025")</f>
        <v/>
      </c>
      <c r="AC80">
        <f>HYPERLINK("https://klasma.github.io/Logging_0486/tillsyn/A 8998-2025 tillsynsbegäran.docx", "A 8998-2025")</f>
        <v/>
      </c>
      <c r="AD80">
        <f>HYPERLINK("https://klasma.github.io/Logging_0486/tillsynsmail/A 8998-2025 tillsynsbegäran mail.docx", "A 8998-2025")</f>
        <v/>
      </c>
    </row>
    <row r="81" ht="15" customHeight="1">
      <c r="A81" t="inlineStr">
        <is>
          <t>A 56099-2024</t>
        </is>
      </c>
      <c r="B81" t="inlineStr">
        <is>
          <t>avverkningsanmälan</t>
        </is>
      </c>
      <c r="C81" t="inlineStr">
        <is>
          <t>Föryngringsavverkning</t>
        </is>
      </c>
      <c r="D81" s="1" t="n">
        <v>45624</v>
      </c>
      <c r="E81" s="1" t="n">
        <v>46313</v>
      </c>
      <c r="F81" t="inlineStr">
        <is>
          <t>SÖDERMANLANDS LÄN</t>
        </is>
      </c>
      <c r="G81" t="inlineStr">
        <is>
          <t>NYKÖPING</t>
        </is>
      </c>
      <c r="I81" t="n">
        <v>4.7</v>
      </c>
      <c r="J81" t="n">
        <v>0</v>
      </c>
      <c r="K81" t="n">
        <v>6</v>
      </c>
      <c r="L81" t="n">
        <v>0</v>
      </c>
      <c r="M81" t="n">
        <v>0</v>
      </c>
      <c r="N81" t="n">
        <v>0</v>
      </c>
      <c r="O81" t="n">
        <v>0</v>
      </c>
      <c r="P81" t="n">
        <v>0</v>
      </c>
      <c r="Q81" t="n">
        <v>0</v>
      </c>
      <c r="R81" t="n">
        <v>0</v>
      </c>
      <c r="S81" t="n">
        <v>6</v>
      </c>
      <c r="T81" t="n">
        <v>6</v>
      </c>
      <c r="U81" t="n">
        <v>6</v>
      </c>
      <c r="V81" s="2" t="inlineStr">
        <is>
          <t>Granbarkgnagare
Grovticka
Jättesvampmal
Stekelbock
Stor aspticka
Stubbspretmossa</t>
        </is>
      </c>
      <c r="W81">
        <f>HYPERLINK("https://klasma.github.io/Logging_0480/artfynd/A 56099-2024 artfynd.xlsx", "A 56099-2024")</f>
        <v/>
      </c>
      <c r="X81">
        <f>HYPERLINK("https://klasma.github.io/Logging_0480/kartor/A 56099-2024 karta.png", "A 56099-2024")</f>
        <v/>
      </c>
      <c r="Y81">
        <f>HYPERLINK("https://klasma.github.io/Logging_0480/kartor_geotiff/A 56099-2024 georefererad karta.tif", "A 56099-2024")</f>
        <v/>
      </c>
      <c r="AA81">
        <f>HYPERLINK("https://klasma.github.io/Logging_0480/klagomål/A 56099-2024 FSC-klagomål.docx", "A 56099-2024")</f>
        <v/>
      </c>
      <c r="AB81">
        <f>HYPERLINK("https://klasma.github.io/Logging_0480/klagomålsmail/A 56099-2024 FSC-klagomål mail.docx", "A 56099-2024")</f>
        <v/>
      </c>
      <c r="AC81">
        <f>HYPERLINK("https://klasma.github.io/Logging_0480/tillsyn/A 56099-2024 tillsynsbegäran.docx", "A 56099-2024")</f>
        <v/>
      </c>
      <c r="AD81">
        <f>HYPERLINK("https://klasma.github.io/Logging_0480/tillsynsmail/A 56099-2024 tillsynsbegäran mail.docx", "A 56099-2024")</f>
        <v/>
      </c>
    </row>
    <row r="82" ht="15" customHeight="1">
      <c r="A82" t="inlineStr">
        <is>
          <t>A 2661-2026</t>
        </is>
      </c>
      <c r="B82" t="inlineStr">
        <is>
          <t>avverkningsanmälan</t>
        </is>
      </c>
      <c r="C82" t="inlineStr">
        <is>
          <t>Föryngringsavverkning</t>
        </is>
      </c>
      <c r="D82" s="1" t="n">
        <v>46037</v>
      </c>
      <c r="E82" s="1" t="n">
        <v>46313</v>
      </c>
      <c r="F82" t="inlineStr">
        <is>
          <t>SÖDERMANLANDS LÄN</t>
        </is>
      </c>
      <c r="G82" t="inlineStr">
        <is>
          <t>FLEN</t>
        </is>
      </c>
      <c r="I82" t="n">
        <v>1.1</v>
      </c>
      <c r="J82" t="n">
        <v>2</v>
      </c>
      <c r="K82" t="n">
        <v>0</v>
      </c>
      <c r="L82" t="n">
        <v>0</v>
      </c>
      <c r="M82" t="n">
        <v>0</v>
      </c>
      <c r="N82" t="n">
        <v>0</v>
      </c>
      <c r="O82" t="n">
        <v>0</v>
      </c>
      <c r="P82" t="n">
        <v>0</v>
      </c>
      <c r="Q82" t="n">
        <v>0</v>
      </c>
      <c r="R82" t="n">
        <v>0</v>
      </c>
      <c r="S82" t="n">
        <v>6</v>
      </c>
      <c r="T82" t="n">
        <v>6</v>
      </c>
      <c r="U82" t="n">
        <v>6</v>
      </c>
      <c r="V82" s="2" t="inlineStr">
        <is>
          <t>Blåsippa
Ekbräken
Hultbräken
Liljekonvalj
Majbräken
Grönvit nattviol</t>
        </is>
      </c>
      <c r="W82">
        <f>HYPERLINK("https://klasma.github.io/Logging_0482/artfynd/A 2661-2026 artfynd.xlsx", "A 2661-2026")</f>
        <v/>
      </c>
      <c r="X82">
        <f>HYPERLINK("https://klasma.github.io/Logging_0482/kartor/A 2661-2026 karta.png", "A 2661-2026")</f>
        <v/>
      </c>
      <c r="Y82">
        <f>HYPERLINK("https://klasma.github.io/Logging_0482/kartor_geotiff/A 2661-2026 georefererad karta.tif", "A 2661-2026")</f>
        <v/>
      </c>
      <c r="AA82">
        <f>HYPERLINK("https://klasma.github.io/Logging_0482/klagomål/A 2661-2026 FSC-klagomål.docx", "A 2661-2026")</f>
        <v/>
      </c>
      <c r="AB82">
        <f>HYPERLINK("https://klasma.github.io/Logging_0482/klagomålsmail/A 2661-2026 FSC-klagomål mail.docx", "A 2661-2026")</f>
        <v/>
      </c>
      <c r="AC82">
        <f>HYPERLINK("https://klasma.github.io/Logging_0482/tillsyn/A 2661-2026 tillsynsbegäran.docx", "A 2661-2026")</f>
        <v/>
      </c>
      <c r="AD82">
        <f>HYPERLINK("https://klasma.github.io/Logging_0482/tillsynsmail/A 2661-2026 tillsynsbegäran mail.docx", "A 2661-2026")</f>
        <v/>
      </c>
    </row>
    <row r="83" ht="15" customHeight="1">
      <c r="A83" t="inlineStr">
        <is>
          <t>A 33699-2022</t>
        </is>
      </c>
      <c r="B83" t="inlineStr">
        <is>
          <t>avverkningsanmälan</t>
        </is>
      </c>
      <c r="C83" t="inlineStr">
        <is>
          <t>Föryngringsavverkning</t>
        </is>
      </c>
      <c r="D83" s="1" t="n">
        <v>44789</v>
      </c>
      <c r="E83" s="1" t="n">
        <v>46313</v>
      </c>
      <c r="F83" t="inlineStr">
        <is>
          <t>SÖDERMANLANDS LÄN</t>
        </is>
      </c>
      <c r="G83" t="inlineStr">
        <is>
          <t>ESKILSTUNA</t>
        </is>
      </c>
      <c r="I83" t="n">
        <v>6.5</v>
      </c>
      <c r="J83" t="n">
        <v>4</v>
      </c>
      <c r="K83" t="n">
        <v>1</v>
      </c>
      <c r="L83" t="n">
        <v>1</v>
      </c>
      <c r="M83" t="n">
        <v>1</v>
      </c>
      <c r="N83" t="n">
        <v>0</v>
      </c>
      <c r="O83" t="n">
        <v>0</v>
      </c>
      <c r="P83" t="n">
        <v>0</v>
      </c>
      <c r="Q83" t="n">
        <v>2</v>
      </c>
      <c r="R83" t="n">
        <v>1</v>
      </c>
      <c r="S83" t="n">
        <v>6</v>
      </c>
      <c r="T83" t="n">
        <v>9</v>
      </c>
      <c r="U83" t="n">
        <v>5</v>
      </c>
      <c r="V83" s="2" t="inlineStr">
        <is>
          <t>Knärot
Motaggsvamp
Mindre märgborre
Blåsippa
Mattlummer
Tjäder</t>
        </is>
      </c>
      <c r="W83">
        <f>HYPERLINK("https://klasma.github.io/Logging_0484/artfynd/A 33699-2022 artfynd.xlsx", "A 33699-2022")</f>
        <v/>
      </c>
      <c r="X83">
        <f>HYPERLINK("https://klasma.github.io/Logging_0484/kartor/A 33699-2022 karta.png", "A 33699-2022")</f>
        <v/>
      </c>
      <c r="Y83">
        <f>HYPERLINK("https://klasma.github.io/Logging_0484/kartor_geotiff/A 33699-2022 georefererad karta.tif", "A 33699-2022")</f>
        <v/>
      </c>
      <c r="Z83">
        <f>HYPERLINK("https://klasma.github.io/Logging_0484/knärot/A 33699-2022 karta knärot.png", "A 33699-2022")</f>
        <v/>
      </c>
      <c r="AA83">
        <f>HYPERLINK("https://klasma.github.io/Logging_0484/klagomål/A 33699-2022 FSC-klagomål.docx", "A 33699-2022")</f>
        <v/>
      </c>
      <c r="AB83">
        <f>HYPERLINK("https://klasma.github.io/Logging_0484/klagomålsmail/A 33699-2022 FSC-klagomål mail.docx", "A 33699-2022")</f>
        <v/>
      </c>
      <c r="AC83">
        <f>HYPERLINK("https://klasma.github.io/Logging_0484/tillsyn/A 33699-2022 tillsynsbegäran.docx", "A 33699-2022")</f>
        <v/>
      </c>
      <c r="AD83">
        <f>HYPERLINK("https://klasma.github.io/Logging_0484/tillsynsmail/A 33699-2022 tillsynsbegäran mail.docx", "A 33699-2022")</f>
        <v/>
      </c>
      <c r="AE83">
        <f>HYPERLINK("https://klasma.github.io/Logging_0484/fåglar/A 33699-2022 prioriterade fågelarter.docx", "A 33699-2022")</f>
        <v/>
      </c>
    </row>
    <row r="84" ht="15" customHeight="1">
      <c r="A84" t="inlineStr">
        <is>
          <t>A 11065-2026</t>
        </is>
      </c>
      <c r="B84" t="inlineStr">
        <is>
          <t>avverkningsanmälan</t>
        </is>
      </c>
      <c r="C84" t="inlineStr">
        <is>
          <t>Föryngringsavverkning</t>
        </is>
      </c>
      <c r="D84" s="1" t="n">
        <v>46079</v>
      </c>
      <c r="E84" s="1" t="n">
        <v>46313</v>
      </c>
      <c r="F84" t="inlineStr">
        <is>
          <t>SÖDERMANLANDS LÄN</t>
        </is>
      </c>
      <c r="G84" t="inlineStr">
        <is>
          <t>FLEN</t>
        </is>
      </c>
      <c r="H84" t="inlineStr">
        <is>
          <t>Holmen skog AB</t>
        </is>
      </c>
      <c r="I84" t="n">
        <v>4.6</v>
      </c>
      <c r="J84" t="n">
        <v>2</v>
      </c>
      <c r="K84" t="n">
        <v>0</v>
      </c>
      <c r="L84" t="n">
        <v>3</v>
      </c>
      <c r="M84" t="n">
        <v>0</v>
      </c>
      <c r="N84" t="n">
        <v>0</v>
      </c>
      <c r="O84" t="n">
        <v>0</v>
      </c>
      <c r="P84" t="n">
        <v>0</v>
      </c>
      <c r="Q84" t="n">
        <v>3</v>
      </c>
      <c r="R84" t="n">
        <v>0</v>
      </c>
      <c r="S84" t="n">
        <v>6</v>
      </c>
      <c r="T84" t="n">
        <v>7</v>
      </c>
      <c r="U84" t="n">
        <v>1</v>
      </c>
      <c r="V84" s="2" t="inlineStr">
        <is>
          <t>Gullklöver
Jungfrulin
Svinrot
Asphättemossa
Blåsippa
Gullviva</t>
        </is>
      </c>
      <c r="W84">
        <f>HYPERLINK("https://klasma.github.io/Logging_0482/artfynd/A 11065-2026 artfynd.xlsx", "A 11065-2026")</f>
        <v/>
      </c>
      <c r="X84">
        <f>HYPERLINK("https://klasma.github.io/Logging_0482/kartor/A 11065-2026 karta.png", "A 11065-2026")</f>
        <v/>
      </c>
      <c r="Y84">
        <f>HYPERLINK("https://klasma.github.io/Logging_0482/kartor_geotiff/A 11065-2026 georefererad karta.tif", "A 11065-2026")</f>
        <v/>
      </c>
      <c r="AA84">
        <f>HYPERLINK("https://klasma.github.io/Logging_0482/klagomål/A 11065-2026 FSC-klagomål.docx", "A 11065-2026")</f>
        <v/>
      </c>
      <c r="AB84">
        <f>HYPERLINK("https://klasma.github.io/Logging_0482/klagomålsmail/A 11065-2026 FSC-klagomål mail.docx", "A 11065-2026")</f>
        <v/>
      </c>
      <c r="AC84">
        <f>HYPERLINK("https://klasma.github.io/Logging_0482/tillsyn/A 11065-2026 tillsynsbegäran.docx", "A 11065-2026")</f>
        <v/>
      </c>
      <c r="AD84">
        <f>HYPERLINK("https://klasma.github.io/Logging_0482/tillsynsmail/A 11065-2026 tillsynsbegäran mail.docx", "A 11065-2026")</f>
        <v/>
      </c>
    </row>
    <row r="85" ht="15" customHeight="1">
      <c r="A85" t="inlineStr">
        <is>
          <t>A 36547-2025</t>
        </is>
      </c>
      <c r="B85" t="inlineStr">
        <is>
          <t>avverkningsanmälan</t>
        </is>
      </c>
      <c r="C85" t="inlineStr">
        <is>
          <t>Föryngringsavverkning</t>
        </is>
      </c>
      <c r="D85" s="1" t="n">
        <v>45869</v>
      </c>
      <c r="E85" s="1" t="n">
        <v>46313</v>
      </c>
      <c r="F85" t="inlineStr">
        <is>
          <t>SÖDERMANLANDS LÄN</t>
        </is>
      </c>
      <c r="G85" t="inlineStr">
        <is>
          <t>NYKÖPING</t>
        </is>
      </c>
      <c r="H85" t="inlineStr">
        <is>
          <t>Holmen skog AB</t>
        </is>
      </c>
      <c r="I85" t="n">
        <v>19.9</v>
      </c>
      <c r="J85" t="n">
        <v>2</v>
      </c>
      <c r="K85" t="n">
        <v>3</v>
      </c>
      <c r="L85" t="n">
        <v>1</v>
      </c>
      <c r="M85" t="n">
        <v>0</v>
      </c>
      <c r="N85" t="n">
        <v>0</v>
      </c>
      <c r="O85" t="n">
        <v>0</v>
      </c>
      <c r="P85" t="n">
        <v>0</v>
      </c>
      <c r="Q85" t="n">
        <v>1</v>
      </c>
      <c r="R85" t="n">
        <v>0</v>
      </c>
      <c r="S85" t="n">
        <v>6</v>
      </c>
      <c r="T85" t="n">
        <v>11</v>
      </c>
      <c r="U85" t="n">
        <v>11</v>
      </c>
      <c r="V85" s="2" t="inlineStr">
        <is>
          <t>Tallticka
Björksplintborre
Blåmossa
Granbarkgnagare
Spillkråka
Tjäder</t>
        </is>
      </c>
      <c r="W85">
        <f>HYPERLINK("https://klasma.github.io/Logging_0480/artfynd/A 36547-2025 artfynd.xlsx", "A 36547-2025")</f>
        <v/>
      </c>
      <c r="X85">
        <f>HYPERLINK("https://klasma.github.io/Logging_0480/kartor/A 36547-2025 karta.png", "A 36547-2025")</f>
        <v/>
      </c>
      <c r="Y85">
        <f>HYPERLINK("https://klasma.github.io/Logging_0480/kartor_geotiff/A 36547-2025 georefererad karta.tif", "A 36547-2025")</f>
        <v/>
      </c>
      <c r="AA85">
        <f>HYPERLINK("https://klasma.github.io/Logging_0480/klagomål/A 36547-2025 FSC-klagomål.docx", "A 36547-2025")</f>
        <v/>
      </c>
      <c r="AB85">
        <f>HYPERLINK("https://klasma.github.io/Logging_0480/klagomålsmail/A 36547-2025 FSC-klagomål mail.docx", "A 36547-2025")</f>
        <v/>
      </c>
      <c r="AC85">
        <f>HYPERLINK("https://klasma.github.io/Logging_0480/tillsyn/A 36547-2025 tillsynsbegäran.docx", "A 36547-2025")</f>
        <v/>
      </c>
      <c r="AD85">
        <f>HYPERLINK("https://klasma.github.io/Logging_0480/tillsynsmail/A 36547-2025 tillsynsbegäran mail.docx", "A 36547-2025")</f>
        <v/>
      </c>
      <c r="AE85">
        <f>HYPERLINK("https://klasma.github.io/Logging_0480/fåglar/A 36547-2025 prioriterade fågelarter.docx", "A 36547-2025")</f>
        <v/>
      </c>
    </row>
    <row r="86" ht="15" customHeight="1">
      <c r="A86" t="inlineStr">
        <is>
          <t>A 16095-2026</t>
        </is>
      </c>
      <c r="B86" t="inlineStr">
        <is>
          <t>avverkningsanmälan</t>
        </is>
      </c>
      <c r="C86" t="inlineStr">
        <is>
          <t>Föryngringsavverkning</t>
        </is>
      </c>
      <c r="D86" s="1" t="n">
        <v>46108</v>
      </c>
      <c r="E86" s="1" t="n">
        <v>46313</v>
      </c>
      <c r="F86" t="inlineStr">
        <is>
          <t>SÖDERMANLANDS LÄN</t>
        </is>
      </c>
      <c r="G86" t="inlineStr">
        <is>
          <t>FLEN</t>
        </is>
      </c>
      <c r="H86" t="inlineStr">
        <is>
          <t>Holmen skog AB</t>
        </is>
      </c>
      <c r="I86" t="n">
        <v>9</v>
      </c>
      <c r="J86" t="n">
        <v>1</v>
      </c>
      <c r="K86" t="n">
        <v>0</v>
      </c>
      <c r="L86" t="n">
        <v>2</v>
      </c>
      <c r="M86" t="n">
        <v>0</v>
      </c>
      <c r="N86" t="n">
        <v>0</v>
      </c>
      <c r="O86" t="n">
        <v>0</v>
      </c>
      <c r="P86" t="n">
        <v>0</v>
      </c>
      <c r="Q86" t="n">
        <v>2</v>
      </c>
      <c r="R86" t="n">
        <v>0</v>
      </c>
      <c r="S86" t="n">
        <v>6</v>
      </c>
      <c r="T86" t="n">
        <v>6</v>
      </c>
      <c r="U86" t="n">
        <v>5</v>
      </c>
      <c r="V86" s="2" t="inlineStr">
        <is>
          <t>Bivråk
Brunag
Blåbär
Kärrviol
Missne
Stjärnstarr</t>
        </is>
      </c>
      <c r="W86">
        <f>HYPERLINK("https://klasma.github.io/Logging_0482/artfynd/A 16095-2026 artfynd.xlsx", "A 16095-2026")</f>
        <v/>
      </c>
      <c r="X86">
        <f>HYPERLINK("https://klasma.github.io/Logging_0482/kartor/A 16095-2026 karta.png", "A 16095-2026")</f>
        <v/>
      </c>
      <c r="Y86">
        <f>HYPERLINK("https://klasma.github.io/Logging_0482/kartor_geotiff/A 16095-2026 georefererad karta.tif", "A 16095-2026")</f>
        <v/>
      </c>
      <c r="AA86">
        <f>HYPERLINK("https://klasma.github.io/Logging_0482/klagomål/A 16095-2026 FSC-klagomål.docx", "A 16095-2026")</f>
        <v/>
      </c>
      <c r="AB86">
        <f>HYPERLINK("https://klasma.github.io/Logging_0482/klagomålsmail/A 16095-2026 FSC-klagomål mail.docx", "A 16095-2026")</f>
        <v/>
      </c>
      <c r="AC86">
        <f>HYPERLINK("https://klasma.github.io/Logging_0482/tillsyn/A 16095-2026 tillsynsbegäran.docx", "A 16095-2026")</f>
        <v/>
      </c>
      <c r="AD86">
        <f>HYPERLINK("https://klasma.github.io/Logging_0482/tillsynsmail/A 16095-2026 tillsynsbegäran mail.docx", "A 16095-2026")</f>
        <v/>
      </c>
      <c r="AE86">
        <f>HYPERLINK("https://klasma.github.io/Logging_0482/fåglar/A 16095-2026 prioriterade fågelarter.docx", "A 16095-2026")</f>
        <v/>
      </c>
    </row>
    <row r="87" ht="15" customHeight="1">
      <c r="A87" t="inlineStr">
        <is>
          <t>A 29797-2024</t>
        </is>
      </c>
      <c r="B87" t="inlineStr">
        <is>
          <t>avverkningsanmälan</t>
        </is>
      </c>
      <c r="C87" t="inlineStr">
        <is>
          <t>Avverkning för annat ändamål</t>
        </is>
      </c>
      <c r="D87" s="1" t="n">
        <v>45485</v>
      </c>
      <c r="E87" s="1" t="n">
        <v>46313</v>
      </c>
      <c r="F87" t="inlineStr">
        <is>
          <t>SÖDERMANLANDS LÄN</t>
        </is>
      </c>
      <c r="G87" t="inlineStr">
        <is>
          <t>NYKÖPING</t>
        </is>
      </c>
      <c r="I87" t="n">
        <v>22.2</v>
      </c>
      <c r="J87" t="n">
        <v>5</v>
      </c>
      <c r="K87" t="n">
        <v>0</v>
      </c>
      <c r="L87" t="n">
        <v>1</v>
      </c>
      <c r="M87" t="n">
        <v>0</v>
      </c>
      <c r="N87" t="n">
        <v>0</v>
      </c>
      <c r="O87" t="n">
        <v>0</v>
      </c>
      <c r="P87" t="n">
        <v>0</v>
      </c>
      <c r="Q87" t="n">
        <v>1</v>
      </c>
      <c r="R87" t="n">
        <v>0</v>
      </c>
      <c r="S87" t="n">
        <v>6</v>
      </c>
      <c r="T87" t="n">
        <v>7</v>
      </c>
      <c r="U87" t="n">
        <v>2</v>
      </c>
      <c r="V87" s="2" t="inlineStr">
        <is>
          <t>Jungfrulin
Spillkråka
Citronfläckad kärrtrollslända
Större vattensalamander
Trana
Revlummer</t>
        </is>
      </c>
      <c r="W87">
        <f>HYPERLINK("https://klasma.github.io/Logging_0480/artfynd/A 29797-2024 artfynd.xlsx", "A 29797-2024")</f>
        <v/>
      </c>
      <c r="X87">
        <f>HYPERLINK("https://klasma.github.io/Logging_0480/kartor/A 29797-2024 karta.png", "A 29797-2024")</f>
        <v/>
      </c>
      <c r="Y87">
        <f>HYPERLINK("https://klasma.github.io/Logging_0480/kartor_geotiff/A 29797-2024 georefererad karta.tif", "A 29797-2024")</f>
        <v/>
      </c>
      <c r="AA87">
        <f>HYPERLINK("https://klasma.github.io/Logging_0480/klagomål/A 29797-2024 FSC-klagomål.docx", "A 29797-2024")</f>
        <v/>
      </c>
      <c r="AB87">
        <f>HYPERLINK("https://klasma.github.io/Logging_0480/klagomålsmail/A 29797-2024 FSC-klagomål mail.docx", "A 29797-2024")</f>
        <v/>
      </c>
      <c r="AC87">
        <f>HYPERLINK("https://klasma.github.io/Logging_0480/tillsyn/A 29797-2024 tillsynsbegäran.docx", "A 29797-2024")</f>
        <v/>
      </c>
      <c r="AD87">
        <f>HYPERLINK("https://klasma.github.io/Logging_0480/tillsynsmail/A 29797-2024 tillsynsbegäran mail.docx", "A 29797-2024")</f>
        <v/>
      </c>
      <c r="AE87">
        <f>HYPERLINK("https://klasma.github.io/Logging_0480/fåglar/A 29797-2024 prioriterade fågelarter.docx", "A 29797-2024")</f>
        <v/>
      </c>
    </row>
    <row r="88" ht="15" customHeight="1">
      <c r="A88" t="inlineStr">
        <is>
          <t>A 32882-2026</t>
        </is>
      </c>
      <c r="B88" t="inlineStr">
        <is>
          <t>avverkningsanmälan</t>
        </is>
      </c>
      <c r="C88" t="inlineStr">
        <is>
          <t>Föryngringsavverkning</t>
        </is>
      </c>
      <c r="D88" s="1" t="n">
        <v>46244</v>
      </c>
      <c r="E88" s="1" t="n">
        <v>46313</v>
      </c>
      <c r="F88" t="inlineStr">
        <is>
          <t>SÖDERMANLANDS LÄN</t>
        </is>
      </c>
      <c r="G88" t="inlineStr">
        <is>
          <t>NYKÖPING</t>
        </is>
      </c>
      <c r="H88" t="inlineStr">
        <is>
          <t>Holmen skog AB</t>
        </is>
      </c>
      <c r="I88" t="n">
        <v>7.9</v>
      </c>
      <c r="J88" t="n">
        <v>0</v>
      </c>
      <c r="K88" t="n">
        <v>1</v>
      </c>
      <c r="L88" t="n">
        <v>4</v>
      </c>
      <c r="M88" t="n">
        <v>1</v>
      </c>
      <c r="N88" t="n">
        <v>0</v>
      </c>
      <c r="O88" t="n">
        <v>0</v>
      </c>
      <c r="P88" t="n">
        <v>0</v>
      </c>
      <c r="Q88" t="n">
        <v>5</v>
      </c>
      <c r="R88" t="n">
        <v>1</v>
      </c>
      <c r="S88" t="n">
        <v>6</v>
      </c>
      <c r="T88" t="n">
        <v>8</v>
      </c>
      <c r="U88" t="n">
        <v>0</v>
      </c>
      <c r="V88" s="2" t="inlineStr">
        <is>
          <t>Brunfläckig pärlemorfjäril
Berggräsfjäril
Dvärgbägarlav
Motaggsvamp
Vedskivlav
Blåmossa</t>
        </is>
      </c>
      <c r="W88">
        <f>HYPERLINK("https://klasma.github.io/Logging_0480/artfynd/A 32882-2026 artfynd.xlsx", "A 32882-2026")</f>
        <v/>
      </c>
      <c r="X88">
        <f>HYPERLINK("https://klasma.github.io/Logging_0480/kartor/A 32882-2026 karta.png", "A 32882-2026")</f>
        <v/>
      </c>
      <c r="Y88">
        <f>HYPERLINK("https://klasma.github.io/Logging_0480/kartor_geotiff/A 32882-2026 georefererad karta.tif", "A 32882-2026")</f>
        <v/>
      </c>
      <c r="AA88">
        <f>HYPERLINK("https://klasma.github.io/Logging_0480/klagomål/A 32882-2026 FSC-klagomål.docx", "A 32882-2026")</f>
        <v/>
      </c>
      <c r="AB88">
        <f>HYPERLINK("https://klasma.github.io/Logging_0480/klagomålsmail/A 32882-2026 FSC-klagomål mail.docx", "A 32882-2026")</f>
        <v/>
      </c>
      <c r="AC88">
        <f>HYPERLINK("https://klasma.github.io/Logging_0480/tillsyn/A 32882-2026 tillsynsbegäran.docx", "A 32882-2026")</f>
        <v/>
      </c>
      <c r="AD88">
        <f>HYPERLINK("https://klasma.github.io/Logging_0480/tillsynsmail/A 32882-2026 tillsynsbegäran mail.docx", "A 32882-2026")</f>
        <v/>
      </c>
    </row>
    <row r="89" ht="15" customHeight="1">
      <c r="A89" t="inlineStr">
        <is>
          <t>A 5855-2024</t>
        </is>
      </c>
      <c r="B89" t="inlineStr">
        <is>
          <t>avverkningsanmälan</t>
        </is>
      </c>
      <c r="C89" t="inlineStr">
        <is>
          <t>Avverkning för annat ändamål</t>
        </is>
      </c>
      <c r="D89" s="1" t="n">
        <v>45335</v>
      </c>
      <c r="E89" s="1" t="n">
        <v>46313</v>
      </c>
      <c r="F89" t="inlineStr">
        <is>
          <t>SÖDERMANLANDS LÄN</t>
        </is>
      </c>
      <c r="G89" t="inlineStr">
        <is>
          <t>NYKÖPING</t>
        </is>
      </c>
      <c r="H89" t="inlineStr">
        <is>
          <t>Sveaskog</t>
        </is>
      </c>
      <c r="I89" t="n">
        <v>3.3</v>
      </c>
      <c r="J89" t="n">
        <v>3</v>
      </c>
      <c r="K89" t="n">
        <v>0</v>
      </c>
      <c r="L89" t="n">
        <v>3</v>
      </c>
      <c r="M89" t="n">
        <v>0</v>
      </c>
      <c r="N89" t="n">
        <v>0</v>
      </c>
      <c r="O89" t="n">
        <v>0</v>
      </c>
      <c r="P89" t="n">
        <v>0</v>
      </c>
      <c r="Q89" t="n">
        <v>3</v>
      </c>
      <c r="R89" t="n">
        <v>0</v>
      </c>
      <c r="S89" t="n">
        <v>6</v>
      </c>
      <c r="T89" t="n">
        <v>10</v>
      </c>
      <c r="U89" t="n">
        <v>0</v>
      </c>
      <c r="V89" s="2" t="inlineStr">
        <is>
          <t>Berggräsfjäril
Jungfrulin
Svinrot
Mindre vattensalamander
Fläcknycklar
Revlummer</t>
        </is>
      </c>
      <c r="W89">
        <f>HYPERLINK("https://klasma.github.io/Logging_0480/artfynd/A 5855-2024 artfynd.xlsx", "A 5855-2024")</f>
        <v/>
      </c>
      <c r="X89">
        <f>HYPERLINK("https://klasma.github.io/Logging_0480/kartor/A 5855-2024 karta.png", "A 5855-2024")</f>
        <v/>
      </c>
      <c r="Y89">
        <f>HYPERLINK("https://klasma.github.io/Logging_0480/kartor_geotiff/A 5855-2024 georefererad karta.tif", "A 5855-2024")</f>
        <v/>
      </c>
      <c r="AA89">
        <f>HYPERLINK("https://klasma.github.io/Logging_0480/klagomål/A 5855-2024 FSC-klagomål.docx", "A 5855-2024")</f>
        <v/>
      </c>
      <c r="AB89">
        <f>HYPERLINK("https://klasma.github.io/Logging_0480/klagomålsmail/A 5855-2024 FSC-klagomål mail.docx", "A 5855-2024")</f>
        <v/>
      </c>
      <c r="AC89">
        <f>HYPERLINK("https://klasma.github.io/Logging_0480/tillsyn/A 5855-2024 tillsynsbegäran.docx", "A 5855-2024")</f>
        <v/>
      </c>
      <c r="AD89">
        <f>HYPERLINK("https://klasma.github.io/Logging_0480/tillsynsmail/A 5855-2024 tillsynsbegäran mail.docx", "A 5855-2024")</f>
        <v/>
      </c>
    </row>
    <row r="90" ht="15" customHeight="1">
      <c r="A90" t="inlineStr">
        <is>
          <t>A 56727-2025</t>
        </is>
      </c>
      <c r="B90" t="inlineStr">
        <is>
          <t>avverkningsanmälan</t>
        </is>
      </c>
      <c r="C90" t="inlineStr">
        <is>
          <t>Föryngringsavverkning</t>
        </is>
      </c>
      <c r="D90" s="1" t="n">
        <v>45978</v>
      </c>
      <c r="E90" s="1" t="n">
        <v>46313</v>
      </c>
      <c r="F90" t="inlineStr">
        <is>
          <t>SÖDERMANLANDS LÄN</t>
        </is>
      </c>
      <c r="G90" t="inlineStr">
        <is>
          <t>NYKÖPING</t>
        </is>
      </c>
      <c r="H90" t="inlineStr">
        <is>
          <t>Sveaskog</t>
        </is>
      </c>
      <c r="I90" t="n">
        <v>2.9</v>
      </c>
      <c r="J90" t="n">
        <v>6</v>
      </c>
      <c r="K90" t="n">
        <v>0</v>
      </c>
      <c r="L90" t="n">
        <v>0</v>
      </c>
      <c r="M90" t="n">
        <v>2</v>
      </c>
      <c r="N90" t="n">
        <v>0</v>
      </c>
      <c r="O90" t="n">
        <v>0</v>
      </c>
      <c r="P90" t="n">
        <v>0</v>
      </c>
      <c r="Q90" t="n">
        <v>2</v>
      </c>
      <c r="R90" t="n">
        <v>2</v>
      </c>
      <c r="S90" t="n">
        <v>6</v>
      </c>
      <c r="T90" t="n">
        <v>24</v>
      </c>
      <c r="U90" t="n">
        <v>5</v>
      </c>
      <c r="V90" s="2" t="inlineStr">
        <is>
          <t>Hasselsnok
Sandödla
Huggorm
Kopparödla
Skogsödla
Vanlig snok</t>
        </is>
      </c>
      <c r="W90">
        <f>HYPERLINK("https://klasma.github.io/Logging_0480/artfynd/A 56727-2025 artfynd.xlsx", "A 56727-2025")</f>
        <v/>
      </c>
      <c r="X90">
        <f>HYPERLINK("https://klasma.github.io/Logging_0480/kartor/A 56727-2025 karta.png", "A 56727-2025")</f>
        <v/>
      </c>
      <c r="Y90">
        <f>HYPERLINK("https://klasma.github.io/Logging_0480/kartor_geotiff/A 56727-2025 georefererad karta.tif", "A 56727-2025")</f>
        <v/>
      </c>
      <c r="AA90">
        <f>HYPERLINK("https://klasma.github.io/Logging_0480/klagomål/A 56727-2025 FSC-klagomål.docx", "A 56727-2025")</f>
        <v/>
      </c>
      <c r="AB90">
        <f>HYPERLINK("https://klasma.github.io/Logging_0480/klagomålsmail/A 56727-2025 FSC-klagomål mail.docx", "A 56727-2025")</f>
        <v/>
      </c>
      <c r="AC90">
        <f>HYPERLINK("https://klasma.github.io/Logging_0480/tillsyn/A 56727-2025 tillsynsbegäran.docx", "A 56727-2025")</f>
        <v/>
      </c>
      <c r="AD90">
        <f>HYPERLINK("https://klasma.github.io/Logging_0480/tillsynsmail/A 56727-2025 tillsynsbegäran mail.docx", "A 56727-2025")</f>
        <v/>
      </c>
    </row>
    <row r="91" ht="15" customHeight="1">
      <c r="A91" t="inlineStr">
        <is>
          <t>A 49248-2025</t>
        </is>
      </c>
      <c r="B91" t="inlineStr">
        <is>
          <t>avverkningsanmälan</t>
        </is>
      </c>
      <c r="C91" t="inlineStr">
        <is>
          <t>Föryngringsavverkning</t>
        </is>
      </c>
      <c r="D91" s="1" t="n">
        <v>45938</v>
      </c>
      <c r="E91" s="1" t="n">
        <v>46313</v>
      </c>
      <c r="F91" t="inlineStr">
        <is>
          <t>SÖDERMANLANDS LÄN</t>
        </is>
      </c>
      <c r="G91" t="inlineStr">
        <is>
          <t>GNESTA</t>
        </is>
      </c>
      <c r="I91" t="n">
        <v>1.3</v>
      </c>
      <c r="J91" t="n">
        <v>0</v>
      </c>
      <c r="K91" t="n">
        <v>3</v>
      </c>
      <c r="L91" t="n">
        <v>3</v>
      </c>
      <c r="M91" t="n">
        <v>0</v>
      </c>
      <c r="N91" t="n">
        <v>0</v>
      </c>
      <c r="O91" t="n">
        <v>0</v>
      </c>
      <c r="P91" t="n">
        <v>0</v>
      </c>
      <c r="Q91" t="n">
        <v>3</v>
      </c>
      <c r="R91" t="n">
        <v>0</v>
      </c>
      <c r="S91" t="n">
        <v>6</v>
      </c>
      <c r="T91" t="n">
        <v>8</v>
      </c>
      <c r="U91" t="n">
        <v>8</v>
      </c>
      <c r="V91" s="2" t="inlineStr">
        <is>
          <t>Motaggsvamp
Ullticka
Vedskivlav
Björksplintborre
Blomkålssvamp
Bronshjon</t>
        </is>
      </c>
      <c r="W91">
        <f>HYPERLINK("https://klasma.github.io/Logging_0461/artfynd/A 49248-2025 artfynd.xlsx", "A 49248-2025")</f>
        <v/>
      </c>
      <c r="X91">
        <f>HYPERLINK("https://klasma.github.io/Logging_0461/kartor/A 49248-2025 karta.png", "A 49248-2025")</f>
        <v/>
      </c>
      <c r="Y91">
        <f>HYPERLINK("https://klasma.github.io/Logging_0461/kartor_geotiff/A 49248-2025 georefererad karta.tif", "A 49248-2025")</f>
        <v/>
      </c>
      <c r="AA91">
        <f>HYPERLINK("https://klasma.github.io/Logging_0461/klagomål/A 49248-2025 FSC-klagomål.docx", "A 49248-2025")</f>
        <v/>
      </c>
      <c r="AB91">
        <f>HYPERLINK("https://klasma.github.io/Logging_0461/klagomålsmail/A 49248-2025 FSC-klagomål mail.docx", "A 49248-2025")</f>
        <v/>
      </c>
      <c r="AC91">
        <f>HYPERLINK("https://klasma.github.io/Logging_0461/tillsyn/A 49248-2025 tillsynsbegäran.docx", "A 49248-2025")</f>
        <v/>
      </c>
      <c r="AD91">
        <f>HYPERLINK("https://klasma.github.io/Logging_0461/tillsynsmail/A 49248-2025 tillsynsbegäran mail.docx", "A 49248-2025")</f>
        <v/>
      </c>
    </row>
    <row r="92" ht="15" customHeight="1">
      <c r="A92" t="inlineStr">
        <is>
          <t>S 215-2024</t>
        </is>
      </c>
      <c r="B92" t="inlineStr">
        <is>
          <t>samrådsanmälan</t>
        </is>
      </c>
      <c r="C92" t="inlineStr">
        <is>
          <t>Annan skogsbruksåtgärd</t>
        </is>
      </c>
      <c r="D92" s="1" t="n">
        <v>45316</v>
      </c>
      <c r="E92" s="1" t="n">
        <v>46313</v>
      </c>
      <c r="F92" t="inlineStr">
        <is>
          <t>SÖDERMANLANDS LÄN</t>
        </is>
      </c>
      <c r="G92" t="inlineStr">
        <is>
          <t>OXELÖSUND</t>
        </is>
      </c>
      <c r="H92" t="inlineStr">
        <is>
          <t>Kommuner</t>
        </is>
      </c>
      <c r="I92" t="n">
        <v>3.3</v>
      </c>
      <c r="J92" t="n">
        <v>3</v>
      </c>
      <c r="K92" t="n">
        <v>1</v>
      </c>
      <c r="L92" t="n">
        <v>3</v>
      </c>
      <c r="M92" t="n">
        <v>0</v>
      </c>
      <c r="N92" t="n">
        <v>0</v>
      </c>
      <c r="O92" t="n">
        <v>0</v>
      </c>
      <c r="P92" t="n">
        <v>0</v>
      </c>
      <c r="Q92" t="n">
        <v>3</v>
      </c>
      <c r="R92" t="n">
        <v>0</v>
      </c>
      <c r="S92" t="n">
        <v>6</v>
      </c>
      <c r="T92" t="n">
        <v>8</v>
      </c>
      <c r="U92" t="n">
        <v>4</v>
      </c>
      <c r="V92" s="2" t="inlineStr">
        <is>
          <t>Björktrast
Korallticka
Oxtungssvamp
Gulpudrad spiklav
Stjärtmes
Kungsfågel</t>
        </is>
      </c>
      <c r="W92">
        <f>HYPERLINK("https://klasma.github.io/Logging_0481/artfynd/S 215-2024 artfynd.xlsx", "S 215-2024")</f>
        <v/>
      </c>
      <c r="X92">
        <f>HYPERLINK("https://klasma.github.io/Logging_0481/kartor/S 215-2024 karta.png", "S 215-2024")</f>
        <v/>
      </c>
      <c r="Y92">
        <f>HYPERLINK("https://klasma.github.io/Logging_0481/kartor_geotiff/S 215-2024 georefererad karta.tif", "S 215-2024")</f>
        <v/>
      </c>
      <c r="AA92">
        <f>HYPERLINK("https://klasma.github.io/Logging_0481/klagomål/S 215-2024 FSC-klagomål.docx", "S 215-2024")</f>
        <v/>
      </c>
      <c r="AB92">
        <f>HYPERLINK("https://klasma.github.io/Logging_0481/klagomålsmail/S 215-2024 FSC-klagomål mail.docx", "S 215-2024")</f>
        <v/>
      </c>
      <c r="AC92">
        <f>HYPERLINK("https://klasma.github.io/Logging_0481/tillsyn/S 215-2024 tillsynsbegäran.docx", "S 215-2024")</f>
        <v/>
      </c>
      <c r="AD92">
        <f>HYPERLINK("https://klasma.github.io/Logging_0481/tillsynsmail/S 215-2024 tillsynsbegäran mail.docx", "S 215-2024")</f>
        <v/>
      </c>
      <c r="AE92">
        <f>HYPERLINK("https://klasma.github.io/Logging_0481/fåglar/S 215-2024 prioriterade fågelarter.docx", "S 215-2024")</f>
        <v/>
      </c>
    </row>
    <row r="93" ht="15" customHeight="1">
      <c r="A93" t="inlineStr">
        <is>
          <t>S 1318-2026</t>
        </is>
      </c>
      <c r="B93" t="inlineStr">
        <is>
          <t>samrådsanmälan</t>
        </is>
      </c>
      <c r="C93" t="inlineStr">
        <is>
          <t>Annan skogsbruksåtgärd</t>
        </is>
      </c>
      <c r="D93" s="1" t="n">
        <v>46147</v>
      </c>
      <c r="E93" s="1" t="n">
        <v>46313</v>
      </c>
      <c r="F93" t="inlineStr">
        <is>
          <t>SÖDERMANLANDS LÄN</t>
        </is>
      </c>
      <c r="G93" t="inlineStr">
        <is>
          <t>FLEN</t>
        </is>
      </c>
      <c r="I93" t="n">
        <v>4.3</v>
      </c>
      <c r="J93" t="n">
        <v>2</v>
      </c>
      <c r="K93" t="n">
        <v>1</v>
      </c>
      <c r="L93" t="n">
        <v>3</v>
      </c>
      <c r="M93" t="n">
        <v>0</v>
      </c>
      <c r="N93" t="n">
        <v>0</v>
      </c>
      <c r="O93" t="n">
        <v>0</v>
      </c>
      <c r="P93" t="n">
        <v>0</v>
      </c>
      <c r="Q93" t="n">
        <v>3</v>
      </c>
      <c r="R93" t="n">
        <v>0</v>
      </c>
      <c r="S93" t="n">
        <v>6</v>
      </c>
      <c r="T93" t="n">
        <v>8</v>
      </c>
      <c r="U93" t="n">
        <v>0</v>
      </c>
      <c r="V93" s="2" t="inlineStr">
        <is>
          <t>Svinrot
Vippärt
Ängsskära
Underviol
Blåsippa
Gullviva</t>
        </is>
      </c>
      <c r="W93">
        <f>HYPERLINK("https://klasma.github.io/Logging_0482/artfynd/S 1318-2026 artfynd.xlsx", "S 1318-2026")</f>
        <v/>
      </c>
      <c r="X93">
        <f>HYPERLINK("https://klasma.github.io/Logging_0482/kartor/S 1318-2026 karta.png", "S 1318-2026")</f>
        <v/>
      </c>
      <c r="Y93">
        <f>HYPERLINK("https://klasma.github.io/Logging_0482/kartor_geotiff/S 1318-2026 georefererad karta.tif", "S 1318-2026")</f>
        <v/>
      </c>
      <c r="AA93">
        <f>HYPERLINK("https://klasma.github.io/Logging_0482/klagomål/S 1318-2026 FSC-klagomål.docx", "S 1318-2026")</f>
        <v/>
      </c>
      <c r="AB93">
        <f>HYPERLINK("https://klasma.github.io/Logging_0482/klagomålsmail/S 1318-2026 FSC-klagomål mail.docx", "S 1318-2026")</f>
        <v/>
      </c>
      <c r="AC93">
        <f>HYPERLINK("https://klasma.github.io/Logging_0482/tillsyn/S 1318-2026 tillsynsbegäran.docx", "S 1318-2026")</f>
        <v/>
      </c>
      <c r="AD93">
        <f>HYPERLINK("https://klasma.github.io/Logging_0482/tillsynsmail/S 1318-2026 tillsynsbegäran mail.docx", "S 1318-2026")</f>
        <v/>
      </c>
    </row>
    <row r="94" ht="15" customHeight="1">
      <c r="A94" t="inlineStr">
        <is>
          <t>A 33219-2024</t>
        </is>
      </c>
      <c r="B94" t="inlineStr">
        <is>
          <t>avverkningsanmälan</t>
        </is>
      </c>
      <c r="C94" t="inlineStr">
        <is>
          <t>Föryngringsavverkning</t>
        </is>
      </c>
      <c r="D94" s="1" t="n">
        <v>45518</v>
      </c>
      <c r="E94" s="1" t="n">
        <v>46313</v>
      </c>
      <c r="F94" t="inlineStr">
        <is>
          <t>SÖDERMANLANDS LÄN</t>
        </is>
      </c>
      <c r="G94" t="inlineStr">
        <is>
          <t>FLEN</t>
        </is>
      </c>
      <c r="I94" t="n">
        <v>2.5</v>
      </c>
      <c r="J94" t="n">
        <v>3</v>
      </c>
      <c r="K94" t="n">
        <v>1</v>
      </c>
      <c r="L94" t="n">
        <v>1</v>
      </c>
      <c r="M94" t="n">
        <v>1</v>
      </c>
      <c r="N94" t="n">
        <v>0</v>
      </c>
      <c r="O94" t="n">
        <v>0</v>
      </c>
      <c r="P94" t="n">
        <v>0</v>
      </c>
      <c r="Q94" t="n">
        <v>2</v>
      </c>
      <c r="R94" t="n">
        <v>1</v>
      </c>
      <c r="S94" t="n">
        <v>5</v>
      </c>
      <c r="T94" t="n">
        <v>7</v>
      </c>
      <c r="U94" t="n">
        <v>7</v>
      </c>
      <c r="V94" s="2" t="inlineStr">
        <is>
          <t>Knärot
Svinrot
Zontaggsvamp
Blåsippa
Mattlummer</t>
        </is>
      </c>
      <c r="W94">
        <f>HYPERLINK("https://klasma.github.io/Logging_0482/artfynd/A 33219-2024 artfynd.xlsx", "A 33219-2024")</f>
        <v/>
      </c>
      <c r="X94">
        <f>HYPERLINK("https://klasma.github.io/Logging_0482/kartor/A 33219-2024 karta.png", "A 33219-2024")</f>
        <v/>
      </c>
      <c r="Y94">
        <f>HYPERLINK("https://klasma.github.io/Logging_0482/kartor_geotiff/A 33219-2024 georefererad karta.tif", "A 33219-2024")</f>
        <v/>
      </c>
      <c r="Z94">
        <f>HYPERLINK("https://klasma.github.io/Logging_0482/knärot/A 33219-2024 karta knärot.png", "A 33219-2024")</f>
        <v/>
      </c>
      <c r="AA94">
        <f>HYPERLINK("https://klasma.github.io/Logging_0482/klagomål/A 33219-2024 FSC-klagomål.docx", "A 33219-2024")</f>
        <v/>
      </c>
      <c r="AB94">
        <f>HYPERLINK("https://klasma.github.io/Logging_0482/klagomålsmail/A 33219-2024 FSC-klagomål mail.docx", "A 33219-2024")</f>
        <v/>
      </c>
      <c r="AC94">
        <f>HYPERLINK("https://klasma.github.io/Logging_0482/tillsyn/A 33219-2024 tillsynsbegäran.docx", "A 33219-2024")</f>
        <v/>
      </c>
      <c r="AD94">
        <f>HYPERLINK("https://klasma.github.io/Logging_0482/tillsynsmail/A 33219-2024 tillsynsbegäran mail.docx", "A 33219-2024")</f>
        <v/>
      </c>
    </row>
    <row r="95" ht="15" customHeight="1">
      <c r="A95" t="inlineStr">
        <is>
          <t>A 70039-2021</t>
        </is>
      </c>
      <c r="B95" t="inlineStr">
        <is>
          <t>avverkningsanmälan</t>
        </is>
      </c>
      <c r="C95" t="inlineStr">
        <is>
          <t>Föryngringsavverkning</t>
        </is>
      </c>
      <c r="D95" s="1" t="n">
        <v>44533</v>
      </c>
      <c r="E95" s="1" t="n">
        <v>46313</v>
      </c>
      <c r="F95" t="inlineStr">
        <is>
          <t>SÖDERMANLANDS LÄN</t>
        </is>
      </c>
      <c r="G95" t="inlineStr">
        <is>
          <t>FLEN</t>
        </is>
      </c>
      <c r="I95" t="n">
        <v>6.7</v>
      </c>
      <c r="J95" t="n">
        <v>1</v>
      </c>
      <c r="K95" t="n">
        <v>0</v>
      </c>
      <c r="L95" t="n">
        <v>4</v>
      </c>
      <c r="M95" t="n">
        <v>0</v>
      </c>
      <c r="N95" t="n">
        <v>0</v>
      </c>
      <c r="O95" t="n">
        <v>0</v>
      </c>
      <c r="P95" t="n">
        <v>0</v>
      </c>
      <c r="Q95" t="n">
        <v>4</v>
      </c>
      <c r="R95" t="n">
        <v>0</v>
      </c>
      <c r="S95" t="n">
        <v>5</v>
      </c>
      <c r="T95" t="n">
        <v>5</v>
      </c>
      <c r="U95" t="n">
        <v>3</v>
      </c>
      <c r="V95" s="2" t="inlineStr">
        <is>
          <t>Gullklöver
Slåtterfibbla
Svedjenäva
Svinrot
Blåsippa</t>
        </is>
      </c>
      <c r="W95">
        <f>HYPERLINK("https://klasma.github.io/Logging_0482/artfynd/A 70039-2021 artfynd.xlsx", "A 70039-2021")</f>
        <v/>
      </c>
      <c r="X95">
        <f>HYPERLINK("https://klasma.github.io/Logging_0482/kartor/A 70039-2021 karta.png", "A 70039-2021")</f>
        <v/>
      </c>
      <c r="Y95">
        <f>HYPERLINK("https://klasma.github.io/Logging_0482/kartor_geotiff/A 70039-2021 georefererad karta.tif", "A 70039-2021")</f>
        <v/>
      </c>
      <c r="AA95">
        <f>HYPERLINK("https://klasma.github.io/Logging_0482/klagomål/A 70039-2021 FSC-klagomål.docx", "A 70039-2021")</f>
        <v/>
      </c>
      <c r="AB95">
        <f>HYPERLINK("https://klasma.github.io/Logging_0482/klagomålsmail/A 70039-2021 FSC-klagomål mail.docx", "A 70039-2021")</f>
        <v/>
      </c>
      <c r="AC95">
        <f>HYPERLINK("https://klasma.github.io/Logging_0482/tillsyn/A 70039-2021 tillsynsbegäran.docx", "A 70039-2021")</f>
        <v/>
      </c>
      <c r="AD95">
        <f>HYPERLINK("https://klasma.github.io/Logging_0482/tillsynsmail/A 70039-2021 tillsynsbegäran mail.docx", "A 70039-2021")</f>
        <v/>
      </c>
    </row>
    <row r="96" ht="15" customHeight="1">
      <c r="A96" t="inlineStr">
        <is>
          <t>A 47886-2023</t>
        </is>
      </c>
      <c r="B96" t="inlineStr">
        <is>
          <t>avverkningsanmälan</t>
        </is>
      </c>
      <c r="C96" t="inlineStr">
        <is>
          <t>Föryngringsavverkning</t>
        </is>
      </c>
      <c r="D96" s="1" t="n">
        <v>45204</v>
      </c>
      <c r="E96" s="1" t="n">
        <v>46313</v>
      </c>
      <c r="F96" t="inlineStr">
        <is>
          <t>SÖDERMANLANDS LÄN</t>
        </is>
      </c>
      <c r="G96" t="inlineStr">
        <is>
          <t>KATRINEHOLM</t>
        </is>
      </c>
      <c r="I96" t="n">
        <v>22</v>
      </c>
      <c r="J96" t="n">
        <v>1</v>
      </c>
      <c r="K96" t="n">
        <v>3</v>
      </c>
      <c r="L96" t="n">
        <v>1</v>
      </c>
      <c r="M96" t="n">
        <v>0</v>
      </c>
      <c r="N96" t="n">
        <v>0</v>
      </c>
      <c r="O96" t="n">
        <v>0</v>
      </c>
      <c r="P96" t="n">
        <v>0</v>
      </c>
      <c r="Q96" t="n">
        <v>1</v>
      </c>
      <c r="R96" t="n">
        <v>0</v>
      </c>
      <c r="S96" t="n">
        <v>5</v>
      </c>
      <c r="T96" t="n">
        <v>7</v>
      </c>
      <c r="U96" t="n">
        <v>7</v>
      </c>
      <c r="V96" s="2" t="inlineStr">
        <is>
          <t>Tallticka
Björksplintborre
Jättesvampmal
Mindre märgborre
Fläcknycklar</t>
        </is>
      </c>
      <c r="W96">
        <f>HYPERLINK("https://klasma.github.io/Logging_0483/artfynd/A 47886-2023 artfynd.xlsx", "A 47886-2023")</f>
        <v/>
      </c>
      <c r="X96">
        <f>HYPERLINK("https://klasma.github.io/Logging_0483/kartor/A 47886-2023 karta.png", "A 47886-2023")</f>
        <v/>
      </c>
      <c r="Y96">
        <f>HYPERLINK("https://klasma.github.io/Logging_0483/kartor_geotiff/A 47886-2023 georefererad karta.tif", "A 47886-2023")</f>
        <v/>
      </c>
      <c r="AA96">
        <f>HYPERLINK("https://klasma.github.io/Logging_0483/klagomål/A 47886-2023 FSC-klagomål.docx", "A 47886-2023")</f>
        <v/>
      </c>
      <c r="AB96">
        <f>HYPERLINK("https://klasma.github.io/Logging_0483/klagomålsmail/A 47886-2023 FSC-klagomål mail.docx", "A 47886-2023")</f>
        <v/>
      </c>
      <c r="AC96">
        <f>HYPERLINK("https://klasma.github.io/Logging_0483/tillsyn/A 47886-2023 tillsynsbegäran.docx", "A 47886-2023")</f>
        <v/>
      </c>
      <c r="AD96">
        <f>HYPERLINK("https://klasma.github.io/Logging_0483/tillsynsmail/A 47886-2023 tillsynsbegäran mail.docx", "A 47886-2023")</f>
        <v/>
      </c>
    </row>
    <row r="97" ht="15" customHeight="1">
      <c r="A97" t="inlineStr">
        <is>
          <t>A 48952-2023</t>
        </is>
      </c>
      <c r="B97" t="inlineStr">
        <is>
          <t>avverkningsanmälan</t>
        </is>
      </c>
      <c r="C97" t="inlineStr">
        <is>
          <t>Föryngringsavverkning</t>
        </is>
      </c>
      <c r="D97" s="1" t="n">
        <v>45209</v>
      </c>
      <c r="E97" s="1" t="n">
        <v>46313</v>
      </c>
      <c r="F97" t="inlineStr">
        <is>
          <t>SÖDERMANLANDS LÄN</t>
        </is>
      </c>
      <c r="G97" t="inlineStr">
        <is>
          <t>FLEN</t>
        </is>
      </c>
      <c r="H97" t="inlineStr">
        <is>
          <t>Holmen skog AB</t>
        </is>
      </c>
      <c r="I97" t="n">
        <v>12.8</v>
      </c>
      <c r="J97" t="n">
        <v>0</v>
      </c>
      <c r="K97" t="n">
        <v>2</v>
      </c>
      <c r="L97" t="n">
        <v>3</v>
      </c>
      <c r="M97" t="n">
        <v>0</v>
      </c>
      <c r="N97" t="n">
        <v>0</v>
      </c>
      <c r="O97" t="n">
        <v>0</v>
      </c>
      <c r="P97" t="n">
        <v>0</v>
      </c>
      <c r="Q97" t="n">
        <v>3</v>
      </c>
      <c r="R97" t="n">
        <v>0</v>
      </c>
      <c r="S97" t="n">
        <v>5</v>
      </c>
      <c r="T97" t="n">
        <v>11</v>
      </c>
      <c r="U97" t="n">
        <v>0</v>
      </c>
      <c r="V97" s="2" t="inlineStr">
        <is>
          <t>Dropptaggsvamp
Tallticka
Vedskivlav
Blåmossa
Grovticka</t>
        </is>
      </c>
      <c r="W97">
        <f>HYPERLINK("https://klasma.github.io/Logging_0482/artfynd/A 48952-2023 artfynd.xlsx", "A 48952-2023")</f>
        <v/>
      </c>
      <c r="X97">
        <f>HYPERLINK("https://klasma.github.io/Logging_0482/kartor/A 48952-2023 karta.png", "A 48952-2023")</f>
        <v/>
      </c>
      <c r="Y97">
        <f>HYPERLINK("https://klasma.github.io/Logging_0482/kartor_geotiff/A 48952-2023 georefererad karta.tif", "A 48952-2023")</f>
        <v/>
      </c>
      <c r="AA97">
        <f>HYPERLINK("https://klasma.github.io/Logging_0482/klagomål/A 48952-2023 FSC-klagomål.docx", "A 48952-2023")</f>
        <v/>
      </c>
      <c r="AB97">
        <f>HYPERLINK("https://klasma.github.io/Logging_0482/klagomålsmail/A 48952-2023 FSC-klagomål mail.docx", "A 48952-2023")</f>
        <v/>
      </c>
      <c r="AC97">
        <f>HYPERLINK("https://klasma.github.io/Logging_0482/tillsyn/A 48952-2023 tillsynsbegäran.docx", "A 48952-2023")</f>
        <v/>
      </c>
      <c r="AD97">
        <f>HYPERLINK("https://klasma.github.io/Logging_0482/tillsynsmail/A 48952-2023 tillsynsbegäran mail.docx", "A 48952-2023")</f>
        <v/>
      </c>
    </row>
    <row r="98" ht="15" customHeight="1">
      <c r="A98" t="inlineStr">
        <is>
          <t>A 4551-2023</t>
        </is>
      </c>
      <c r="B98" t="inlineStr">
        <is>
          <t>avverkningsanmälan</t>
        </is>
      </c>
      <c r="C98" t="inlineStr">
        <is>
          <t>Föryngringsavverkning</t>
        </is>
      </c>
      <c r="D98" s="1" t="n">
        <v>44956</v>
      </c>
      <c r="E98" s="1" t="n">
        <v>46313</v>
      </c>
      <c r="F98" t="inlineStr">
        <is>
          <t>SÖDERMANLANDS LÄN</t>
        </is>
      </c>
      <c r="G98" t="inlineStr">
        <is>
          <t>FLEN</t>
        </is>
      </c>
      <c r="I98" t="n">
        <v>6.6</v>
      </c>
      <c r="J98" t="n">
        <v>1</v>
      </c>
      <c r="K98" t="n">
        <v>0</v>
      </c>
      <c r="L98" t="n">
        <v>3</v>
      </c>
      <c r="M98" t="n">
        <v>0</v>
      </c>
      <c r="N98" t="n">
        <v>1</v>
      </c>
      <c r="O98" t="n">
        <v>0</v>
      </c>
      <c r="P98" t="n">
        <v>0</v>
      </c>
      <c r="Q98" t="n">
        <v>4</v>
      </c>
      <c r="R98" t="n">
        <v>1</v>
      </c>
      <c r="S98" t="n">
        <v>5</v>
      </c>
      <c r="T98" t="n">
        <v>6</v>
      </c>
      <c r="U98" t="n">
        <v>4</v>
      </c>
      <c r="V98" s="2" t="inlineStr">
        <is>
          <t>Ask
Krusfrö
Svinrot
Älg
Större vattensalamander</t>
        </is>
      </c>
      <c r="W98">
        <f>HYPERLINK("https://klasma.github.io/Logging_0482/artfynd/A 4551-2023 artfynd.xlsx", "A 4551-2023")</f>
        <v/>
      </c>
      <c r="X98">
        <f>HYPERLINK("https://klasma.github.io/Logging_0482/kartor/A 4551-2023 karta.png", "A 4551-2023")</f>
        <v/>
      </c>
      <c r="Y98">
        <f>HYPERLINK("https://klasma.github.io/Logging_0482/kartor_geotiff/A 4551-2023 georefererad karta.tif", "A 4551-2023")</f>
        <v/>
      </c>
      <c r="AA98">
        <f>HYPERLINK("https://klasma.github.io/Logging_0482/klagomål/A 4551-2023 FSC-klagomål.docx", "A 4551-2023")</f>
        <v/>
      </c>
      <c r="AB98">
        <f>HYPERLINK("https://klasma.github.io/Logging_0482/klagomålsmail/A 4551-2023 FSC-klagomål mail.docx", "A 4551-2023")</f>
        <v/>
      </c>
      <c r="AC98">
        <f>HYPERLINK("https://klasma.github.io/Logging_0482/tillsyn/A 4551-2023 tillsynsbegäran.docx", "A 4551-2023")</f>
        <v/>
      </c>
      <c r="AD98">
        <f>HYPERLINK("https://klasma.github.io/Logging_0482/tillsynsmail/A 4551-2023 tillsynsbegäran mail.docx", "A 4551-2023")</f>
        <v/>
      </c>
    </row>
    <row r="99" ht="15" customHeight="1">
      <c r="A99" t="inlineStr">
        <is>
          <t>A 53415-2023</t>
        </is>
      </c>
      <c r="B99" t="inlineStr">
        <is>
          <t>avverkningsanmälan</t>
        </is>
      </c>
      <c r="C99" t="inlineStr">
        <is>
          <t>Föryngringsavverkning</t>
        </is>
      </c>
      <c r="D99" s="1" t="n">
        <v>45229</v>
      </c>
      <c r="E99" s="1" t="n">
        <v>46313</v>
      </c>
      <c r="F99" t="inlineStr">
        <is>
          <t>SÖDERMANLANDS LÄN</t>
        </is>
      </c>
      <c r="G99" t="inlineStr">
        <is>
          <t>ESKILSTUNA</t>
        </is>
      </c>
      <c r="H99" t="inlineStr">
        <is>
          <t>Allmännings- och besparingsskogar</t>
        </is>
      </c>
      <c r="I99" t="n">
        <v>2.7</v>
      </c>
      <c r="J99" t="n">
        <v>1</v>
      </c>
      <c r="K99" t="n">
        <v>2</v>
      </c>
      <c r="L99" t="n">
        <v>1</v>
      </c>
      <c r="M99" t="n">
        <v>0</v>
      </c>
      <c r="N99" t="n">
        <v>1</v>
      </c>
      <c r="O99" t="n">
        <v>0</v>
      </c>
      <c r="P99" t="n">
        <v>0</v>
      </c>
      <c r="Q99" t="n">
        <v>2</v>
      </c>
      <c r="R99" t="n">
        <v>1</v>
      </c>
      <c r="S99" t="n">
        <v>5</v>
      </c>
      <c r="T99" t="n">
        <v>5</v>
      </c>
      <c r="U99" t="n">
        <v>0</v>
      </c>
      <c r="V99" s="2" t="inlineStr">
        <is>
          <t>Ask
Gullpudra
Tibast
Underviol
Blåsippa</t>
        </is>
      </c>
      <c r="W99">
        <f>HYPERLINK("https://klasma.github.io/Logging_0484/artfynd/A 53415-2023 artfynd.xlsx", "A 53415-2023")</f>
        <v/>
      </c>
      <c r="X99">
        <f>HYPERLINK("https://klasma.github.io/Logging_0484/kartor/A 53415-2023 karta.png", "A 53415-2023")</f>
        <v/>
      </c>
      <c r="Y99">
        <f>HYPERLINK("https://klasma.github.io/Logging_0484/kartor_geotiff/A 53415-2023 georefererad karta.tif", "A 53415-2023")</f>
        <v/>
      </c>
      <c r="AA99">
        <f>HYPERLINK("https://klasma.github.io/Logging_0484/klagomål/A 53415-2023 FSC-klagomål.docx", "A 53415-2023")</f>
        <v/>
      </c>
      <c r="AB99">
        <f>HYPERLINK("https://klasma.github.io/Logging_0484/klagomålsmail/A 53415-2023 FSC-klagomål mail.docx", "A 53415-2023")</f>
        <v/>
      </c>
      <c r="AC99">
        <f>HYPERLINK("https://klasma.github.io/Logging_0484/tillsyn/A 53415-2023 tillsynsbegäran.docx", "A 53415-2023")</f>
        <v/>
      </c>
      <c r="AD99">
        <f>HYPERLINK("https://klasma.github.io/Logging_0484/tillsynsmail/A 53415-2023 tillsynsbegäran mail.docx", "A 53415-2023")</f>
        <v/>
      </c>
    </row>
    <row r="100" ht="15" customHeight="1">
      <c r="A100" t="inlineStr">
        <is>
          <t>A 51246-2024</t>
        </is>
      </c>
      <c r="B100" t="inlineStr">
        <is>
          <t>avverkningsanmälan</t>
        </is>
      </c>
      <c r="C100" t="inlineStr">
        <is>
          <t>Föryngringsavverkning</t>
        </is>
      </c>
      <c r="D100" s="1" t="n">
        <v>45603</v>
      </c>
      <c r="E100" s="1" t="n">
        <v>46313</v>
      </c>
      <c r="F100" t="inlineStr">
        <is>
          <t>SÖDERMANLANDS LÄN</t>
        </is>
      </c>
      <c r="G100" t="inlineStr">
        <is>
          <t>NYKÖPING</t>
        </is>
      </c>
      <c r="H100" t="inlineStr">
        <is>
          <t>Sveaskog</t>
        </is>
      </c>
      <c r="I100" t="n">
        <v>2.3</v>
      </c>
      <c r="J100" t="n">
        <v>1</v>
      </c>
      <c r="K100" t="n">
        <v>0</v>
      </c>
      <c r="L100" t="n">
        <v>3</v>
      </c>
      <c r="M100" t="n">
        <v>0</v>
      </c>
      <c r="N100" t="n">
        <v>1</v>
      </c>
      <c r="O100" t="n">
        <v>0</v>
      </c>
      <c r="P100" t="n">
        <v>0</v>
      </c>
      <c r="Q100" t="n">
        <v>4</v>
      </c>
      <c r="R100" t="n">
        <v>1</v>
      </c>
      <c r="S100" t="n">
        <v>5</v>
      </c>
      <c r="T100" t="n">
        <v>6</v>
      </c>
      <c r="U100" t="n">
        <v>3</v>
      </c>
      <c r="V100" s="2" t="inlineStr">
        <is>
          <t>Ask
Motaggsvamp
Svart skogssnigel
Tallticka
Fläcknycklar</t>
        </is>
      </c>
      <c r="W100">
        <f>HYPERLINK("https://klasma.github.io/Logging_0480/artfynd/A 51246-2024 artfynd.xlsx", "A 51246-2024")</f>
        <v/>
      </c>
      <c r="X100">
        <f>HYPERLINK("https://klasma.github.io/Logging_0480/kartor/A 51246-2024 karta.png", "A 51246-2024")</f>
        <v/>
      </c>
      <c r="Y100">
        <f>HYPERLINK("https://klasma.github.io/Logging_0480/kartor_geotiff/A 51246-2024 georefererad karta.tif", "A 51246-2024")</f>
        <v/>
      </c>
      <c r="AA100">
        <f>HYPERLINK("https://klasma.github.io/Logging_0480/klagomål/A 51246-2024 FSC-klagomål.docx", "A 51246-2024")</f>
        <v/>
      </c>
      <c r="AB100">
        <f>HYPERLINK("https://klasma.github.io/Logging_0480/klagomålsmail/A 51246-2024 FSC-klagomål mail.docx", "A 51246-2024")</f>
        <v/>
      </c>
      <c r="AC100">
        <f>HYPERLINK("https://klasma.github.io/Logging_0480/tillsyn/A 51246-2024 tillsynsbegäran.docx", "A 51246-2024")</f>
        <v/>
      </c>
      <c r="AD100">
        <f>HYPERLINK("https://klasma.github.io/Logging_0480/tillsynsmail/A 51246-2024 tillsynsbegäran mail.docx", "A 51246-2024")</f>
        <v/>
      </c>
    </row>
    <row r="101" ht="15" customHeight="1">
      <c r="A101" t="inlineStr">
        <is>
          <t>A 61070-2025</t>
        </is>
      </c>
      <c r="B101" t="inlineStr">
        <is>
          <t>avverkningsanmälan</t>
        </is>
      </c>
      <c r="C101" t="inlineStr">
        <is>
          <t>Föryngringsavverkning</t>
        </is>
      </c>
      <c r="D101" s="1" t="n">
        <v>46000</v>
      </c>
      <c r="E101" s="1" t="n">
        <v>46313</v>
      </c>
      <c r="F101" t="inlineStr">
        <is>
          <t>SÖDERMANLANDS LÄN</t>
        </is>
      </c>
      <c r="G101" t="inlineStr">
        <is>
          <t>ESKILSTUNA</t>
        </is>
      </c>
      <c r="H101" t="inlineStr">
        <is>
          <t>Allmännings- och besparingsskogar</t>
        </is>
      </c>
      <c r="I101" t="n">
        <v>0.5</v>
      </c>
      <c r="J101" t="n">
        <v>2</v>
      </c>
      <c r="K101" t="n">
        <v>2</v>
      </c>
      <c r="L101" t="n">
        <v>0</v>
      </c>
      <c r="M101" t="n">
        <v>0</v>
      </c>
      <c r="N101" t="n">
        <v>1</v>
      </c>
      <c r="O101" t="n">
        <v>0</v>
      </c>
      <c r="P101" t="n">
        <v>0</v>
      </c>
      <c r="Q101" t="n">
        <v>1</v>
      </c>
      <c r="R101" t="n">
        <v>1</v>
      </c>
      <c r="S101" t="n">
        <v>5</v>
      </c>
      <c r="T101" t="n">
        <v>5</v>
      </c>
      <c r="U101" t="n">
        <v>0</v>
      </c>
      <c r="V101" s="2" t="inlineStr">
        <is>
          <t>Ask
Tibast
Vätteros
Blåsippa
Gullviva</t>
        </is>
      </c>
      <c r="W101">
        <f>HYPERLINK("https://klasma.github.io/Logging_0484/artfynd/A 61070-2025 artfynd.xlsx", "A 61070-2025")</f>
        <v/>
      </c>
      <c r="X101">
        <f>HYPERLINK("https://klasma.github.io/Logging_0484/kartor/A 61070-2025 karta.png", "A 61070-2025")</f>
        <v/>
      </c>
      <c r="Y101">
        <f>HYPERLINK("https://klasma.github.io/Logging_0484/kartor_geotiff/A 61070-2025 georefererad karta.tif", "A 61070-2025")</f>
        <v/>
      </c>
      <c r="AA101">
        <f>HYPERLINK("https://klasma.github.io/Logging_0484/klagomål/A 61070-2025 FSC-klagomål.docx", "A 61070-2025")</f>
        <v/>
      </c>
      <c r="AB101">
        <f>HYPERLINK("https://klasma.github.io/Logging_0484/klagomålsmail/A 61070-2025 FSC-klagomål mail.docx", "A 61070-2025")</f>
        <v/>
      </c>
      <c r="AC101">
        <f>HYPERLINK("https://klasma.github.io/Logging_0484/tillsyn/A 61070-2025 tillsynsbegäran.docx", "A 61070-2025")</f>
        <v/>
      </c>
      <c r="AD101">
        <f>HYPERLINK("https://klasma.github.io/Logging_0484/tillsynsmail/A 61070-2025 tillsynsbegäran mail.docx", "A 61070-2025")</f>
        <v/>
      </c>
    </row>
    <row r="102" ht="15" customHeight="1">
      <c r="A102" t="inlineStr">
        <is>
          <t>A 13755-2026</t>
        </is>
      </c>
      <c r="B102" t="inlineStr">
        <is>
          <t>avverkningsanmälan</t>
        </is>
      </c>
      <c r="C102" t="inlineStr">
        <is>
          <t>Föryngringsavverkning</t>
        </is>
      </c>
      <c r="D102" s="1" t="n">
        <v>46097</v>
      </c>
      <c r="E102" s="1" t="n">
        <v>46313</v>
      </c>
      <c r="F102" t="inlineStr">
        <is>
          <t>SÖDERMANLANDS LÄN</t>
        </is>
      </c>
      <c r="G102" t="inlineStr">
        <is>
          <t>FLEN</t>
        </is>
      </c>
      <c r="I102" t="n">
        <v>2.9</v>
      </c>
      <c r="J102" t="n">
        <v>2</v>
      </c>
      <c r="K102" t="n">
        <v>1</v>
      </c>
      <c r="L102" t="n">
        <v>1</v>
      </c>
      <c r="M102" t="n">
        <v>1</v>
      </c>
      <c r="N102" t="n">
        <v>0</v>
      </c>
      <c r="O102" t="n">
        <v>0</v>
      </c>
      <c r="P102" t="n">
        <v>0</v>
      </c>
      <c r="Q102" t="n">
        <v>2</v>
      </c>
      <c r="R102" t="n">
        <v>1</v>
      </c>
      <c r="S102" t="n">
        <v>5</v>
      </c>
      <c r="T102" t="n">
        <v>5</v>
      </c>
      <c r="U102" t="n">
        <v>0</v>
      </c>
      <c r="V102" s="2" t="inlineStr">
        <is>
          <t>Åkerrättika
Jungfrulin
Svart trolldruva
Blåsippa
Grönvit nattviol</t>
        </is>
      </c>
      <c r="W102">
        <f>HYPERLINK("https://klasma.github.io/Logging_0482/artfynd/A 13755-2026 artfynd.xlsx", "A 13755-2026")</f>
        <v/>
      </c>
      <c r="X102">
        <f>HYPERLINK("https://klasma.github.io/Logging_0482/kartor/A 13755-2026 karta.png", "A 13755-2026")</f>
        <v/>
      </c>
      <c r="Y102">
        <f>HYPERLINK("https://klasma.github.io/Logging_0482/kartor_geotiff/A 13755-2026 georefererad karta.tif", "A 13755-2026")</f>
        <v/>
      </c>
      <c r="AA102">
        <f>HYPERLINK("https://klasma.github.io/Logging_0482/klagomål/A 13755-2026 FSC-klagomål.docx", "A 13755-2026")</f>
        <v/>
      </c>
      <c r="AB102">
        <f>HYPERLINK("https://klasma.github.io/Logging_0482/klagomålsmail/A 13755-2026 FSC-klagomål mail.docx", "A 13755-2026")</f>
        <v/>
      </c>
      <c r="AC102">
        <f>HYPERLINK("https://klasma.github.io/Logging_0482/tillsyn/A 13755-2026 tillsynsbegäran.docx", "A 13755-2026")</f>
        <v/>
      </c>
      <c r="AD102">
        <f>HYPERLINK("https://klasma.github.io/Logging_0482/tillsynsmail/A 13755-2026 tillsynsbegäran mail.docx", "A 13755-2026")</f>
        <v/>
      </c>
    </row>
    <row r="103" ht="15" customHeight="1">
      <c r="A103" t="inlineStr">
        <is>
          <t>A 3671-2026</t>
        </is>
      </c>
      <c r="B103" t="inlineStr">
        <is>
          <t>avverkningsanmälan</t>
        </is>
      </c>
      <c r="C103" t="inlineStr">
        <is>
          <t>Föryngringsavverkning</t>
        </is>
      </c>
      <c r="D103" s="1" t="n">
        <v>46043</v>
      </c>
      <c r="E103" s="1" t="n">
        <v>46313</v>
      </c>
      <c r="F103" t="inlineStr">
        <is>
          <t>SÖDERMANLANDS LÄN</t>
        </is>
      </c>
      <c r="G103" t="inlineStr">
        <is>
          <t>NYKÖPING</t>
        </is>
      </c>
      <c r="I103" t="n">
        <v>1.6</v>
      </c>
      <c r="J103" t="n">
        <v>2</v>
      </c>
      <c r="K103" t="n">
        <v>2</v>
      </c>
      <c r="L103" t="n">
        <v>1</v>
      </c>
      <c r="M103" t="n">
        <v>0</v>
      </c>
      <c r="N103" t="n">
        <v>0</v>
      </c>
      <c r="O103" t="n">
        <v>0</v>
      </c>
      <c r="P103" t="n">
        <v>0</v>
      </c>
      <c r="Q103" t="n">
        <v>1</v>
      </c>
      <c r="R103" t="n">
        <v>0</v>
      </c>
      <c r="S103" t="n">
        <v>5</v>
      </c>
      <c r="T103" t="n">
        <v>6</v>
      </c>
      <c r="U103" t="n">
        <v>0</v>
      </c>
      <c r="V103" s="2" t="inlineStr">
        <is>
          <t>Vedtrappmossa
Blomkålssvamp
Granbarkgnagare
Havsörn
Revlummer</t>
        </is>
      </c>
      <c r="W103">
        <f>HYPERLINK("https://klasma.github.io/Logging_0480/artfynd/A 3671-2026 artfynd.xlsx", "A 3671-2026")</f>
        <v/>
      </c>
      <c r="X103">
        <f>HYPERLINK("https://klasma.github.io/Logging_0480/kartor/A 3671-2026 karta.png", "A 3671-2026")</f>
        <v/>
      </c>
      <c r="Y103">
        <f>HYPERLINK("https://klasma.github.io/Logging_0480/kartor_geotiff/A 3671-2026 georefererad karta.tif", "A 3671-2026")</f>
        <v/>
      </c>
      <c r="AA103">
        <f>HYPERLINK("https://klasma.github.io/Logging_0480/klagomål/A 3671-2026 FSC-klagomål.docx", "A 3671-2026")</f>
        <v/>
      </c>
      <c r="AB103">
        <f>HYPERLINK("https://klasma.github.io/Logging_0480/klagomålsmail/A 3671-2026 FSC-klagomål mail.docx", "A 3671-2026")</f>
        <v/>
      </c>
      <c r="AC103">
        <f>HYPERLINK("https://klasma.github.io/Logging_0480/tillsyn/A 3671-2026 tillsynsbegäran.docx", "A 3671-2026")</f>
        <v/>
      </c>
      <c r="AD103">
        <f>HYPERLINK("https://klasma.github.io/Logging_0480/tillsynsmail/A 3671-2026 tillsynsbegäran mail.docx", "A 3671-2026")</f>
        <v/>
      </c>
      <c r="AE103">
        <f>HYPERLINK("https://klasma.github.io/Logging_0480/fåglar/A 3671-2026 prioriterade fågelarter.docx", "A 3671-2026")</f>
        <v/>
      </c>
    </row>
    <row r="104" ht="15" customHeight="1">
      <c r="A104" t="inlineStr">
        <is>
          <t>A 13256-2026</t>
        </is>
      </c>
      <c r="B104" t="inlineStr">
        <is>
          <t>avverkningsanmälan</t>
        </is>
      </c>
      <c r="C104" t="inlineStr">
        <is>
          <t>Föryngringsavverkning</t>
        </is>
      </c>
      <c r="D104" s="1" t="n">
        <v>46093</v>
      </c>
      <c r="E104" s="1" t="n">
        <v>46313</v>
      </c>
      <c r="F104" t="inlineStr">
        <is>
          <t>SÖDERMANLANDS LÄN</t>
        </is>
      </c>
      <c r="G104" t="inlineStr">
        <is>
          <t>NYKÖPING</t>
        </is>
      </c>
      <c r="I104" t="n">
        <v>8.699999999999999</v>
      </c>
      <c r="J104" t="n">
        <v>5</v>
      </c>
      <c r="K104" t="n">
        <v>0</v>
      </c>
      <c r="L104" t="n">
        <v>3</v>
      </c>
      <c r="M104" t="n">
        <v>0</v>
      </c>
      <c r="N104" t="n">
        <v>0</v>
      </c>
      <c r="O104" t="n">
        <v>0</v>
      </c>
      <c r="P104" t="n">
        <v>0</v>
      </c>
      <c r="Q104" t="n">
        <v>3</v>
      </c>
      <c r="R104" t="n">
        <v>0</v>
      </c>
      <c r="S104" t="n">
        <v>5</v>
      </c>
      <c r="T104" t="n">
        <v>5</v>
      </c>
      <c r="U104" t="n">
        <v>0</v>
      </c>
      <c r="V104" s="2" t="inlineStr">
        <is>
          <t>Enkelbeckasin
Gulsparv
Kricka
Grönsiska
Trana</t>
        </is>
      </c>
      <c r="W104">
        <f>HYPERLINK("https://klasma.github.io/Logging_0480/artfynd/A 13256-2026 artfynd.xlsx", "A 13256-2026")</f>
        <v/>
      </c>
      <c r="X104">
        <f>HYPERLINK("https://klasma.github.io/Logging_0480/kartor/A 13256-2026 karta.png", "A 13256-2026")</f>
        <v/>
      </c>
      <c r="Y104">
        <f>HYPERLINK("https://klasma.github.io/Logging_0480/kartor_geotiff/A 13256-2026 georefererad karta.tif", "A 13256-2026")</f>
        <v/>
      </c>
      <c r="AA104">
        <f>HYPERLINK("https://klasma.github.io/Logging_0480/klagomål/A 13256-2026 FSC-klagomål.docx", "A 13256-2026")</f>
        <v/>
      </c>
      <c r="AB104">
        <f>HYPERLINK("https://klasma.github.io/Logging_0480/klagomålsmail/A 13256-2026 FSC-klagomål mail.docx", "A 13256-2026")</f>
        <v/>
      </c>
      <c r="AC104">
        <f>HYPERLINK("https://klasma.github.io/Logging_0480/tillsyn/A 13256-2026 tillsynsbegäran.docx", "A 13256-2026")</f>
        <v/>
      </c>
      <c r="AD104">
        <f>HYPERLINK("https://klasma.github.io/Logging_0480/tillsynsmail/A 13256-2026 tillsynsbegäran mail.docx", "A 13256-2026")</f>
        <v/>
      </c>
      <c r="AE104">
        <f>HYPERLINK("https://klasma.github.io/Logging_0480/fåglar/A 13256-2026 prioriterade fågelarter.docx", "A 13256-2026")</f>
        <v/>
      </c>
    </row>
    <row r="105" ht="15" customHeight="1">
      <c r="A105" t="inlineStr">
        <is>
          <t>A 59286-2025</t>
        </is>
      </c>
      <c r="B105" t="inlineStr">
        <is>
          <t>avverkningsanmälan</t>
        </is>
      </c>
      <c r="C105" t="inlineStr">
        <is>
          <t>Föryngringsavverkning</t>
        </is>
      </c>
      <c r="D105" s="1" t="n">
        <v>45988</v>
      </c>
      <c r="E105" s="1" t="n">
        <v>46313</v>
      </c>
      <c r="F105" t="inlineStr">
        <is>
          <t>SÖDERMANLANDS LÄN</t>
        </is>
      </c>
      <c r="G105" t="inlineStr">
        <is>
          <t>STRÄNGNÄS</t>
        </is>
      </c>
      <c r="I105" t="n">
        <v>37.3</v>
      </c>
      <c r="J105" t="n">
        <v>1</v>
      </c>
      <c r="K105" t="n">
        <v>3</v>
      </c>
      <c r="L105" t="n">
        <v>1</v>
      </c>
      <c r="M105" t="n">
        <v>1</v>
      </c>
      <c r="N105" t="n">
        <v>0</v>
      </c>
      <c r="O105" t="n">
        <v>0</v>
      </c>
      <c r="P105" t="n">
        <v>0</v>
      </c>
      <c r="Q105" t="n">
        <v>2</v>
      </c>
      <c r="R105" t="n">
        <v>1</v>
      </c>
      <c r="S105" t="n">
        <v>5</v>
      </c>
      <c r="T105" t="n">
        <v>12</v>
      </c>
      <c r="U105" t="n">
        <v>0</v>
      </c>
      <c r="V105" s="2" t="inlineStr">
        <is>
          <t>Knärot
Gullpudra
Dvärghäxört
Grönpyrola
Springkorn</t>
        </is>
      </c>
      <c r="W105">
        <f>HYPERLINK("https://klasma.github.io/Logging_0486/artfynd/A 59286-2025 artfynd.xlsx", "A 59286-2025")</f>
        <v/>
      </c>
      <c r="X105">
        <f>HYPERLINK("https://klasma.github.io/Logging_0486/kartor/A 59286-2025 karta.png", "A 59286-2025")</f>
        <v/>
      </c>
      <c r="Y105">
        <f>HYPERLINK("https://klasma.github.io/Logging_0486/kartor_geotiff/A 59286-2025 georefererad karta.tif", "A 59286-2025")</f>
        <v/>
      </c>
      <c r="Z105">
        <f>HYPERLINK("https://klasma.github.io/Logging_0486/knärot/A 59286-2025 karta knärot.png", "A 59286-2025")</f>
        <v/>
      </c>
      <c r="AA105">
        <f>HYPERLINK("https://klasma.github.io/Logging_0486/klagomål/A 59286-2025 FSC-klagomål.docx", "A 59286-2025")</f>
        <v/>
      </c>
      <c r="AB105">
        <f>HYPERLINK("https://klasma.github.io/Logging_0486/klagomålsmail/A 59286-2025 FSC-klagomål mail.docx", "A 59286-2025")</f>
        <v/>
      </c>
      <c r="AC105">
        <f>HYPERLINK("https://klasma.github.io/Logging_0486/tillsyn/A 59286-2025 tillsynsbegäran.docx", "A 59286-2025")</f>
        <v/>
      </c>
      <c r="AD105">
        <f>HYPERLINK("https://klasma.github.io/Logging_0486/tillsynsmail/A 59286-2025 tillsynsbegäran mail.docx", "A 59286-2025")</f>
        <v/>
      </c>
    </row>
    <row r="106" ht="15" customHeight="1">
      <c r="A106" t="inlineStr">
        <is>
          <t>A 13873-2026</t>
        </is>
      </c>
      <c r="B106" t="inlineStr">
        <is>
          <t>avverkningsanmälan</t>
        </is>
      </c>
      <c r="C106" t="inlineStr">
        <is>
          <t>Föryngringsavverkning</t>
        </is>
      </c>
      <c r="D106" s="1" t="n">
        <v>46098</v>
      </c>
      <c r="E106" s="1" t="n">
        <v>46313</v>
      </c>
      <c r="F106" t="inlineStr">
        <is>
          <t>SÖDERMANLANDS LÄN</t>
        </is>
      </c>
      <c r="G106" t="inlineStr">
        <is>
          <t>KATRINEHOLM</t>
        </is>
      </c>
      <c r="I106" t="n">
        <v>8.199999999999999</v>
      </c>
      <c r="J106" t="n">
        <v>0</v>
      </c>
      <c r="K106" t="n">
        <v>1</v>
      </c>
      <c r="L106" t="n">
        <v>1</v>
      </c>
      <c r="M106" t="n">
        <v>0</v>
      </c>
      <c r="N106" t="n">
        <v>0</v>
      </c>
      <c r="O106" t="n">
        <v>0</v>
      </c>
      <c r="P106" t="n">
        <v>0</v>
      </c>
      <c r="Q106" t="n">
        <v>1</v>
      </c>
      <c r="R106" t="n">
        <v>0</v>
      </c>
      <c r="S106" t="n">
        <v>5</v>
      </c>
      <c r="T106" t="n">
        <v>7</v>
      </c>
      <c r="U106" t="n">
        <v>7</v>
      </c>
      <c r="V106" s="2" t="inlineStr">
        <is>
          <t>Vedskivlav
Blåmossa
Fönsterlav
Grå renlav
Gulvit renlav</t>
        </is>
      </c>
      <c r="W106">
        <f>HYPERLINK("https://klasma.github.io/Logging_0483/artfynd/A 13873-2026 artfynd.xlsx", "A 13873-2026")</f>
        <v/>
      </c>
      <c r="X106">
        <f>HYPERLINK("https://klasma.github.io/Logging_0483/kartor/A 13873-2026 karta.png", "A 13873-2026")</f>
        <v/>
      </c>
      <c r="Y106">
        <f>HYPERLINK("https://klasma.github.io/Logging_0483/kartor_geotiff/A 13873-2026 georefererad karta.tif", "A 13873-2026")</f>
        <v/>
      </c>
      <c r="AA106">
        <f>HYPERLINK("https://klasma.github.io/Logging_0483/klagomål/A 13873-2026 FSC-klagomål.docx", "A 13873-2026")</f>
        <v/>
      </c>
      <c r="AB106">
        <f>HYPERLINK("https://klasma.github.io/Logging_0483/klagomålsmail/A 13873-2026 FSC-klagomål mail.docx", "A 13873-2026")</f>
        <v/>
      </c>
      <c r="AC106">
        <f>HYPERLINK("https://klasma.github.io/Logging_0483/tillsyn/A 13873-2026 tillsynsbegäran.docx", "A 13873-2026")</f>
        <v/>
      </c>
      <c r="AD106">
        <f>HYPERLINK("https://klasma.github.io/Logging_0483/tillsynsmail/A 13873-2026 tillsynsbegäran mail.docx", "A 13873-2026")</f>
        <v/>
      </c>
    </row>
    <row r="107" ht="15" customHeight="1">
      <c r="A107" t="inlineStr">
        <is>
          <t>A 13760-2022</t>
        </is>
      </c>
      <c r="B107" t="inlineStr">
        <is>
          <t>avverkningsanmälan</t>
        </is>
      </c>
      <c r="C107" t="inlineStr">
        <is>
          <t>Avverkning för annat ändamål</t>
        </is>
      </c>
      <c r="D107" s="1" t="n">
        <v>44649</v>
      </c>
      <c r="E107" s="1" t="n">
        <v>46313</v>
      </c>
      <c r="F107" t="inlineStr">
        <is>
          <t>SÖDERMANLANDS LÄN</t>
        </is>
      </c>
      <c r="G107" t="inlineStr">
        <is>
          <t>TROSA</t>
        </is>
      </c>
      <c r="H107" t="inlineStr">
        <is>
          <t>Övriga statliga verk och myndigheter</t>
        </is>
      </c>
      <c r="I107" t="n">
        <v>2</v>
      </c>
      <c r="J107" t="n">
        <v>2</v>
      </c>
      <c r="K107" t="n">
        <v>1</v>
      </c>
      <c r="L107" t="n">
        <v>2</v>
      </c>
      <c r="M107" t="n">
        <v>1</v>
      </c>
      <c r="N107" t="n">
        <v>1</v>
      </c>
      <c r="O107" t="n">
        <v>0</v>
      </c>
      <c r="P107" t="n">
        <v>0</v>
      </c>
      <c r="Q107" t="n">
        <v>4</v>
      </c>
      <c r="R107" t="n">
        <v>2</v>
      </c>
      <c r="S107" t="n">
        <v>5</v>
      </c>
      <c r="T107" t="n">
        <v>5</v>
      </c>
      <c r="U107" t="n">
        <v>2</v>
      </c>
      <c r="V107" s="2" t="inlineStr">
        <is>
          <t>Ask
Tofsvipa
Gullpudra
Kricka
Strutbräken</t>
        </is>
      </c>
      <c r="W107">
        <f>HYPERLINK("https://klasma.github.io/Logging_0488/artfynd/A 13760-2022 artfynd.xlsx", "A 13760-2022")</f>
        <v/>
      </c>
      <c r="X107">
        <f>HYPERLINK("https://klasma.github.io/Logging_0488/kartor/A 13760-2022 karta.png", "A 13760-2022")</f>
        <v/>
      </c>
      <c r="Y107">
        <f>HYPERLINK("https://klasma.github.io/Logging_0488/kartor_geotiff/A 13760-2022 georefererad karta.tif", "A 13760-2022")</f>
        <v/>
      </c>
      <c r="AA107">
        <f>HYPERLINK("https://klasma.github.io/Logging_0488/klagomål/A 13760-2022 FSC-klagomål.docx", "A 13760-2022")</f>
        <v/>
      </c>
      <c r="AB107">
        <f>HYPERLINK("https://klasma.github.io/Logging_0488/klagomålsmail/A 13760-2022 FSC-klagomål mail.docx", "A 13760-2022")</f>
        <v/>
      </c>
      <c r="AC107">
        <f>HYPERLINK("https://klasma.github.io/Logging_0488/tillsyn/A 13760-2022 tillsynsbegäran.docx", "A 13760-2022")</f>
        <v/>
      </c>
      <c r="AD107">
        <f>HYPERLINK("https://klasma.github.io/Logging_0488/tillsynsmail/A 13760-2022 tillsynsbegäran mail.docx", "A 13760-2022")</f>
        <v/>
      </c>
      <c r="AE107">
        <f>HYPERLINK("https://klasma.github.io/Logging_0488/fåglar/A 13760-2022 prioriterade fågelarter.docx", "A 13760-2022")</f>
        <v/>
      </c>
    </row>
    <row r="108" ht="15" customHeight="1">
      <c r="A108" t="inlineStr">
        <is>
          <t>A 38832-2022</t>
        </is>
      </c>
      <c r="B108" t="inlineStr">
        <is>
          <t>avverkningsanmälan</t>
        </is>
      </c>
      <c r="C108" t="inlineStr">
        <is>
          <t>Föryngringsavverkning</t>
        </is>
      </c>
      <c r="D108" s="1" t="n">
        <v>44814</v>
      </c>
      <c r="E108" s="1" t="n">
        <v>46313</v>
      </c>
      <c r="F108" t="inlineStr">
        <is>
          <t>SÖDERMANLANDS LÄN</t>
        </is>
      </c>
      <c r="G108" t="inlineStr">
        <is>
          <t>FLEN</t>
        </is>
      </c>
      <c r="I108" t="n">
        <v>1.8</v>
      </c>
      <c r="J108" t="n">
        <v>2</v>
      </c>
      <c r="K108" t="n">
        <v>0</v>
      </c>
      <c r="L108" t="n">
        <v>2</v>
      </c>
      <c r="M108" t="n">
        <v>1</v>
      </c>
      <c r="N108" t="n">
        <v>1</v>
      </c>
      <c r="O108" t="n">
        <v>0</v>
      </c>
      <c r="P108" t="n">
        <v>0</v>
      </c>
      <c r="Q108" t="n">
        <v>4</v>
      </c>
      <c r="R108" t="n">
        <v>2</v>
      </c>
      <c r="S108" t="n">
        <v>5</v>
      </c>
      <c r="T108" t="n">
        <v>5</v>
      </c>
      <c r="U108" t="n">
        <v>1</v>
      </c>
      <c r="V108" s="2" t="inlineStr">
        <is>
          <t>Ask
Gulvit blekspik
Gulsparv
Tallticka
Skogsödla</t>
        </is>
      </c>
      <c r="W108">
        <f>HYPERLINK("https://klasma.github.io/Logging_0482/artfynd/A 38832-2022 artfynd.xlsx", "A 38832-2022")</f>
        <v/>
      </c>
      <c r="X108">
        <f>HYPERLINK("https://klasma.github.io/Logging_0482/kartor/A 38832-2022 karta.png", "A 38832-2022")</f>
        <v/>
      </c>
      <c r="Y108">
        <f>HYPERLINK("https://klasma.github.io/Logging_0482/kartor_geotiff/A 38832-2022 georefererad karta.tif", "A 38832-2022")</f>
        <v/>
      </c>
      <c r="AA108">
        <f>HYPERLINK("https://klasma.github.io/Logging_0482/klagomål/A 38832-2022 FSC-klagomål.docx", "A 38832-2022")</f>
        <v/>
      </c>
      <c r="AB108">
        <f>HYPERLINK("https://klasma.github.io/Logging_0482/klagomålsmail/A 38832-2022 FSC-klagomål mail.docx", "A 38832-2022")</f>
        <v/>
      </c>
      <c r="AC108">
        <f>HYPERLINK("https://klasma.github.io/Logging_0482/tillsyn/A 38832-2022 tillsynsbegäran.docx", "A 38832-2022")</f>
        <v/>
      </c>
      <c r="AD108">
        <f>HYPERLINK("https://klasma.github.io/Logging_0482/tillsynsmail/A 38832-2022 tillsynsbegäran mail.docx", "A 38832-2022")</f>
        <v/>
      </c>
      <c r="AE108">
        <f>HYPERLINK("https://klasma.github.io/Logging_0482/fåglar/A 38832-2022 prioriterade fågelarter.docx", "A 38832-2022")</f>
        <v/>
      </c>
    </row>
    <row r="109" ht="15" customHeight="1">
      <c r="A109" t="inlineStr">
        <is>
          <t>A 39773-2026</t>
        </is>
      </c>
      <c r="B109" t="inlineStr">
        <is>
          <t>avverkningsanmälan</t>
        </is>
      </c>
      <c r="C109" t="inlineStr">
        <is>
          <t>Föryngringsavverkning</t>
        </is>
      </c>
      <c r="D109" s="1" t="n">
        <v>46290</v>
      </c>
      <c r="E109" s="1" t="n">
        <v>46313</v>
      </c>
      <c r="F109" t="inlineStr">
        <is>
          <t>SÖDERMANLANDS LÄN</t>
        </is>
      </c>
      <c r="G109" t="inlineStr">
        <is>
          <t>NYKÖPING</t>
        </is>
      </c>
      <c r="H109" t="inlineStr">
        <is>
          <t>Holmen skog AB</t>
        </is>
      </c>
      <c r="I109" t="n">
        <v>3.6</v>
      </c>
      <c r="J109" t="n">
        <v>2</v>
      </c>
      <c r="K109" t="n">
        <v>2</v>
      </c>
      <c r="L109" t="n">
        <v>2</v>
      </c>
      <c r="M109" t="n">
        <v>0</v>
      </c>
      <c r="N109" t="n">
        <v>0</v>
      </c>
      <c r="O109" t="n">
        <v>0</v>
      </c>
      <c r="P109" t="n">
        <v>0</v>
      </c>
      <c r="Q109" t="n">
        <v>2</v>
      </c>
      <c r="R109" t="n">
        <v>0</v>
      </c>
      <c r="S109" t="n">
        <v>5</v>
      </c>
      <c r="T109" t="n">
        <v>5</v>
      </c>
      <c r="U109" t="n">
        <v>0</v>
      </c>
      <c r="V109" s="2" t="inlineStr">
        <is>
          <t>Månlåsbräken
Talltita
Blåmossa
Mindre märgborre
Grönsiska</t>
        </is>
      </c>
      <c r="W109">
        <f>HYPERLINK("https://klasma.github.io/Logging_0480/artfynd/A 39773-2026 artfynd.xlsx", "A 39773-2026")</f>
        <v/>
      </c>
      <c r="X109">
        <f>HYPERLINK("https://klasma.github.io/Logging_0480/kartor/A 39773-2026 karta.png", "A 39773-2026")</f>
        <v/>
      </c>
      <c r="Y109">
        <f>HYPERLINK("https://klasma.github.io/Logging_0480/kartor_geotiff/A 39773-2026 georefererad karta.tif", "A 39773-2026")</f>
        <v/>
      </c>
      <c r="AA109">
        <f>HYPERLINK("https://klasma.github.io/Logging_0480/klagomål/A 39773-2026 FSC-klagomål.docx", "A 39773-2026")</f>
        <v/>
      </c>
      <c r="AB109">
        <f>HYPERLINK("https://klasma.github.io/Logging_0480/klagomålsmail/A 39773-2026 FSC-klagomål mail.docx", "A 39773-2026")</f>
        <v/>
      </c>
      <c r="AC109">
        <f>HYPERLINK("https://klasma.github.io/Logging_0480/tillsyn/A 39773-2026 tillsynsbegäran.docx", "A 39773-2026")</f>
        <v/>
      </c>
      <c r="AD109">
        <f>HYPERLINK("https://klasma.github.io/Logging_0480/tillsynsmail/A 39773-2026 tillsynsbegäran mail.docx", "A 39773-2026")</f>
        <v/>
      </c>
      <c r="AE109">
        <f>HYPERLINK("https://klasma.github.io/Logging_0480/fåglar/A 39773-2026 prioriterade fågelarter.docx", "A 39773-2026")</f>
        <v/>
      </c>
    </row>
    <row r="110" ht="15" customHeight="1">
      <c r="A110" t="inlineStr">
        <is>
          <t>A 40831-2026</t>
        </is>
      </c>
      <c r="B110" t="inlineStr">
        <is>
          <t>avverkningsanmälan</t>
        </is>
      </c>
      <c r="C110" t="inlineStr">
        <is>
          <t>Avverkning för att bevara och utveckla /försöksver</t>
        </is>
      </c>
      <c r="D110" s="1" t="n">
        <v>46296</v>
      </c>
      <c r="E110" s="1" t="n">
        <v>46313</v>
      </c>
      <c r="F110" t="inlineStr">
        <is>
          <t>SÖDERMANLANDS LÄN</t>
        </is>
      </c>
      <c r="G110" t="inlineStr">
        <is>
          <t>ESKILSTUNA</t>
        </is>
      </c>
      <c r="H110" t="inlineStr">
        <is>
          <t>Sveaskog</t>
        </is>
      </c>
      <c r="I110" t="n">
        <v>0.8</v>
      </c>
      <c r="J110" t="n">
        <v>2</v>
      </c>
      <c r="K110" t="n">
        <v>3</v>
      </c>
      <c r="L110" t="n">
        <v>1</v>
      </c>
      <c r="M110" t="n">
        <v>0</v>
      </c>
      <c r="N110" t="n">
        <v>0</v>
      </c>
      <c r="O110" t="n">
        <v>0</v>
      </c>
      <c r="P110" t="n">
        <v>0</v>
      </c>
      <c r="Q110" t="n">
        <v>1</v>
      </c>
      <c r="R110" t="n">
        <v>0</v>
      </c>
      <c r="S110" t="n">
        <v>5</v>
      </c>
      <c r="T110" t="n">
        <v>5</v>
      </c>
      <c r="U110" t="n">
        <v>0</v>
      </c>
      <c r="V110" s="2" t="inlineStr">
        <is>
          <t>Mindre hackspett
Grov baronmossa
Piskbaronmossa
Platt fjädermossa
Blåsippa</t>
        </is>
      </c>
      <c r="W110">
        <f>HYPERLINK("https://klasma.github.io/Logging_0484/artfynd/A 40831-2026 artfynd.xlsx", "A 40831-2026")</f>
        <v/>
      </c>
      <c r="X110">
        <f>HYPERLINK("https://klasma.github.io/Logging_0484/kartor/A 40831-2026 karta.png", "A 40831-2026")</f>
        <v/>
      </c>
      <c r="Y110">
        <f>HYPERLINK("https://klasma.github.io/Logging_0484/kartor_geotiff/A 40831-2026 georefererad karta.tif", "A 40831-2026")</f>
        <v/>
      </c>
      <c r="AA110">
        <f>HYPERLINK("https://klasma.github.io/Logging_0484/klagomål/A 40831-2026 FSC-klagomål.docx", "A 40831-2026")</f>
        <v/>
      </c>
      <c r="AB110">
        <f>HYPERLINK("https://klasma.github.io/Logging_0484/klagomålsmail/A 40831-2026 FSC-klagomål mail.docx", "A 40831-2026")</f>
        <v/>
      </c>
      <c r="AC110">
        <f>HYPERLINK("https://klasma.github.io/Logging_0484/tillsyn/A 40831-2026 tillsynsbegäran.docx", "A 40831-2026")</f>
        <v/>
      </c>
      <c r="AD110">
        <f>HYPERLINK("https://klasma.github.io/Logging_0484/tillsynsmail/A 40831-2026 tillsynsbegäran mail.docx", "A 40831-2026")</f>
        <v/>
      </c>
      <c r="AE110">
        <f>HYPERLINK("https://klasma.github.io/Logging_0484/fåglar/A 40831-2026 prioriterade fågelarter.docx", "A 40831-2026")</f>
        <v/>
      </c>
    </row>
    <row r="111" ht="15" customHeight="1">
      <c r="A111" t="inlineStr">
        <is>
          <t>A 32901-2025</t>
        </is>
      </c>
      <c r="B111" t="inlineStr">
        <is>
          <t>avverkningsanmälan</t>
        </is>
      </c>
      <c r="C111" t="inlineStr">
        <is>
          <t>Föryngringsavverkning</t>
        </is>
      </c>
      <c r="D111" s="1" t="n">
        <v>45839</v>
      </c>
      <c r="E111" s="1" t="n">
        <v>46313</v>
      </c>
      <c r="F111" t="inlineStr">
        <is>
          <t>SÖDERMANLANDS LÄN</t>
        </is>
      </c>
      <c r="G111" t="inlineStr">
        <is>
          <t>FLEN</t>
        </is>
      </c>
      <c r="I111" t="n">
        <v>2.6</v>
      </c>
      <c r="J111" t="n">
        <v>1</v>
      </c>
      <c r="K111" t="n">
        <v>2</v>
      </c>
      <c r="L111" t="n">
        <v>2</v>
      </c>
      <c r="M111" t="n">
        <v>0</v>
      </c>
      <c r="N111" t="n">
        <v>0</v>
      </c>
      <c r="O111" t="n">
        <v>0</v>
      </c>
      <c r="P111" t="n">
        <v>0</v>
      </c>
      <c r="Q111" t="n">
        <v>2</v>
      </c>
      <c r="R111" t="n">
        <v>0</v>
      </c>
      <c r="S111" t="n">
        <v>5</v>
      </c>
      <c r="T111" t="n">
        <v>9</v>
      </c>
      <c r="U111" t="n">
        <v>5</v>
      </c>
      <c r="V111" s="2" t="inlineStr">
        <is>
          <t>Motaggsvamp
Ullticka
Blomkålssvamp
Flagellkvastmossa
Spillkråka</t>
        </is>
      </c>
      <c r="W111">
        <f>HYPERLINK("https://klasma.github.io/Logging_0482/artfynd/A 32901-2025 artfynd.xlsx", "A 32901-2025")</f>
        <v/>
      </c>
      <c r="X111">
        <f>HYPERLINK("https://klasma.github.io/Logging_0482/kartor/A 32901-2025 karta.png", "A 32901-2025")</f>
        <v/>
      </c>
      <c r="Y111">
        <f>HYPERLINK("https://klasma.github.io/Logging_0482/kartor_geotiff/A 32901-2025 georefererad karta.tif", "A 32901-2025")</f>
        <v/>
      </c>
      <c r="AA111">
        <f>HYPERLINK("https://klasma.github.io/Logging_0482/klagomål/A 32901-2025 FSC-klagomål.docx", "A 32901-2025")</f>
        <v/>
      </c>
      <c r="AB111">
        <f>HYPERLINK("https://klasma.github.io/Logging_0482/klagomålsmail/A 32901-2025 FSC-klagomål mail.docx", "A 32901-2025")</f>
        <v/>
      </c>
      <c r="AC111">
        <f>HYPERLINK("https://klasma.github.io/Logging_0482/tillsyn/A 32901-2025 tillsynsbegäran.docx", "A 32901-2025")</f>
        <v/>
      </c>
      <c r="AD111">
        <f>HYPERLINK("https://klasma.github.io/Logging_0482/tillsynsmail/A 32901-2025 tillsynsbegäran mail.docx", "A 32901-2025")</f>
        <v/>
      </c>
      <c r="AE111">
        <f>HYPERLINK("https://klasma.github.io/Logging_0482/fåglar/A 32901-2025 prioriterade fågelarter.docx", "A 32901-2025")</f>
        <v/>
      </c>
    </row>
    <row r="112" ht="15" customHeight="1">
      <c r="A112" t="inlineStr">
        <is>
          <t>A 50343-2024</t>
        </is>
      </c>
      <c r="B112" t="inlineStr">
        <is>
          <t>avverkningsanmälan</t>
        </is>
      </c>
      <c r="C112" t="inlineStr">
        <is>
          <t>Föryngringsavverkning</t>
        </is>
      </c>
      <c r="D112" s="1" t="n">
        <v>45600</v>
      </c>
      <c r="E112" s="1" t="n">
        <v>46313</v>
      </c>
      <c r="F112" t="inlineStr">
        <is>
          <t>SÖDERMANLANDS LÄN</t>
        </is>
      </c>
      <c r="G112" t="inlineStr">
        <is>
          <t>FLEN</t>
        </is>
      </c>
      <c r="H112" t="inlineStr">
        <is>
          <t>Övriga statliga verk och myndigheter</t>
        </is>
      </c>
      <c r="I112" t="n">
        <v>3.6</v>
      </c>
      <c r="J112" t="n">
        <v>1</v>
      </c>
      <c r="K112" t="n">
        <v>0</v>
      </c>
      <c r="L112" t="n">
        <v>2</v>
      </c>
      <c r="M112" t="n">
        <v>0</v>
      </c>
      <c r="N112" t="n">
        <v>0</v>
      </c>
      <c r="O112" t="n">
        <v>0</v>
      </c>
      <c r="P112" t="n">
        <v>0</v>
      </c>
      <c r="Q112" t="n">
        <v>2</v>
      </c>
      <c r="R112" t="n">
        <v>0</v>
      </c>
      <c r="S112" t="n">
        <v>5</v>
      </c>
      <c r="T112" t="n">
        <v>5</v>
      </c>
      <c r="U112" t="n">
        <v>5</v>
      </c>
      <c r="V112" s="2" t="inlineStr">
        <is>
          <t>Svartöra
Tallticka
Blåsippa
Liljekonvalj
Vildkaprifol</t>
        </is>
      </c>
      <c r="W112">
        <f>HYPERLINK("https://klasma.github.io/Logging_0482/artfynd/A 50343-2024 artfynd.xlsx", "A 50343-2024")</f>
        <v/>
      </c>
      <c r="X112">
        <f>HYPERLINK("https://klasma.github.io/Logging_0482/kartor/A 50343-2024 karta.png", "A 50343-2024")</f>
        <v/>
      </c>
      <c r="Y112">
        <f>HYPERLINK("https://klasma.github.io/Logging_0482/kartor_geotiff/A 50343-2024 georefererad karta.tif", "A 50343-2024")</f>
        <v/>
      </c>
      <c r="AA112">
        <f>HYPERLINK("https://klasma.github.io/Logging_0482/klagomål/A 50343-2024 FSC-klagomål.docx", "A 50343-2024")</f>
        <v/>
      </c>
      <c r="AB112">
        <f>HYPERLINK("https://klasma.github.io/Logging_0482/klagomålsmail/A 50343-2024 FSC-klagomål mail.docx", "A 50343-2024")</f>
        <v/>
      </c>
      <c r="AC112">
        <f>HYPERLINK("https://klasma.github.io/Logging_0482/tillsyn/A 50343-2024 tillsynsbegäran.docx", "A 50343-2024")</f>
        <v/>
      </c>
      <c r="AD112">
        <f>HYPERLINK("https://klasma.github.io/Logging_0482/tillsynsmail/A 50343-2024 tillsynsbegäran mail.docx", "A 50343-2024")</f>
        <v/>
      </c>
    </row>
    <row r="113" ht="15" customHeight="1">
      <c r="A113" t="inlineStr">
        <is>
          <t>S 3837-2022</t>
        </is>
      </c>
      <c r="B113" t="inlineStr">
        <is>
          <t>samrådsanmälan</t>
        </is>
      </c>
      <c r="C113" t="inlineStr">
        <is>
          <t>Åtgärd i nyckelbiotop</t>
        </is>
      </c>
      <c r="D113" s="1" t="n">
        <v>44746</v>
      </c>
      <c r="E113" s="1" t="n">
        <v>46313</v>
      </c>
      <c r="F113" t="inlineStr">
        <is>
          <t>SÖDERMANLANDS LÄN</t>
        </is>
      </c>
      <c r="G113" t="inlineStr">
        <is>
          <t>NYKÖPING</t>
        </is>
      </c>
      <c r="I113" t="n">
        <v>3.1</v>
      </c>
      <c r="J113" t="n">
        <v>0</v>
      </c>
      <c r="K113" t="n">
        <v>1</v>
      </c>
      <c r="L113" t="n">
        <v>4</v>
      </c>
      <c r="M113" t="n">
        <v>0</v>
      </c>
      <c r="N113" t="n">
        <v>0</v>
      </c>
      <c r="O113" t="n">
        <v>0</v>
      </c>
      <c r="P113" t="n">
        <v>0</v>
      </c>
      <c r="Q113" t="n">
        <v>4</v>
      </c>
      <c r="R113" t="n">
        <v>0</v>
      </c>
      <c r="S113" t="n">
        <v>5</v>
      </c>
      <c r="T113" t="n">
        <v>5</v>
      </c>
      <c r="U113" t="n">
        <v>0</v>
      </c>
      <c r="V113" s="2" t="inlineStr">
        <is>
          <t>Fjällig taggsvamp s.str.
Sotvaxskivling
Tallticka
Tjockfotad fingersvamp
Grovticka</t>
        </is>
      </c>
      <c r="W113">
        <f>HYPERLINK("https://klasma.github.io/Logging_0480/artfynd/S 3837-2022 artfynd.xlsx", "S 3837-2022")</f>
        <v/>
      </c>
      <c r="X113">
        <f>HYPERLINK("https://klasma.github.io/Logging_0480/kartor/S 3837-2022 karta.png", "S 3837-2022")</f>
        <v/>
      </c>
      <c r="Y113">
        <f>HYPERLINK("https://klasma.github.io/Logging_0480/kartor_geotiff/S 3837-2022 georefererad karta.tif", "S 3837-2022")</f>
        <v/>
      </c>
      <c r="AA113">
        <f>HYPERLINK("https://klasma.github.io/Logging_0480/klagomål/S 3837-2022 FSC-klagomål.docx", "S 3837-2022")</f>
        <v/>
      </c>
      <c r="AB113">
        <f>HYPERLINK("https://klasma.github.io/Logging_0480/klagomålsmail/S 3837-2022 FSC-klagomål mail.docx", "S 3837-2022")</f>
        <v/>
      </c>
      <c r="AC113">
        <f>HYPERLINK("https://klasma.github.io/Logging_0480/tillsyn/S 3837-2022 tillsynsbegäran.docx", "S 3837-2022")</f>
        <v/>
      </c>
      <c r="AD113">
        <f>HYPERLINK("https://klasma.github.io/Logging_0480/tillsynsmail/S 3837-2022 tillsynsbegäran mail.docx", "S 3837-2022")</f>
        <v/>
      </c>
    </row>
    <row r="114" ht="15" customHeight="1">
      <c r="A114" t="inlineStr">
        <is>
          <t>S 3293-2022</t>
        </is>
      </c>
      <c r="B114" t="inlineStr">
        <is>
          <t>samrådsanmälan</t>
        </is>
      </c>
      <c r="C114" t="inlineStr">
        <is>
          <t>Åtgärd i nyckelbiotop</t>
        </is>
      </c>
      <c r="D114" s="1" t="n">
        <v>44726</v>
      </c>
      <c r="E114" s="1" t="n">
        <v>46313</v>
      </c>
      <c r="F114" t="inlineStr">
        <is>
          <t>SÖDERMANLANDS LÄN</t>
        </is>
      </c>
      <c r="G114" t="inlineStr">
        <is>
          <t>NYKÖPING</t>
        </is>
      </c>
      <c r="I114" t="n">
        <v>2.5</v>
      </c>
      <c r="J114" t="n">
        <v>0</v>
      </c>
      <c r="K114" t="n">
        <v>1</v>
      </c>
      <c r="L114" t="n">
        <v>4</v>
      </c>
      <c r="M114" t="n">
        <v>0</v>
      </c>
      <c r="N114" t="n">
        <v>0</v>
      </c>
      <c r="O114" t="n">
        <v>0</v>
      </c>
      <c r="P114" t="n">
        <v>0</v>
      </c>
      <c r="Q114" t="n">
        <v>4</v>
      </c>
      <c r="R114" t="n">
        <v>0</v>
      </c>
      <c r="S114" t="n">
        <v>5</v>
      </c>
      <c r="T114" t="n">
        <v>5</v>
      </c>
      <c r="U114" t="n">
        <v>0</v>
      </c>
      <c r="V114" s="2" t="inlineStr">
        <is>
          <t>Fjällig taggsvamp s.str.
Sotvaxskivling
Tallticka
Tjockfotad fingersvamp
Grovticka</t>
        </is>
      </c>
      <c r="W114">
        <f>HYPERLINK("https://klasma.github.io/Logging_0480/artfynd/S 3293-2022 artfynd.xlsx", "S 3293-2022")</f>
        <v/>
      </c>
      <c r="X114">
        <f>HYPERLINK("https://klasma.github.io/Logging_0480/kartor/S 3293-2022 karta.png", "S 3293-2022")</f>
        <v/>
      </c>
      <c r="Y114">
        <f>HYPERLINK("https://klasma.github.io/Logging_0480/kartor_geotiff/S 3293-2022 georefererad karta.tif", "S 3293-2022")</f>
        <v/>
      </c>
      <c r="AA114">
        <f>HYPERLINK("https://klasma.github.io/Logging_0480/klagomål/S 3293-2022 FSC-klagomål.docx", "S 3293-2022")</f>
        <v/>
      </c>
      <c r="AB114">
        <f>HYPERLINK("https://klasma.github.io/Logging_0480/klagomålsmail/S 3293-2022 FSC-klagomål mail.docx", "S 3293-2022")</f>
        <v/>
      </c>
      <c r="AC114">
        <f>HYPERLINK("https://klasma.github.io/Logging_0480/tillsyn/S 3293-2022 tillsynsbegäran.docx", "S 3293-2022")</f>
        <v/>
      </c>
      <c r="AD114">
        <f>HYPERLINK("https://klasma.github.io/Logging_0480/tillsynsmail/S 3293-2022 tillsynsbegäran mail.docx", "S 3293-2022")</f>
        <v/>
      </c>
    </row>
    <row r="115" ht="15" customHeight="1">
      <c r="A115" t="inlineStr">
        <is>
          <t>S 2560-2023</t>
        </is>
      </c>
      <c r="B115" t="inlineStr">
        <is>
          <t>samrådsanmälan</t>
        </is>
      </c>
      <c r="C115" t="inlineStr">
        <is>
          <t>Annan skogsbruksåtgärd</t>
        </is>
      </c>
      <c r="D115" s="1" t="n">
        <v>45141</v>
      </c>
      <c r="E115" s="1" t="n">
        <v>46313</v>
      </c>
      <c r="F115" t="inlineStr">
        <is>
          <t>SÖDERMANLANDS LÄN</t>
        </is>
      </c>
      <c r="G115" t="inlineStr">
        <is>
          <t>TROSA</t>
        </is>
      </c>
      <c r="I115" t="n">
        <v>8</v>
      </c>
      <c r="J115" t="n">
        <v>2</v>
      </c>
      <c r="K115" t="n">
        <v>1</v>
      </c>
      <c r="L115" t="n">
        <v>1</v>
      </c>
      <c r="M115" t="n">
        <v>0</v>
      </c>
      <c r="N115" t="n">
        <v>1</v>
      </c>
      <c r="O115" t="n">
        <v>0</v>
      </c>
      <c r="P115" t="n">
        <v>0</v>
      </c>
      <c r="Q115" t="n">
        <v>2</v>
      </c>
      <c r="R115" t="n">
        <v>1</v>
      </c>
      <c r="S115" t="n">
        <v>5</v>
      </c>
      <c r="T115" t="n">
        <v>5</v>
      </c>
      <c r="U115" t="n">
        <v>2</v>
      </c>
      <c r="V115" s="2" t="inlineStr">
        <is>
          <t>Ask
Vårärt
Brun nållav
Näktergal
Ärtsångare</t>
        </is>
      </c>
      <c r="W115">
        <f>HYPERLINK("https://klasma.github.io/Logging_0488/artfynd/S 2560-2023 artfynd.xlsx", "S 2560-2023")</f>
        <v/>
      </c>
      <c r="X115">
        <f>HYPERLINK("https://klasma.github.io/Logging_0488/kartor/S 2560-2023 karta.png", "S 2560-2023")</f>
        <v/>
      </c>
      <c r="Y115">
        <f>HYPERLINK("https://klasma.github.io/Logging_0488/kartor_geotiff/S 2560-2023 georefererad karta.tif", "S 2560-2023")</f>
        <v/>
      </c>
      <c r="AA115">
        <f>HYPERLINK("https://klasma.github.io/Logging_0488/klagomål/S 2560-2023 FSC-klagomål.docx", "S 2560-2023")</f>
        <v/>
      </c>
      <c r="AB115">
        <f>HYPERLINK("https://klasma.github.io/Logging_0488/klagomålsmail/S 2560-2023 FSC-klagomål mail.docx", "S 2560-2023")</f>
        <v/>
      </c>
      <c r="AC115">
        <f>HYPERLINK("https://klasma.github.io/Logging_0488/tillsyn/S 2560-2023 tillsynsbegäran.docx", "S 2560-2023")</f>
        <v/>
      </c>
      <c r="AD115">
        <f>HYPERLINK("https://klasma.github.io/Logging_0488/tillsynsmail/S 2560-2023 tillsynsbegäran mail.docx", "S 2560-2023")</f>
        <v/>
      </c>
      <c r="AE115">
        <f>HYPERLINK("https://klasma.github.io/Logging_0488/fåglar/S 2560-2023 prioriterade fågelarter.docx", "S 2560-2023")</f>
        <v/>
      </c>
    </row>
    <row r="116" ht="15" customHeight="1">
      <c r="A116" t="inlineStr">
        <is>
          <t>S 635-2025</t>
        </is>
      </c>
      <c r="B116" t="inlineStr">
        <is>
          <t>samrådsanmälan</t>
        </is>
      </c>
      <c r="C116" t="inlineStr">
        <is>
          <t>Skogsgödsling</t>
        </is>
      </c>
      <c r="D116" s="1" t="n">
        <v>45714</v>
      </c>
      <c r="E116" s="1" t="n">
        <v>46313</v>
      </c>
      <c r="F116" t="inlineStr">
        <is>
          <t>SÖDERMANLANDS LÄN</t>
        </is>
      </c>
      <c r="G116" t="inlineStr">
        <is>
          <t>FLEN</t>
        </is>
      </c>
      <c r="H116" t="inlineStr">
        <is>
          <t>Holmen skog AB</t>
        </is>
      </c>
      <c r="I116" t="n">
        <v>30.6</v>
      </c>
      <c r="J116" t="n">
        <v>2</v>
      </c>
      <c r="K116" t="n">
        <v>1</v>
      </c>
      <c r="L116" t="n">
        <v>2</v>
      </c>
      <c r="M116" t="n">
        <v>0</v>
      </c>
      <c r="N116" t="n">
        <v>0</v>
      </c>
      <c r="O116" t="n">
        <v>0</v>
      </c>
      <c r="P116" t="n">
        <v>0</v>
      </c>
      <c r="Q116" t="n">
        <v>2</v>
      </c>
      <c r="R116" t="n">
        <v>0</v>
      </c>
      <c r="S116" t="n">
        <v>5</v>
      </c>
      <c r="T116" t="n">
        <v>5</v>
      </c>
      <c r="U116" t="n">
        <v>0</v>
      </c>
      <c r="V116" s="2" t="inlineStr">
        <is>
          <t>Svedjenäva
Svinrot
Tibast
Blåsippa
Gullviva</t>
        </is>
      </c>
      <c r="W116">
        <f>HYPERLINK("https://klasma.github.io/Logging_0482/artfynd/S 635-2025 artfynd.xlsx", "S 635-2025")</f>
        <v/>
      </c>
      <c r="X116">
        <f>HYPERLINK("https://klasma.github.io/Logging_0482/kartor/S 635-2025 karta.png", "S 635-2025")</f>
        <v/>
      </c>
      <c r="Y116">
        <f>HYPERLINK("https://klasma.github.io/Logging_0482/kartor_geotiff/S 635-2025 georefererad karta.tif", "S 635-2025")</f>
        <v/>
      </c>
      <c r="AA116">
        <f>HYPERLINK("https://klasma.github.io/Logging_0482/klagomål/S 635-2025 FSC-klagomål.docx", "S 635-2025")</f>
        <v/>
      </c>
      <c r="AB116">
        <f>HYPERLINK("https://klasma.github.io/Logging_0482/klagomålsmail/S 635-2025 FSC-klagomål mail.docx", "S 635-2025")</f>
        <v/>
      </c>
      <c r="AC116">
        <f>HYPERLINK("https://klasma.github.io/Logging_0482/tillsyn/S 635-2025 tillsynsbegäran.docx", "S 635-2025")</f>
        <v/>
      </c>
      <c r="AD116">
        <f>HYPERLINK("https://klasma.github.io/Logging_0482/tillsynsmail/S 635-2025 tillsynsbegäran mail.docx", "S 635-2025")</f>
        <v/>
      </c>
    </row>
    <row r="117" ht="15" customHeight="1">
      <c r="A117" t="inlineStr">
        <is>
          <t>S 2575-2026</t>
        </is>
      </c>
      <c r="B117" t="inlineStr">
        <is>
          <t>samrådsanmälan</t>
        </is>
      </c>
      <c r="C117" t="inlineStr">
        <is>
          <t>Annan skogsbruksåtgärd</t>
        </is>
      </c>
      <c r="D117" s="1" t="n">
        <v>46296</v>
      </c>
      <c r="E117" s="1" t="n">
        <v>46313</v>
      </c>
      <c r="F117" t="inlineStr">
        <is>
          <t>SÖDERMANLANDS LÄN</t>
        </is>
      </c>
      <c r="G117" t="inlineStr">
        <is>
          <t>ESKILSTUNA</t>
        </is>
      </c>
      <c r="H117" t="inlineStr">
        <is>
          <t>Sveaskog</t>
        </is>
      </c>
      <c r="I117" t="n">
        <v>0.8</v>
      </c>
      <c r="J117" t="n">
        <v>2</v>
      </c>
      <c r="K117" t="n">
        <v>3</v>
      </c>
      <c r="L117" t="n">
        <v>1</v>
      </c>
      <c r="M117" t="n">
        <v>0</v>
      </c>
      <c r="N117" t="n">
        <v>0</v>
      </c>
      <c r="O117" t="n">
        <v>0</v>
      </c>
      <c r="P117" t="n">
        <v>0</v>
      </c>
      <c r="Q117" t="n">
        <v>1</v>
      </c>
      <c r="R117" t="n">
        <v>0</v>
      </c>
      <c r="S117" t="n">
        <v>5</v>
      </c>
      <c r="T117" t="n">
        <v>5</v>
      </c>
      <c r="U117" t="n">
        <v>0</v>
      </c>
      <c r="V117" s="2" t="inlineStr">
        <is>
          <t>Mindre hackspett
Grov baronmossa
Piskbaronmossa
Platt fjädermossa
Blåsippa</t>
        </is>
      </c>
      <c r="W117">
        <f>HYPERLINK("https://klasma.github.io/Logging_0484/artfynd/S 2575-2026 artfynd.xlsx", "S 2575-2026")</f>
        <v/>
      </c>
      <c r="X117">
        <f>HYPERLINK("https://klasma.github.io/Logging_0484/kartor/S 2575-2026 karta.png", "S 2575-2026")</f>
        <v/>
      </c>
      <c r="Y117">
        <f>HYPERLINK("https://klasma.github.io/Logging_0484/kartor_geotiff/S 2575-2026 georefererad karta.tif", "S 2575-2026")</f>
        <v/>
      </c>
      <c r="AA117">
        <f>HYPERLINK("https://klasma.github.io/Logging_0484/klagomål/S 2575-2026 FSC-klagomål.docx", "S 2575-2026")</f>
        <v/>
      </c>
      <c r="AB117">
        <f>HYPERLINK("https://klasma.github.io/Logging_0484/klagomålsmail/S 2575-2026 FSC-klagomål mail.docx", "S 2575-2026")</f>
        <v/>
      </c>
      <c r="AC117">
        <f>HYPERLINK("https://klasma.github.io/Logging_0484/tillsyn/S 2575-2026 tillsynsbegäran.docx", "S 2575-2026")</f>
        <v/>
      </c>
      <c r="AD117">
        <f>HYPERLINK("https://klasma.github.io/Logging_0484/tillsynsmail/S 2575-2026 tillsynsbegäran mail.docx", "S 2575-2026")</f>
        <v/>
      </c>
      <c r="AE117">
        <f>HYPERLINK("https://klasma.github.io/Logging_0484/fåglar/S 2575-2026 prioriterade fågelarter.docx", "S 2575-2026")</f>
        <v/>
      </c>
    </row>
    <row r="118" ht="15" customHeight="1">
      <c r="A118" t="inlineStr">
        <is>
          <t>A 2968-2022</t>
        </is>
      </c>
      <c r="B118" t="inlineStr">
        <is>
          <t>avverkningsanmälan</t>
        </is>
      </c>
      <c r="C118" t="inlineStr">
        <is>
          <t>Föryngringsavverkning</t>
        </is>
      </c>
      <c r="D118" s="1" t="n">
        <v>44581</v>
      </c>
      <c r="E118" s="1" t="n">
        <v>46313</v>
      </c>
      <c r="F118" t="inlineStr">
        <is>
          <t>SÖDERMANLANDS LÄN</t>
        </is>
      </c>
      <c r="G118" t="inlineStr">
        <is>
          <t>ESKILSTUNA</t>
        </is>
      </c>
      <c r="H118" t="inlineStr">
        <is>
          <t>Kommuner</t>
        </is>
      </c>
      <c r="I118" t="n">
        <v>5</v>
      </c>
      <c r="J118" t="n">
        <v>1</v>
      </c>
      <c r="K118" t="n">
        <v>2</v>
      </c>
      <c r="L118" t="n">
        <v>1</v>
      </c>
      <c r="M118" t="n">
        <v>0</v>
      </c>
      <c r="N118" t="n">
        <v>0</v>
      </c>
      <c r="O118" t="n">
        <v>0</v>
      </c>
      <c r="P118" t="n">
        <v>0</v>
      </c>
      <c r="Q118" t="n">
        <v>1</v>
      </c>
      <c r="R118" t="n">
        <v>0</v>
      </c>
      <c r="S118" t="n">
        <v>4</v>
      </c>
      <c r="T118" t="n">
        <v>4</v>
      </c>
      <c r="U118" t="n">
        <v>0</v>
      </c>
      <c r="V118" s="2" t="inlineStr">
        <is>
          <t>Dropptaggsvamp
Bronshjon
Vedticka
Blåsippa</t>
        </is>
      </c>
      <c r="W118">
        <f>HYPERLINK("https://klasma.github.io/Logging_0484/artfynd/A 2968-2022 artfynd.xlsx", "A 2968-2022")</f>
        <v/>
      </c>
      <c r="X118">
        <f>HYPERLINK("https://klasma.github.io/Logging_0484/kartor/A 2968-2022 karta.png", "A 2968-2022")</f>
        <v/>
      </c>
      <c r="Y118">
        <f>HYPERLINK("https://klasma.github.io/Logging_0484/kartor_geotiff/A 2968-2022 georefererad karta.tif", "A 2968-2022")</f>
        <v/>
      </c>
      <c r="AA118">
        <f>HYPERLINK("https://klasma.github.io/Logging_0484/klagomål/A 2968-2022 FSC-klagomål.docx", "A 2968-2022")</f>
        <v/>
      </c>
      <c r="AB118">
        <f>HYPERLINK("https://klasma.github.io/Logging_0484/klagomålsmail/A 2968-2022 FSC-klagomål mail.docx", "A 2968-2022")</f>
        <v/>
      </c>
      <c r="AC118">
        <f>HYPERLINK("https://klasma.github.io/Logging_0484/tillsyn/A 2968-2022 tillsynsbegäran.docx", "A 2968-2022")</f>
        <v/>
      </c>
      <c r="AD118">
        <f>HYPERLINK("https://klasma.github.io/Logging_0484/tillsynsmail/A 2968-2022 tillsynsbegäran mail.docx", "A 2968-2022")</f>
        <v/>
      </c>
    </row>
    <row r="119" ht="15" customHeight="1">
      <c r="A119" t="inlineStr">
        <is>
          <t>A 5859-2022</t>
        </is>
      </c>
      <c r="B119" t="inlineStr">
        <is>
          <t>avverkningsanmälan</t>
        </is>
      </c>
      <c r="C119" t="inlineStr">
        <is>
          <t>Föryngringsavverkning</t>
        </is>
      </c>
      <c r="D119" s="1" t="n">
        <v>44596</v>
      </c>
      <c r="E119" s="1" t="n">
        <v>46313</v>
      </c>
      <c r="F119" t="inlineStr">
        <is>
          <t>SÖDERMANLANDS LÄN</t>
        </is>
      </c>
      <c r="G119" t="inlineStr">
        <is>
          <t>FLEN</t>
        </is>
      </c>
      <c r="I119" t="n">
        <v>0.6</v>
      </c>
      <c r="J119" t="n">
        <v>1</v>
      </c>
      <c r="K119" t="n">
        <v>3</v>
      </c>
      <c r="L119" t="n">
        <v>0</v>
      </c>
      <c r="M119" t="n">
        <v>0</v>
      </c>
      <c r="N119" t="n">
        <v>0</v>
      </c>
      <c r="O119" t="n">
        <v>0</v>
      </c>
      <c r="P119" t="n">
        <v>0</v>
      </c>
      <c r="Q119" t="n">
        <v>0</v>
      </c>
      <c r="R119" t="n">
        <v>0</v>
      </c>
      <c r="S119" t="n">
        <v>4</v>
      </c>
      <c r="T119" t="n">
        <v>5</v>
      </c>
      <c r="U119" t="n">
        <v>5</v>
      </c>
      <c r="V119" s="2" t="inlineStr">
        <is>
          <t>Fällmossa
Granbarkgnagare
Svart trolldruva
Blåsippa</t>
        </is>
      </c>
      <c r="W119">
        <f>HYPERLINK("https://klasma.github.io/Logging_0482/artfynd/A 5859-2022 artfynd.xlsx", "A 5859-2022")</f>
        <v/>
      </c>
      <c r="X119">
        <f>HYPERLINK("https://klasma.github.io/Logging_0482/kartor/A 5859-2022 karta.png", "A 5859-2022")</f>
        <v/>
      </c>
      <c r="Y119">
        <f>HYPERLINK("https://klasma.github.io/Logging_0482/kartor_geotiff/A 5859-2022 georefererad karta.tif", "A 5859-2022")</f>
        <v/>
      </c>
      <c r="AA119">
        <f>HYPERLINK("https://klasma.github.io/Logging_0482/klagomål/A 5859-2022 FSC-klagomål.docx", "A 5859-2022")</f>
        <v/>
      </c>
      <c r="AB119">
        <f>HYPERLINK("https://klasma.github.io/Logging_0482/klagomålsmail/A 5859-2022 FSC-klagomål mail.docx", "A 5859-2022")</f>
        <v/>
      </c>
      <c r="AC119">
        <f>HYPERLINK("https://klasma.github.io/Logging_0482/tillsyn/A 5859-2022 tillsynsbegäran.docx", "A 5859-2022")</f>
        <v/>
      </c>
      <c r="AD119">
        <f>HYPERLINK("https://klasma.github.io/Logging_0482/tillsynsmail/A 5859-2022 tillsynsbegäran mail.docx", "A 5859-2022")</f>
        <v/>
      </c>
    </row>
    <row r="120" ht="15" customHeight="1">
      <c r="A120" t="inlineStr">
        <is>
          <t>A 4212-2023</t>
        </is>
      </c>
      <c r="B120" t="inlineStr">
        <is>
          <t>avverkningsanmälan</t>
        </is>
      </c>
      <c r="C120" t="inlineStr">
        <is>
          <t>Föryngringsavverkning</t>
        </is>
      </c>
      <c r="D120" s="1" t="n">
        <v>44953</v>
      </c>
      <c r="E120" s="1" t="n">
        <v>46313</v>
      </c>
      <c r="F120" t="inlineStr">
        <is>
          <t>SÖDERMANLANDS LÄN</t>
        </is>
      </c>
      <c r="G120" t="inlineStr">
        <is>
          <t>ESKILSTUNA</t>
        </is>
      </c>
      <c r="H120" t="inlineStr">
        <is>
          <t>Kyrkan</t>
        </is>
      </c>
      <c r="I120" t="n">
        <v>0.7</v>
      </c>
      <c r="J120" t="n">
        <v>2</v>
      </c>
      <c r="K120" t="n">
        <v>2</v>
      </c>
      <c r="L120" t="n">
        <v>1</v>
      </c>
      <c r="M120" t="n">
        <v>0</v>
      </c>
      <c r="N120" t="n">
        <v>0</v>
      </c>
      <c r="O120" t="n">
        <v>0</v>
      </c>
      <c r="P120" t="n">
        <v>0</v>
      </c>
      <c r="Q120" t="n">
        <v>1</v>
      </c>
      <c r="R120" t="n">
        <v>0</v>
      </c>
      <c r="S120" t="n">
        <v>4</v>
      </c>
      <c r="T120" t="n">
        <v>5</v>
      </c>
      <c r="U120" t="n">
        <v>2</v>
      </c>
      <c r="V120" s="2" t="inlineStr">
        <is>
          <t>Mindre hackspett
Granbarkgnagare
Grönpyrola
Blåsippa</t>
        </is>
      </c>
      <c r="W120">
        <f>HYPERLINK("https://klasma.github.io/Logging_0484/artfynd/A 4212-2023 artfynd.xlsx", "A 4212-2023")</f>
        <v/>
      </c>
      <c r="X120">
        <f>HYPERLINK("https://klasma.github.io/Logging_0484/kartor/A 4212-2023 karta.png", "A 4212-2023")</f>
        <v/>
      </c>
      <c r="Y120">
        <f>HYPERLINK("https://klasma.github.io/Logging_0484/kartor_geotiff/A 4212-2023 georefererad karta.tif", "A 4212-2023")</f>
        <v/>
      </c>
      <c r="Z120">
        <f>HYPERLINK("https://klasma.github.io/Logging_0484/knärot/A 4212-2023 karta knärot.png", "A 4212-2023")</f>
        <v/>
      </c>
      <c r="AA120">
        <f>HYPERLINK("https://klasma.github.io/Logging_0484/klagomål/A 4212-2023 FSC-klagomål.docx", "A 4212-2023")</f>
        <v/>
      </c>
      <c r="AB120">
        <f>HYPERLINK("https://klasma.github.io/Logging_0484/klagomålsmail/A 4212-2023 FSC-klagomål mail.docx", "A 4212-2023")</f>
        <v/>
      </c>
      <c r="AC120">
        <f>HYPERLINK("https://klasma.github.io/Logging_0484/tillsyn/A 4212-2023 tillsynsbegäran.docx", "A 4212-2023")</f>
        <v/>
      </c>
      <c r="AD120">
        <f>HYPERLINK("https://klasma.github.io/Logging_0484/tillsynsmail/A 4212-2023 tillsynsbegäran mail.docx", "A 4212-2023")</f>
        <v/>
      </c>
      <c r="AE120">
        <f>HYPERLINK("https://klasma.github.io/Logging_0484/fåglar/A 4212-2023 prioriterade fågelarter.docx", "A 4212-2023")</f>
        <v/>
      </c>
    </row>
    <row r="121" ht="15" customHeight="1">
      <c r="A121" t="inlineStr">
        <is>
          <t>A 73482-2021</t>
        </is>
      </c>
      <c r="B121" t="inlineStr">
        <is>
          <t>avverkningsanmälan</t>
        </is>
      </c>
      <c r="C121" t="inlineStr">
        <is>
          <t>Föryngringsavverkning</t>
        </is>
      </c>
      <c r="D121" s="1" t="n">
        <v>44551</v>
      </c>
      <c r="E121" s="1" t="n">
        <v>46313</v>
      </c>
      <c r="F121" t="inlineStr">
        <is>
          <t>SÖDERMANLANDS LÄN</t>
        </is>
      </c>
      <c r="G121" t="inlineStr">
        <is>
          <t>GNESTA</t>
        </is>
      </c>
      <c r="I121" t="n">
        <v>1.9</v>
      </c>
      <c r="J121" t="n">
        <v>0</v>
      </c>
      <c r="K121" t="n">
        <v>1</v>
      </c>
      <c r="L121" t="n">
        <v>3</v>
      </c>
      <c r="M121" t="n">
        <v>0</v>
      </c>
      <c r="N121" t="n">
        <v>0</v>
      </c>
      <c r="O121" t="n">
        <v>0</v>
      </c>
      <c r="P121" t="n">
        <v>0</v>
      </c>
      <c r="Q121" t="n">
        <v>3</v>
      </c>
      <c r="R121" t="n">
        <v>0</v>
      </c>
      <c r="S121" t="n">
        <v>4</v>
      </c>
      <c r="T121" t="n">
        <v>4</v>
      </c>
      <c r="U121" t="n">
        <v>4</v>
      </c>
      <c r="V121" s="2" t="inlineStr">
        <is>
          <t>Kandelabersvamp
Storgröe
Vårärt
Svart trolldruva</t>
        </is>
      </c>
      <c r="W121">
        <f>HYPERLINK("https://klasma.github.io/Logging_0461/artfynd/A 73482-2021 artfynd.xlsx", "A 73482-2021")</f>
        <v/>
      </c>
      <c r="X121">
        <f>HYPERLINK("https://klasma.github.io/Logging_0461/kartor/A 73482-2021 karta.png", "A 73482-2021")</f>
        <v/>
      </c>
      <c r="Y121">
        <f>HYPERLINK("https://klasma.github.io/Logging_0461/kartor_geotiff/A 73482-2021 georefererad karta.tif", "A 73482-2021")</f>
        <v/>
      </c>
      <c r="AA121">
        <f>HYPERLINK("https://klasma.github.io/Logging_0461/klagomål/A 73482-2021 FSC-klagomål.docx", "A 73482-2021")</f>
        <v/>
      </c>
      <c r="AB121">
        <f>HYPERLINK("https://klasma.github.io/Logging_0461/klagomålsmail/A 73482-2021 FSC-klagomål mail.docx", "A 73482-2021")</f>
        <v/>
      </c>
      <c r="AC121">
        <f>HYPERLINK("https://klasma.github.io/Logging_0461/tillsyn/A 73482-2021 tillsynsbegäran.docx", "A 73482-2021")</f>
        <v/>
      </c>
      <c r="AD121">
        <f>HYPERLINK("https://klasma.github.io/Logging_0461/tillsynsmail/A 73482-2021 tillsynsbegäran mail.docx", "A 73482-2021")</f>
        <v/>
      </c>
    </row>
    <row r="122" ht="15" customHeight="1">
      <c r="A122" t="inlineStr">
        <is>
          <t>A 70501-2021</t>
        </is>
      </c>
      <c r="B122" t="inlineStr">
        <is>
          <t>avverkningsanmälan</t>
        </is>
      </c>
      <c r="C122" t="inlineStr">
        <is>
          <t>Föryngringsavverkning</t>
        </is>
      </c>
      <c r="D122" s="1" t="n">
        <v>44536</v>
      </c>
      <c r="E122" s="1" t="n">
        <v>46313</v>
      </c>
      <c r="F122" t="inlineStr">
        <is>
          <t>SÖDERMANLANDS LÄN</t>
        </is>
      </c>
      <c r="G122" t="inlineStr">
        <is>
          <t>KATRINEHOLM</t>
        </is>
      </c>
      <c r="I122" t="n">
        <v>5.8</v>
      </c>
      <c r="J122" t="n">
        <v>1</v>
      </c>
      <c r="K122" t="n">
        <v>2</v>
      </c>
      <c r="L122" t="n">
        <v>1</v>
      </c>
      <c r="M122" t="n">
        <v>0</v>
      </c>
      <c r="N122" t="n">
        <v>0</v>
      </c>
      <c r="O122" t="n">
        <v>0</v>
      </c>
      <c r="P122" t="n">
        <v>0</v>
      </c>
      <c r="Q122" t="n">
        <v>1</v>
      </c>
      <c r="R122" t="n">
        <v>0</v>
      </c>
      <c r="S122" t="n">
        <v>4</v>
      </c>
      <c r="T122" t="n">
        <v>6</v>
      </c>
      <c r="U122" t="n">
        <v>2</v>
      </c>
      <c r="V122" s="2" t="inlineStr">
        <is>
          <t>Tallticka
Blomkålssvamp
Grovticka
Nattskärra</t>
        </is>
      </c>
      <c r="W122">
        <f>HYPERLINK("https://klasma.github.io/Logging_0483/artfynd/A 70501-2021 artfynd.xlsx", "A 70501-2021")</f>
        <v/>
      </c>
      <c r="X122">
        <f>HYPERLINK("https://klasma.github.io/Logging_0483/kartor/A 70501-2021 karta.png", "A 70501-2021")</f>
        <v/>
      </c>
      <c r="Y122">
        <f>HYPERLINK("https://klasma.github.io/Logging_0483/kartor_geotiff/A 70501-2021 georefererad karta.tif", "A 70501-2021")</f>
        <v/>
      </c>
      <c r="AA122">
        <f>HYPERLINK("https://klasma.github.io/Logging_0483/klagomål/A 70501-2021 FSC-klagomål.docx", "A 70501-2021")</f>
        <v/>
      </c>
      <c r="AB122">
        <f>HYPERLINK("https://klasma.github.io/Logging_0483/klagomålsmail/A 70501-2021 FSC-klagomål mail.docx", "A 70501-2021")</f>
        <v/>
      </c>
      <c r="AC122">
        <f>HYPERLINK("https://klasma.github.io/Logging_0483/tillsyn/A 70501-2021 tillsynsbegäran.docx", "A 70501-2021")</f>
        <v/>
      </c>
      <c r="AD122">
        <f>HYPERLINK("https://klasma.github.io/Logging_0483/tillsynsmail/A 70501-2021 tillsynsbegäran mail.docx", "A 70501-2021")</f>
        <v/>
      </c>
      <c r="AE122">
        <f>HYPERLINK("https://klasma.github.io/Logging_0483/fåglar/A 70501-2021 prioriterade fågelarter.docx", "A 70501-2021")</f>
        <v/>
      </c>
    </row>
    <row r="123" ht="15" customHeight="1">
      <c r="A123" t="inlineStr">
        <is>
          <t>A 49808-2023</t>
        </is>
      </c>
      <c r="B123" t="inlineStr">
        <is>
          <t>avverkningsanmälan</t>
        </is>
      </c>
      <c r="C123" t="inlineStr">
        <is>
          <t>Föryngringsavverkning</t>
        </is>
      </c>
      <c r="D123" s="1" t="n">
        <v>45212</v>
      </c>
      <c r="E123" s="1" t="n">
        <v>46313</v>
      </c>
      <c r="F123" t="inlineStr">
        <is>
          <t>SÖDERMANLANDS LÄN</t>
        </is>
      </c>
      <c r="G123" t="inlineStr">
        <is>
          <t>FLEN</t>
        </is>
      </c>
      <c r="H123" t="inlineStr">
        <is>
          <t>Holmen skog AB</t>
        </is>
      </c>
      <c r="I123" t="n">
        <v>12.3</v>
      </c>
      <c r="J123" t="n">
        <v>2</v>
      </c>
      <c r="K123" t="n">
        <v>0</v>
      </c>
      <c r="L123" t="n">
        <v>2</v>
      </c>
      <c r="M123" t="n">
        <v>0</v>
      </c>
      <c r="N123" t="n">
        <v>0</v>
      </c>
      <c r="O123" t="n">
        <v>0</v>
      </c>
      <c r="P123" t="n">
        <v>0</v>
      </c>
      <c r="Q123" t="n">
        <v>2</v>
      </c>
      <c r="R123" t="n">
        <v>0</v>
      </c>
      <c r="S123" t="n">
        <v>4</v>
      </c>
      <c r="T123" t="n">
        <v>4</v>
      </c>
      <c r="U123" t="n">
        <v>1</v>
      </c>
      <c r="V123" s="2" t="inlineStr">
        <is>
          <t>Svedjenäva
Svinrot
Mattlummer
Fläcknycklar</t>
        </is>
      </c>
      <c r="W123">
        <f>HYPERLINK("https://klasma.github.io/Logging_0482/artfynd/A 49808-2023 artfynd.xlsx", "A 49808-2023")</f>
        <v/>
      </c>
      <c r="X123">
        <f>HYPERLINK("https://klasma.github.io/Logging_0482/kartor/A 49808-2023 karta.png", "A 49808-2023")</f>
        <v/>
      </c>
      <c r="Y123">
        <f>HYPERLINK("https://klasma.github.io/Logging_0482/kartor_geotiff/A 49808-2023 georefererad karta.tif", "A 49808-2023")</f>
        <v/>
      </c>
      <c r="AA123">
        <f>HYPERLINK("https://klasma.github.io/Logging_0482/klagomål/A 49808-2023 FSC-klagomål.docx", "A 49808-2023")</f>
        <v/>
      </c>
      <c r="AB123">
        <f>HYPERLINK("https://klasma.github.io/Logging_0482/klagomålsmail/A 49808-2023 FSC-klagomål mail.docx", "A 49808-2023")</f>
        <v/>
      </c>
      <c r="AC123">
        <f>HYPERLINK("https://klasma.github.io/Logging_0482/tillsyn/A 49808-2023 tillsynsbegäran.docx", "A 49808-2023")</f>
        <v/>
      </c>
      <c r="AD123">
        <f>HYPERLINK("https://klasma.github.io/Logging_0482/tillsynsmail/A 49808-2023 tillsynsbegäran mail.docx", "A 49808-2023")</f>
        <v/>
      </c>
    </row>
    <row r="124" ht="15" customHeight="1">
      <c r="A124" t="inlineStr">
        <is>
          <t>A 52386-2025</t>
        </is>
      </c>
      <c r="B124" t="inlineStr">
        <is>
          <t>avverkningsanmälan</t>
        </is>
      </c>
      <c r="C124" t="inlineStr">
        <is>
          <t>Föryngringsavverkning</t>
        </is>
      </c>
      <c r="D124" s="1" t="n">
        <v>45954</v>
      </c>
      <c r="E124" s="1" t="n">
        <v>46313</v>
      </c>
      <c r="F124" t="inlineStr">
        <is>
          <t>SÖDERMANLANDS LÄN</t>
        </is>
      </c>
      <c r="G124" t="inlineStr">
        <is>
          <t>NYKÖPING</t>
        </is>
      </c>
      <c r="H124" t="inlineStr">
        <is>
          <t>Holmen skog AB</t>
        </is>
      </c>
      <c r="I124" t="n">
        <v>9.800000000000001</v>
      </c>
      <c r="J124" t="n">
        <v>0</v>
      </c>
      <c r="K124" t="n">
        <v>3</v>
      </c>
      <c r="L124" t="n">
        <v>1</v>
      </c>
      <c r="M124" t="n">
        <v>0</v>
      </c>
      <c r="N124" t="n">
        <v>0</v>
      </c>
      <c r="O124" t="n">
        <v>0</v>
      </c>
      <c r="P124" t="n">
        <v>0</v>
      </c>
      <c r="Q124" t="n">
        <v>1</v>
      </c>
      <c r="R124" t="n">
        <v>0</v>
      </c>
      <c r="S124" t="n">
        <v>4</v>
      </c>
      <c r="T124" t="n">
        <v>4</v>
      </c>
      <c r="U124" t="n">
        <v>3</v>
      </c>
      <c r="V124" s="2" t="inlineStr">
        <is>
          <t>Motaggsvamp
Blåmossa
Grönpyrola
Stor revmossa</t>
        </is>
      </c>
      <c r="W124">
        <f>HYPERLINK("https://klasma.github.io/Logging_0480/artfynd/A 52386-2025 artfynd.xlsx", "A 52386-2025")</f>
        <v/>
      </c>
      <c r="X124">
        <f>HYPERLINK("https://klasma.github.io/Logging_0480/kartor/A 52386-2025 karta.png", "A 52386-2025")</f>
        <v/>
      </c>
      <c r="Y124">
        <f>HYPERLINK("https://klasma.github.io/Logging_0480/kartor_geotiff/A 52386-2025 georefererad karta.tif", "A 52386-2025")</f>
        <v/>
      </c>
      <c r="AA124">
        <f>HYPERLINK("https://klasma.github.io/Logging_0480/klagomål/A 52386-2025 FSC-klagomål.docx", "A 52386-2025")</f>
        <v/>
      </c>
      <c r="AB124">
        <f>HYPERLINK("https://klasma.github.io/Logging_0480/klagomålsmail/A 52386-2025 FSC-klagomål mail.docx", "A 52386-2025")</f>
        <v/>
      </c>
      <c r="AC124">
        <f>HYPERLINK("https://klasma.github.io/Logging_0480/tillsyn/A 52386-2025 tillsynsbegäran.docx", "A 52386-2025")</f>
        <v/>
      </c>
      <c r="AD124">
        <f>HYPERLINK("https://klasma.github.io/Logging_0480/tillsynsmail/A 52386-2025 tillsynsbegäran mail.docx", "A 52386-2025")</f>
        <v/>
      </c>
    </row>
    <row r="125" ht="15" customHeight="1">
      <c r="A125" t="inlineStr">
        <is>
          <t>A 12296-2023</t>
        </is>
      </c>
      <c r="B125" t="inlineStr">
        <is>
          <t>avverkningsanmälan</t>
        </is>
      </c>
      <c r="C125" t="inlineStr">
        <is>
          <t>Föryngringsavverkning</t>
        </is>
      </c>
      <c r="D125" s="1" t="n">
        <v>44998</v>
      </c>
      <c r="E125" s="1" t="n">
        <v>46313</v>
      </c>
      <c r="F125" t="inlineStr">
        <is>
          <t>SÖDERMANLANDS LÄN</t>
        </is>
      </c>
      <c r="G125" t="inlineStr">
        <is>
          <t>ESKILSTUNA</t>
        </is>
      </c>
      <c r="H125" t="inlineStr">
        <is>
          <t>Kommuner</t>
        </is>
      </c>
      <c r="I125" t="n">
        <v>16.7</v>
      </c>
      <c r="J125" t="n">
        <v>4</v>
      </c>
      <c r="K125" t="n">
        <v>0</v>
      </c>
      <c r="L125" t="n">
        <v>1</v>
      </c>
      <c r="M125" t="n">
        <v>0</v>
      </c>
      <c r="N125" t="n">
        <v>1</v>
      </c>
      <c r="O125" t="n">
        <v>0</v>
      </c>
      <c r="P125" t="n">
        <v>0</v>
      </c>
      <c r="Q125" t="n">
        <v>2</v>
      </c>
      <c r="R125" t="n">
        <v>1</v>
      </c>
      <c r="S125" t="n">
        <v>4</v>
      </c>
      <c r="T125" t="n">
        <v>4</v>
      </c>
      <c r="U125" t="n">
        <v>0</v>
      </c>
      <c r="V125" s="2" t="inlineStr">
        <is>
          <t>Pärluggla
Mindre hackspett
Havsörn
Kungsfågel</t>
        </is>
      </c>
      <c r="W125">
        <f>HYPERLINK("https://klasma.github.io/Logging_0484/artfynd/A 12296-2023 artfynd.xlsx", "A 12296-2023")</f>
        <v/>
      </c>
      <c r="X125">
        <f>HYPERLINK("https://klasma.github.io/Logging_0484/kartor/A 12296-2023 karta.png", "A 12296-2023")</f>
        <v/>
      </c>
      <c r="Y125">
        <f>HYPERLINK("https://klasma.github.io/Logging_0484/kartor_geotiff/A 12296-2023 georefererad karta.tif", "A 12296-2023")</f>
        <v/>
      </c>
      <c r="AA125">
        <f>HYPERLINK("https://klasma.github.io/Logging_0484/klagomål/A 12296-2023 FSC-klagomål.docx", "A 12296-2023")</f>
        <v/>
      </c>
      <c r="AB125">
        <f>HYPERLINK("https://klasma.github.io/Logging_0484/klagomålsmail/A 12296-2023 FSC-klagomål mail.docx", "A 12296-2023")</f>
        <v/>
      </c>
      <c r="AC125">
        <f>HYPERLINK("https://klasma.github.io/Logging_0484/tillsyn/A 12296-2023 tillsynsbegäran.docx", "A 12296-2023")</f>
        <v/>
      </c>
      <c r="AD125">
        <f>HYPERLINK("https://klasma.github.io/Logging_0484/tillsynsmail/A 12296-2023 tillsynsbegäran mail.docx", "A 12296-2023")</f>
        <v/>
      </c>
      <c r="AE125">
        <f>HYPERLINK("https://klasma.github.io/Logging_0484/fåglar/A 12296-2023 prioriterade fågelarter.docx", "A 12296-2023")</f>
        <v/>
      </c>
    </row>
    <row r="126" ht="15" customHeight="1">
      <c r="A126" t="inlineStr">
        <is>
          <t>A 66246-2021</t>
        </is>
      </c>
      <c r="B126" t="inlineStr">
        <is>
          <t>avverkningsanmälan</t>
        </is>
      </c>
      <c r="C126" t="inlineStr">
        <is>
          <t>Föryngringsavverkning</t>
        </is>
      </c>
      <c r="D126" s="1" t="n">
        <v>44518</v>
      </c>
      <c r="E126" s="1" t="n">
        <v>46313</v>
      </c>
      <c r="F126" t="inlineStr">
        <is>
          <t>SÖDERMANLANDS LÄN</t>
        </is>
      </c>
      <c r="G126" t="inlineStr">
        <is>
          <t>VINGÅKER</t>
        </is>
      </c>
      <c r="I126" t="n">
        <v>5.2</v>
      </c>
      <c r="J126" t="n">
        <v>0</v>
      </c>
      <c r="K126" t="n">
        <v>1</v>
      </c>
      <c r="L126" t="n">
        <v>3</v>
      </c>
      <c r="M126" t="n">
        <v>0</v>
      </c>
      <c r="N126" t="n">
        <v>0</v>
      </c>
      <c r="O126" t="n">
        <v>0</v>
      </c>
      <c r="P126" t="n">
        <v>0</v>
      </c>
      <c r="Q126" t="n">
        <v>3</v>
      </c>
      <c r="R126" t="n">
        <v>0</v>
      </c>
      <c r="S126" t="n">
        <v>4</v>
      </c>
      <c r="T126" t="n">
        <v>5</v>
      </c>
      <c r="U126" t="n">
        <v>0</v>
      </c>
      <c r="V126" s="2" t="inlineStr">
        <is>
          <t>Dropptaggsvamp
Tallticka
Vedskivlav
Mindre märgborre</t>
        </is>
      </c>
      <c r="W126">
        <f>HYPERLINK("https://klasma.github.io/Logging_0428/artfynd/A 66246-2021 artfynd.xlsx", "A 66246-2021")</f>
        <v/>
      </c>
      <c r="X126">
        <f>HYPERLINK("https://klasma.github.io/Logging_0428/kartor/A 66246-2021 karta.png", "A 66246-2021")</f>
        <v/>
      </c>
      <c r="Y126">
        <f>HYPERLINK("https://klasma.github.io/Logging_0428/kartor_geotiff/A 66246-2021 georefererad karta.tif", "A 66246-2021")</f>
        <v/>
      </c>
      <c r="AA126">
        <f>HYPERLINK("https://klasma.github.io/Logging_0428/klagomål/A 66246-2021 FSC-klagomål.docx", "A 66246-2021")</f>
        <v/>
      </c>
      <c r="AB126">
        <f>HYPERLINK("https://klasma.github.io/Logging_0428/klagomålsmail/A 66246-2021 FSC-klagomål mail.docx", "A 66246-2021")</f>
        <v/>
      </c>
      <c r="AC126">
        <f>HYPERLINK("https://klasma.github.io/Logging_0428/tillsyn/A 66246-2021 tillsynsbegäran.docx", "A 66246-2021")</f>
        <v/>
      </c>
      <c r="AD126">
        <f>HYPERLINK("https://klasma.github.io/Logging_0428/tillsynsmail/A 66246-2021 tillsynsbegäran mail.docx", "A 66246-2021")</f>
        <v/>
      </c>
    </row>
    <row r="127" ht="15" customHeight="1">
      <c r="A127" t="inlineStr">
        <is>
          <t>A 45535-2023</t>
        </is>
      </c>
      <c r="B127" t="inlineStr">
        <is>
          <t>avverkningsanmälan</t>
        </is>
      </c>
      <c r="C127" t="inlineStr">
        <is>
          <t>Föryngringsavverkning</t>
        </is>
      </c>
      <c r="D127" s="1" t="n">
        <v>45194</v>
      </c>
      <c r="E127" s="1" t="n">
        <v>46313</v>
      </c>
      <c r="F127" t="inlineStr">
        <is>
          <t>SÖDERMANLANDS LÄN</t>
        </is>
      </c>
      <c r="G127" t="inlineStr">
        <is>
          <t>ESKILSTUNA</t>
        </is>
      </c>
      <c r="I127" t="n">
        <v>5</v>
      </c>
      <c r="J127" t="n">
        <v>3</v>
      </c>
      <c r="K127" t="n">
        <v>0</v>
      </c>
      <c r="L127" t="n">
        <v>2</v>
      </c>
      <c r="M127" t="n">
        <v>1</v>
      </c>
      <c r="N127" t="n">
        <v>0</v>
      </c>
      <c r="O127" t="n">
        <v>0</v>
      </c>
      <c r="P127" t="n">
        <v>0</v>
      </c>
      <c r="Q127" t="n">
        <v>3</v>
      </c>
      <c r="R127" t="n">
        <v>1</v>
      </c>
      <c r="S127" t="n">
        <v>4</v>
      </c>
      <c r="T127" t="n">
        <v>14</v>
      </c>
      <c r="U127" t="n">
        <v>14</v>
      </c>
      <c r="V127" s="2" t="inlineStr">
        <is>
          <t>Knärot
Tallticka
Talltita
Gröngöling</t>
        </is>
      </c>
      <c r="W127">
        <f>HYPERLINK("https://klasma.github.io/Logging_0484/artfynd/A 45535-2023 artfynd.xlsx", "A 45535-2023")</f>
        <v/>
      </c>
      <c r="X127">
        <f>HYPERLINK("https://klasma.github.io/Logging_0484/kartor/A 45535-2023 karta.png", "A 45535-2023")</f>
        <v/>
      </c>
      <c r="Y127">
        <f>HYPERLINK("https://klasma.github.io/Logging_0484/kartor_geotiff/A 45535-2023 georefererad karta.tif", "A 45535-2023")</f>
        <v/>
      </c>
      <c r="Z127">
        <f>HYPERLINK("https://klasma.github.io/Logging_0484/knärot/A 45535-2023 karta knärot.png", "A 45535-2023")</f>
        <v/>
      </c>
      <c r="AA127">
        <f>HYPERLINK("https://klasma.github.io/Logging_0484/klagomål/A 45535-2023 FSC-klagomål.docx", "A 45535-2023")</f>
        <v/>
      </c>
      <c r="AB127">
        <f>HYPERLINK("https://klasma.github.io/Logging_0484/klagomålsmail/A 45535-2023 FSC-klagomål mail.docx", "A 45535-2023")</f>
        <v/>
      </c>
      <c r="AC127">
        <f>HYPERLINK("https://klasma.github.io/Logging_0484/tillsyn/A 45535-2023 tillsynsbegäran.docx", "A 45535-2023")</f>
        <v/>
      </c>
      <c r="AD127">
        <f>HYPERLINK("https://klasma.github.io/Logging_0484/tillsynsmail/A 45535-2023 tillsynsbegäran mail.docx", "A 45535-2023")</f>
        <v/>
      </c>
      <c r="AE127">
        <f>HYPERLINK("https://klasma.github.io/Logging_0484/fåglar/A 45535-2023 prioriterade fågelarter.docx", "A 45535-2023")</f>
        <v/>
      </c>
    </row>
    <row r="128" ht="15" customHeight="1">
      <c r="A128" t="inlineStr">
        <is>
          <t>A 63101-2025</t>
        </is>
      </c>
      <c r="B128" t="inlineStr">
        <is>
          <t>avverkningsanmälan</t>
        </is>
      </c>
      <c r="C128" t="inlineStr">
        <is>
          <t>Föryngringsavverkning</t>
        </is>
      </c>
      <c r="D128" s="1" t="n">
        <v>46009</v>
      </c>
      <c r="E128" s="1" t="n">
        <v>46313</v>
      </c>
      <c r="F128" t="inlineStr">
        <is>
          <t>SÖDERMANLANDS LÄN</t>
        </is>
      </c>
      <c r="G128" t="inlineStr">
        <is>
          <t>NYKÖPING</t>
        </is>
      </c>
      <c r="H128" t="inlineStr">
        <is>
          <t>Sveaskog</t>
        </is>
      </c>
      <c r="I128" t="n">
        <v>3.8</v>
      </c>
      <c r="J128" t="n">
        <v>0</v>
      </c>
      <c r="K128" t="n">
        <v>3</v>
      </c>
      <c r="L128" t="n">
        <v>1</v>
      </c>
      <c r="M128" t="n">
        <v>0</v>
      </c>
      <c r="N128" t="n">
        <v>0</v>
      </c>
      <c r="O128" t="n">
        <v>0</v>
      </c>
      <c r="P128" t="n">
        <v>0</v>
      </c>
      <c r="Q128" t="n">
        <v>1</v>
      </c>
      <c r="R128" t="n">
        <v>0</v>
      </c>
      <c r="S128" t="n">
        <v>4</v>
      </c>
      <c r="T128" t="n">
        <v>5</v>
      </c>
      <c r="U128" t="n">
        <v>0</v>
      </c>
      <c r="V128" s="2" t="inlineStr">
        <is>
          <t>Motaggsvamp
Bronshjon
Mindre märgborre
Vedticka</t>
        </is>
      </c>
      <c r="W128">
        <f>HYPERLINK("https://klasma.github.io/Logging_0480/artfynd/A 63101-2025 artfynd.xlsx", "A 63101-2025")</f>
        <v/>
      </c>
      <c r="X128">
        <f>HYPERLINK("https://klasma.github.io/Logging_0480/kartor/A 63101-2025 karta.png", "A 63101-2025")</f>
        <v/>
      </c>
      <c r="Y128">
        <f>HYPERLINK("https://klasma.github.io/Logging_0480/kartor_geotiff/A 63101-2025 georefererad karta.tif", "A 63101-2025")</f>
        <v/>
      </c>
      <c r="AA128">
        <f>HYPERLINK("https://klasma.github.io/Logging_0480/klagomål/A 63101-2025 FSC-klagomål.docx", "A 63101-2025")</f>
        <v/>
      </c>
      <c r="AB128">
        <f>HYPERLINK("https://klasma.github.io/Logging_0480/klagomålsmail/A 63101-2025 FSC-klagomål mail.docx", "A 63101-2025")</f>
        <v/>
      </c>
      <c r="AC128">
        <f>HYPERLINK("https://klasma.github.io/Logging_0480/tillsyn/A 63101-2025 tillsynsbegäran.docx", "A 63101-2025")</f>
        <v/>
      </c>
      <c r="AD128">
        <f>HYPERLINK("https://klasma.github.io/Logging_0480/tillsynsmail/A 63101-2025 tillsynsbegäran mail.docx", "A 63101-2025")</f>
        <v/>
      </c>
    </row>
    <row r="129" ht="15" customHeight="1">
      <c r="A129" t="inlineStr">
        <is>
          <t>A 4290-2026</t>
        </is>
      </c>
      <c r="B129" t="inlineStr">
        <is>
          <t>avverkningsanmälan</t>
        </is>
      </c>
      <c r="C129" t="inlineStr">
        <is>
          <t>Föryngringsavverkning</t>
        </is>
      </c>
      <c r="D129" s="1" t="n">
        <v>46044</v>
      </c>
      <c r="E129" s="1" t="n">
        <v>46313</v>
      </c>
      <c r="F129" t="inlineStr">
        <is>
          <t>SÖDERMANLANDS LÄN</t>
        </is>
      </c>
      <c r="G129" t="inlineStr">
        <is>
          <t>FLEN</t>
        </is>
      </c>
      <c r="H129" t="inlineStr">
        <is>
          <t>Övriga statliga verk och myndigheter</t>
        </is>
      </c>
      <c r="I129" t="n">
        <v>3.4</v>
      </c>
      <c r="J129" t="n">
        <v>2</v>
      </c>
      <c r="K129" t="n">
        <v>0</v>
      </c>
      <c r="L129" t="n">
        <v>2</v>
      </c>
      <c r="M129" t="n">
        <v>0</v>
      </c>
      <c r="N129" t="n">
        <v>0</v>
      </c>
      <c r="O129" t="n">
        <v>0</v>
      </c>
      <c r="P129" t="n">
        <v>0</v>
      </c>
      <c r="Q129" t="n">
        <v>2</v>
      </c>
      <c r="R129" t="n">
        <v>0</v>
      </c>
      <c r="S129" t="n">
        <v>4</v>
      </c>
      <c r="T129" t="n">
        <v>4</v>
      </c>
      <c r="U129" t="n">
        <v>0</v>
      </c>
      <c r="V129" s="2" t="inlineStr">
        <is>
          <t>Jungfrulin
Vanlig backsmörblomma
Mindre vattensalamander
Gullviva</t>
        </is>
      </c>
      <c r="W129">
        <f>HYPERLINK("https://klasma.github.io/Logging_0482/artfynd/A 4290-2026 artfynd.xlsx", "A 4290-2026")</f>
        <v/>
      </c>
      <c r="X129">
        <f>HYPERLINK("https://klasma.github.io/Logging_0482/kartor/A 4290-2026 karta.png", "A 4290-2026")</f>
        <v/>
      </c>
      <c r="Y129">
        <f>HYPERLINK("https://klasma.github.io/Logging_0482/kartor_geotiff/A 4290-2026 georefererad karta.tif", "A 4290-2026")</f>
        <v/>
      </c>
      <c r="AA129">
        <f>HYPERLINK("https://klasma.github.io/Logging_0482/klagomål/A 4290-2026 FSC-klagomål.docx", "A 4290-2026")</f>
        <v/>
      </c>
      <c r="AB129">
        <f>HYPERLINK("https://klasma.github.io/Logging_0482/klagomålsmail/A 4290-2026 FSC-klagomål mail.docx", "A 4290-2026")</f>
        <v/>
      </c>
      <c r="AC129">
        <f>HYPERLINK("https://klasma.github.io/Logging_0482/tillsyn/A 4290-2026 tillsynsbegäran.docx", "A 4290-2026")</f>
        <v/>
      </c>
      <c r="AD129">
        <f>HYPERLINK("https://klasma.github.io/Logging_0482/tillsynsmail/A 4290-2026 tillsynsbegäran mail.docx", "A 4290-2026")</f>
        <v/>
      </c>
    </row>
    <row r="130" ht="15" customHeight="1">
      <c r="A130" t="inlineStr">
        <is>
          <t>A 8917-2024</t>
        </is>
      </c>
      <c r="B130" t="inlineStr">
        <is>
          <t>avverkningsanmälan</t>
        </is>
      </c>
      <c r="C130" t="inlineStr">
        <is>
          <t>Föryngringsavverkning</t>
        </is>
      </c>
      <c r="D130" s="1" t="n">
        <v>45357</v>
      </c>
      <c r="E130" s="1" t="n">
        <v>46313</v>
      </c>
      <c r="F130" t="inlineStr">
        <is>
          <t>SÖDERMANLANDS LÄN</t>
        </is>
      </c>
      <c r="G130" t="inlineStr">
        <is>
          <t>KATRINEHOLM</t>
        </is>
      </c>
      <c r="I130" t="n">
        <v>3</v>
      </c>
      <c r="J130" t="n">
        <v>3</v>
      </c>
      <c r="K130" t="n">
        <v>0</v>
      </c>
      <c r="L130" t="n">
        <v>1</v>
      </c>
      <c r="M130" t="n">
        <v>1</v>
      </c>
      <c r="N130" t="n">
        <v>0</v>
      </c>
      <c r="O130" t="n">
        <v>0</v>
      </c>
      <c r="P130" t="n">
        <v>0</v>
      </c>
      <c r="Q130" t="n">
        <v>2</v>
      </c>
      <c r="R130" t="n">
        <v>1</v>
      </c>
      <c r="S130" t="n">
        <v>4</v>
      </c>
      <c r="T130" t="n">
        <v>4</v>
      </c>
      <c r="U130" t="n">
        <v>2</v>
      </c>
      <c r="V130" s="2" t="inlineStr">
        <is>
          <t>Stare
Skogsklocka
Blåsippa
Gröngöling</t>
        </is>
      </c>
      <c r="W130">
        <f>HYPERLINK("https://klasma.github.io/Logging_0483/artfynd/A 8917-2024 artfynd.xlsx", "A 8917-2024")</f>
        <v/>
      </c>
      <c r="X130">
        <f>HYPERLINK("https://klasma.github.io/Logging_0483/kartor/A 8917-2024 karta.png", "A 8917-2024")</f>
        <v/>
      </c>
      <c r="Y130">
        <f>HYPERLINK("https://klasma.github.io/Logging_0483/kartor_geotiff/A 8917-2024 georefererad karta.tif", "A 8917-2024")</f>
        <v/>
      </c>
      <c r="AA130">
        <f>HYPERLINK("https://klasma.github.io/Logging_0483/klagomål/A 8917-2024 FSC-klagomål.docx", "A 8917-2024")</f>
        <v/>
      </c>
      <c r="AB130">
        <f>HYPERLINK("https://klasma.github.io/Logging_0483/klagomålsmail/A 8917-2024 FSC-klagomål mail.docx", "A 8917-2024")</f>
        <v/>
      </c>
      <c r="AC130">
        <f>HYPERLINK("https://klasma.github.io/Logging_0483/tillsyn/A 8917-2024 tillsynsbegäran.docx", "A 8917-2024")</f>
        <v/>
      </c>
      <c r="AD130">
        <f>HYPERLINK("https://klasma.github.io/Logging_0483/tillsynsmail/A 8917-2024 tillsynsbegäran mail.docx", "A 8917-2024")</f>
        <v/>
      </c>
      <c r="AE130">
        <f>HYPERLINK("https://klasma.github.io/Logging_0483/fåglar/A 8917-2024 prioriterade fågelarter.docx", "A 8917-2024")</f>
        <v/>
      </c>
    </row>
    <row r="131" ht="15" customHeight="1">
      <c r="A131" t="inlineStr">
        <is>
          <t>A 30229-2023</t>
        </is>
      </c>
      <c r="B131" t="inlineStr">
        <is>
          <t>avverkningsanmälan</t>
        </is>
      </c>
      <c r="C131" t="inlineStr">
        <is>
          <t>Föryngringsavverkning</t>
        </is>
      </c>
      <c r="D131" s="1" t="n">
        <v>45099</v>
      </c>
      <c r="E131" s="1" t="n">
        <v>46313</v>
      </c>
      <c r="F131" t="inlineStr">
        <is>
          <t>SÖDERMANLANDS LÄN</t>
        </is>
      </c>
      <c r="G131" t="inlineStr">
        <is>
          <t>KATRINEHOLM</t>
        </is>
      </c>
      <c r="I131" t="n">
        <v>11.8</v>
      </c>
      <c r="J131" t="n">
        <v>0</v>
      </c>
      <c r="K131" t="n">
        <v>0</v>
      </c>
      <c r="L131" t="n">
        <v>2</v>
      </c>
      <c r="M131" t="n">
        <v>2</v>
      </c>
      <c r="N131" t="n">
        <v>0</v>
      </c>
      <c r="O131" t="n">
        <v>0</v>
      </c>
      <c r="P131" t="n">
        <v>0</v>
      </c>
      <c r="Q131" t="n">
        <v>4</v>
      </c>
      <c r="R131" t="n">
        <v>2</v>
      </c>
      <c r="S131" t="n">
        <v>4</v>
      </c>
      <c r="T131" t="n">
        <v>4</v>
      </c>
      <c r="U131" t="n">
        <v>4</v>
      </c>
      <c r="V131" s="2" t="inlineStr">
        <is>
          <t>Bredbrämad bastardsvärmare
Silverblåvinge
Mindre tåtelsmygare
Silversmygare</t>
        </is>
      </c>
      <c r="W131">
        <f>HYPERLINK("https://klasma.github.io/Logging_0483/artfynd/A 30229-2023 artfynd.xlsx", "A 30229-2023")</f>
        <v/>
      </c>
      <c r="X131">
        <f>HYPERLINK("https://klasma.github.io/Logging_0483/kartor/A 30229-2023 karta.png", "A 30229-2023")</f>
        <v/>
      </c>
      <c r="Y131">
        <f>HYPERLINK("https://klasma.github.io/Logging_0483/kartor_geotiff/A 30229-2023 georefererad karta.tif", "A 30229-2023")</f>
        <v/>
      </c>
      <c r="AA131">
        <f>HYPERLINK("https://klasma.github.io/Logging_0483/klagomål/A 30229-2023 FSC-klagomål.docx", "A 30229-2023")</f>
        <v/>
      </c>
      <c r="AB131">
        <f>HYPERLINK("https://klasma.github.io/Logging_0483/klagomålsmail/A 30229-2023 FSC-klagomål mail.docx", "A 30229-2023")</f>
        <v/>
      </c>
      <c r="AC131">
        <f>HYPERLINK("https://klasma.github.io/Logging_0483/tillsyn/A 30229-2023 tillsynsbegäran.docx", "A 30229-2023")</f>
        <v/>
      </c>
      <c r="AD131">
        <f>HYPERLINK("https://klasma.github.io/Logging_0483/tillsynsmail/A 30229-2023 tillsynsbegäran mail.docx", "A 30229-2023")</f>
        <v/>
      </c>
    </row>
    <row r="132" ht="15" customHeight="1">
      <c r="A132" t="inlineStr">
        <is>
          <t>A 7585-2023</t>
        </is>
      </c>
      <c r="B132" t="inlineStr">
        <is>
          <t>avverkningsanmälan</t>
        </is>
      </c>
      <c r="C132" t="inlineStr">
        <is>
          <t>Avverkning för att bevara och utveckla /försöksver</t>
        </is>
      </c>
      <c r="D132" s="1" t="n">
        <v>44972</v>
      </c>
      <c r="E132" s="1" t="n">
        <v>46313</v>
      </c>
      <c r="F132" t="inlineStr">
        <is>
          <t>SÖDERMANLANDS LÄN</t>
        </is>
      </c>
      <c r="G132" t="inlineStr">
        <is>
          <t>KATRINEHOLM</t>
        </is>
      </c>
      <c r="H132" t="inlineStr">
        <is>
          <t>Kommuner</t>
        </is>
      </c>
      <c r="I132" t="n">
        <v>2.8</v>
      </c>
      <c r="J132" t="n">
        <v>3</v>
      </c>
      <c r="K132" t="n">
        <v>1</v>
      </c>
      <c r="L132" t="n">
        <v>0</v>
      </c>
      <c r="M132" t="n">
        <v>1</v>
      </c>
      <c r="N132" t="n">
        <v>0</v>
      </c>
      <c r="O132" t="n">
        <v>0</v>
      </c>
      <c r="P132" t="n">
        <v>0</v>
      </c>
      <c r="Q132" t="n">
        <v>1</v>
      </c>
      <c r="R132" t="n">
        <v>1</v>
      </c>
      <c r="S132" t="n">
        <v>4</v>
      </c>
      <c r="T132" t="n">
        <v>4</v>
      </c>
      <c r="U132" t="n">
        <v>0</v>
      </c>
      <c r="V132" s="2" t="inlineStr">
        <is>
          <t>Grönfink
Fällmossa
Blåsippa
Grönsiska</t>
        </is>
      </c>
      <c r="W132">
        <f>HYPERLINK("https://klasma.github.io/Logging_0483/artfynd/A 7585-2023 artfynd.xlsx", "A 7585-2023")</f>
        <v/>
      </c>
      <c r="X132">
        <f>HYPERLINK("https://klasma.github.io/Logging_0483/kartor/A 7585-2023 karta.png", "A 7585-2023")</f>
        <v/>
      </c>
      <c r="Y132">
        <f>HYPERLINK("https://klasma.github.io/Logging_0483/kartor_geotiff/A 7585-2023 georefererad karta.tif", "A 7585-2023")</f>
        <v/>
      </c>
      <c r="AA132">
        <f>HYPERLINK("https://klasma.github.io/Logging_0483/klagomål/A 7585-2023 FSC-klagomål.docx", "A 7585-2023")</f>
        <v/>
      </c>
      <c r="AB132">
        <f>HYPERLINK("https://klasma.github.io/Logging_0483/klagomålsmail/A 7585-2023 FSC-klagomål mail.docx", "A 7585-2023")</f>
        <v/>
      </c>
      <c r="AC132">
        <f>HYPERLINK("https://klasma.github.io/Logging_0483/tillsyn/A 7585-2023 tillsynsbegäran.docx", "A 7585-2023")</f>
        <v/>
      </c>
      <c r="AD132">
        <f>HYPERLINK("https://klasma.github.io/Logging_0483/tillsynsmail/A 7585-2023 tillsynsbegäran mail.docx", "A 7585-2023")</f>
        <v/>
      </c>
      <c r="AE132">
        <f>HYPERLINK("https://klasma.github.io/Logging_0483/fåglar/A 7585-2023 prioriterade fågelarter.docx", "A 7585-2023")</f>
        <v/>
      </c>
    </row>
    <row r="133" ht="15" customHeight="1">
      <c r="A133" t="inlineStr">
        <is>
          <t>A 33225-2024</t>
        </is>
      </c>
      <c r="B133" t="inlineStr">
        <is>
          <t>avverkningsanmälan</t>
        </is>
      </c>
      <c r="C133" t="inlineStr">
        <is>
          <t>Föryngringsavverkning</t>
        </is>
      </c>
      <c r="D133" s="1" t="n">
        <v>45518</v>
      </c>
      <c r="E133" s="1" t="n">
        <v>46313</v>
      </c>
      <c r="F133" t="inlineStr">
        <is>
          <t>SÖDERMANLANDS LÄN</t>
        </is>
      </c>
      <c r="G133" t="inlineStr">
        <is>
          <t>FLEN</t>
        </is>
      </c>
      <c r="I133" t="n">
        <v>0.1</v>
      </c>
      <c r="J133" t="n">
        <v>1</v>
      </c>
      <c r="K133" t="n">
        <v>0</v>
      </c>
      <c r="L133" t="n">
        <v>3</v>
      </c>
      <c r="M133" t="n">
        <v>0</v>
      </c>
      <c r="N133" t="n">
        <v>0</v>
      </c>
      <c r="O133" t="n">
        <v>0</v>
      </c>
      <c r="P133" t="n">
        <v>0</v>
      </c>
      <c r="Q133" t="n">
        <v>3</v>
      </c>
      <c r="R133" t="n">
        <v>0</v>
      </c>
      <c r="S133" t="n">
        <v>4</v>
      </c>
      <c r="T133" t="n">
        <v>4</v>
      </c>
      <c r="U133" t="n">
        <v>0</v>
      </c>
      <c r="V133" s="2" t="inlineStr">
        <is>
          <t>Skogsklocka
Svinrot
Vippärt
Grönvit nattviol</t>
        </is>
      </c>
      <c r="W133">
        <f>HYPERLINK("https://klasma.github.io/Logging_0482/artfynd/A 33225-2024 artfynd.xlsx", "A 33225-2024")</f>
        <v/>
      </c>
      <c r="X133">
        <f>HYPERLINK("https://klasma.github.io/Logging_0482/kartor/A 33225-2024 karta.png", "A 33225-2024")</f>
        <v/>
      </c>
      <c r="Y133">
        <f>HYPERLINK("https://klasma.github.io/Logging_0482/kartor_geotiff/A 33225-2024 georefererad karta.tif", "A 33225-2024")</f>
        <v/>
      </c>
      <c r="AA133">
        <f>HYPERLINK("https://klasma.github.io/Logging_0482/klagomål/A 33225-2024 FSC-klagomål.docx", "A 33225-2024")</f>
        <v/>
      </c>
      <c r="AB133">
        <f>HYPERLINK("https://klasma.github.io/Logging_0482/klagomålsmail/A 33225-2024 FSC-klagomål mail.docx", "A 33225-2024")</f>
        <v/>
      </c>
      <c r="AC133">
        <f>HYPERLINK("https://klasma.github.io/Logging_0482/tillsyn/A 33225-2024 tillsynsbegäran.docx", "A 33225-2024")</f>
        <v/>
      </c>
      <c r="AD133">
        <f>HYPERLINK("https://klasma.github.io/Logging_0482/tillsynsmail/A 33225-2024 tillsynsbegäran mail.docx", "A 33225-2024")</f>
        <v/>
      </c>
    </row>
    <row r="134" ht="15" customHeight="1">
      <c r="A134" t="inlineStr">
        <is>
          <t>A 16503-2026</t>
        </is>
      </c>
      <c r="B134" t="inlineStr">
        <is>
          <t>avverkningsanmälan</t>
        </is>
      </c>
      <c r="C134" t="inlineStr">
        <is>
          <t>Föryngringsavverkning</t>
        </is>
      </c>
      <c r="D134" s="1" t="n">
        <v>46112</v>
      </c>
      <c r="E134" s="1" t="n">
        <v>46313</v>
      </c>
      <c r="F134" t="inlineStr">
        <is>
          <t>SÖDERMANLANDS LÄN</t>
        </is>
      </c>
      <c r="G134" t="inlineStr">
        <is>
          <t>FLEN</t>
        </is>
      </c>
      <c r="I134" t="n">
        <v>0.6</v>
      </c>
      <c r="J134" t="n">
        <v>0</v>
      </c>
      <c r="K134" t="n">
        <v>0</v>
      </c>
      <c r="L134" t="n">
        <v>3</v>
      </c>
      <c r="M134" t="n">
        <v>1</v>
      </c>
      <c r="N134" t="n">
        <v>0</v>
      </c>
      <c r="O134" t="n">
        <v>0</v>
      </c>
      <c r="P134" t="n">
        <v>0</v>
      </c>
      <c r="Q134" t="n">
        <v>4</v>
      </c>
      <c r="R134" t="n">
        <v>1</v>
      </c>
      <c r="S134" t="n">
        <v>4</v>
      </c>
      <c r="T134" t="n">
        <v>5</v>
      </c>
      <c r="U134" t="n">
        <v>1</v>
      </c>
      <c r="V134" s="2" t="inlineStr">
        <is>
          <t>Sexfläckig bastardsvärmare
Gullklöver
Jungfrulin
Svinrot</t>
        </is>
      </c>
      <c r="W134">
        <f>HYPERLINK("https://klasma.github.io/Logging_0482/artfynd/A 16503-2026 artfynd.xlsx", "A 16503-2026")</f>
        <v/>
      </c>
      <c r="X134">
        <f>HYPERLINK("https://klasma.github.io/Logging_0482/kartor/A 16503-2026 karta.png", "A 16503-2026")</f>
        <v/>
      </c>
      <c r="Y134">
        <f>HYPERLINK("https://klasma.github.io/Logging_0482/kartor_geotiff/A 16503-2026 georefererad karta.tif", "A 16503-2026")</f>
        <v/>
      </c>
      <c r="AA134">
        <f>HYPERLINK("https://klasma.github.io/Logging_0482/klagomål/A 16503-2026 FSC-klagomål.docx", "A 16503-2026")</f>
        <v/>
      </c>
      <c r="AB134">
        <f>HYPERLINK("https://klasma.github.io/Logging_0482/klagomålsmail/A 16503-2026 FSC-klagomål mail.docx", "A 16503-2026")</f>
        <v/>
      </c>
      <c r="AC134">
        <f>HYPERLINK("https://klasma.github.io/Logging_0482/tillsyn/A 16503-2026 tillsynsbegäran.docx", "A 16503-2026")</f>
        <v/>
      </c>
      <c r="AD134">
        <f>HYPERLINK("https://klasma.github.io/Logging_0482/tillsynsmail/A 16503-2026 tillsynsbegäran mail.docx", "A 16503-2026")</f>
        <v/>
      </c>
    </row>
    <row r="135" ht="15" customHeight="1">
      <c r="A135" t="inlineStr">
        <is>
          <t>A 8663-2022</t>
        </is>
      </c>
      <c r="B135" t="inlineStr">
        <is>
          <t>avverkningsanmälan</t>
        </is>
      </c>
      <c r="C135" t="inlineStr">
        <is>
          <t>Föryngringsavverkning</t>
        </is>
      </c>
      <c r="D135" s="1" t="n">
        <v>44613</v>
      </c>
      <c r="E135" s="1" t="n">
        <v>46313</v>
      </c>
      <c r="F135" t="inlineStr">
        <is>
          <t>SÖDERMANLANDS LÄN</t>
        </is>
      </c>
      <c r="G135" t="inlineStr">
        <is>
          <t>NYKÖPING</t>
        </is>
      </c>
      <c r="I135" t="n">
        <v>6.5</v>
      </c>
      <c r="J135" t="n">
        <v>0</v>
      </c>
      <c r="K135" t="n">
        <v>2</v>
      </c>
      <c r="L135" t="n">
        <v>2</v>
      </c>
      <c r="M135" t="n">
        <v>0</v>
      </c>
      <c r="N135" t="n">
        <v>0</v>
      </c>
      <c r="O135" t="n">
        <v>0</v>
      </c>
      <c r="P135" t="n">
        <v>0</v>
      </c>
      <c r="Q135" t="n">
        <v>2</v>
      </c>
      <c r="R135" t="n">
        <v>0</v>
      </c>
      <c r="S135" t="n">
        <v>4</v>
      </c>
      <c r="T135" t="n">
        <v>4</v>
      </c>
      <c r="U135" t="n">
        <v>0</v>
      </c>
      <c r="V135" s="2" t="inlineStr">
        <is>
          <t>Fjällig taggsvamp s.str.
Orange taggsvamp
Blomkålssvamp
Stubbspretmossa</t>
        </is>
      </c>
      <c r="W135">
        <f>HYPERLINK("https://klasma.github.io/Logging_0480/artfynd/A 8663-2022 artfynd.xlsx", "A 8663-2022")</f>
        <v/>
      </c>
      <c r="X135">
        <f>HYPERLINK("https://klasma.github.io/Logging_0480/kartor/A 8663-2022 karta.png", "A 8663-2022")</f>
        <v/>
      </c>
      <c r="Y135">
        <f>HYPERLINK("https://klasma.github.io/Logging_0480/kartor_geotiff/A 8663-2022 georefererad karta.tif", "A 8663-2022")</f>
        <v/>
      </c>
      <c r="AA135">
        <f>HYPERLINK("https://klasma.github.io/Logging_0480/klagomål/A 8663-2022 FSC-klagomål.docx", "A 8663-2022")</f>
        <v/>
      </c>
      <c r="AB135">
        <f>HYPERLINK("https://klasma.github.io/Logging_0480/klagomålsmail/A 8663-2022 FSC-klagomål mail.docx", "A 8663-2022")</f>
        <v/>
      </c>
      <c r="AC135">
        <f>HYPERLINK("https://klasma.github.io/Logging_0480/tillsyn/A 8663-2022 tillsynsbegäran.docx", "A 8663-2022")</f>
        <v/>
      </c>
      <c r="AD135">
        <f>HYPERLINK("https://klasma.github.io/Logging_0480/tillsynsmail/A 8663-2022 tillsynsbegäran mail.docx", "A 8663-2022")</f>
        <v/>
      </c>
    </row>
    <row r="136" ht="15" customHeight="1">
      <c r="A136" t="inlineStr">
        <is>
          <t>A 46524-2025</t>
        </is>
      </c>
      <c r="B136" t="inlineStr">
        <is>
          <t>avverkningsanmälan</t>
        </is>
      </c>
      <c r="C136" t="inlineStr">
        <is>
          <t>Föryngringsavverkning</t>
        </is>
      </c>
      <c r="D136" s="1" t="n">
        <v>45926</v>
      </c>
      <c r="E136" s="1" t="n">
        <v>46313</v>
      </c>
      <c r="F136" t="inlineStr">
        <is>
          <t>SÖDERMANLANDS LÄN</t>
        </is>
      </c>
      <c r="G136" t="inlineStr">
        <is>
          <t>KATRINEHOLM</t>
        </is>
      </c>
      <c r="I136" t="n">
        <v>5.7</v>
      </c>
      <c r="J136" t="n">
        <v>2</v>
      </c>
      <c r="K136" t="n">
        <v>0</v>
      </c>
      <c r="L136" t="n">
        <v>2</v>
      </c>
      <c r="M136" t="n">
        <v>0</v>
      </c>
      <c r="N136" t="n">
        <v>0</v>
      </c>
      <c r="O136" t="n">
        <v>0</v>
      </c>
      <c r="P136" t="n">
        <v>0</v>
      </c>
      <c r="Q136" t="n">
        <v>2</v>
      </c>
      <c r="R136" t="n">
        <v>0</v>
      </c>
      <c r="S136" t="n">
        <v>4</v>
      </c>
      <c r="T136" t="n">
        <v>4</v>
      </c>
      <c r="U136" t="n">
        <v>0</v>
      </c>
      <c r="V136" s="2" t="inlineStr">
        <is>
          <t>Svart skogssnigel
Vitfläckig guldvinge
Grönsiska
Kungsfågel</t>
        </is>
      </c>
      <c r="W136">
        <f>HYPERLINK("https://klasma.github.io/Logging_0483/artfynd/A 46524-2025 artfynd.xlsx", "A 46524-2025")</f>
        <v/>
      </c>
      <c r="X136">
        <f>HYPERLINK("https://klasma.github.io/Logging_0483/kartor/A 46524-2025 karta.png", "A 46524-2025")</f>
        <v/>
      </c>
      <c r="Y136">
        <f>HYPERLINK("https://klasma.github.io/Logging_0483/kartor_geotiff/A 46524-2025 georefererad karta.tif", "A 46524-2025")</f>
        <v/>
      </c>
      <c r="AA136">
        <f>HYPERLINK("https://klasma.github.io/Logging_0483/klagomål/A 46524-2025 FSC-klagomål.docx", "A 46524-2025")</f>
        <v/>
      </c>
      <c r="AB136">
        <f>HYPERLINK("https://klasma.github.io/Logging_0483/klagomålsmail/A 46524-2025 FSC-klagomål mail.docx", "A 46524-2025")</f>
        <v/>
      </c>
      <c r="AC136">
        <f>HYPERLINK("https://klasma.github.io/Logging_0483/tillsyn/A 46524-2025 tillsynsbegäran.docx", "A 46524-2025")</f>
        <v/>
      </c>
      <c r="AD136">
        <f>HYPERLINK("https://klasma.github.io/Logging_0483/tillsynsmail/A 46524-2025 tillsynsbegäran mail.docx", "A 46524-2025")</f>
        <v/>
      </c>
    </row>
    <row r="137" ht="15" customHeight="1">
      <c r="A137" t="inlineStr">
        <is>
          <t>A 11115-2026</t>
        </is>
      </c>
      <c r="B137" t="inlineStr">
        <is>
          <t>avverkningsanmälan</t>
        </is>
      </c>
      <c r="C137" t="inlineStr">
        <is>
          <t>Föryngringsavverkning</t>
        </is>
      </c>
      <c r="D137" s="1" t="n">
        <v>46079</v>
      </c>
      <c r="E137" s="1" t="n">
        <v>46313</v>
      </c>
      <c r="F137" t="inlineStr">
        <is>
          <t>SÖDERMANLANDS LÄN</t>
        </is>
      </c>
      <c r="G137" t="inlineStr">
        <is>
          <t>FLEN</t>
        </is>
      </c>
      <c r="H137" t="inlineStr">
        <is>
          <t>Holmen skog AB</t>
        </is>
      </c>
      <c r="I137" t="n">
        <v>7.8</v>
      </c>
      <c r="J137" t="n">
        <v>0</v>
      </c>
      <c r="K137" t="n">
        <v>0</v>
      </c>
      <c r="L137" t="n">
        <v>1</v>
      </c>
      <c r="M137" t="n">
        <v>0</v>
      </c>
      <c r="N137" t="n">
        <v>0</v>
      </c>
      <c r="O137" t="n">
        <v>0</v>
      </c>
      <c r="P137" t="n">
        <v>0</v>
      </c>
      <c r="Q137" t="n">
        <v>1</v>
      </c>
      <c r="R137" t="n">
        <v>0</v>
      </c>
      <c r="S137" t="n">
        <v>4</v>
      </c>
      <c r="T137" t="n">
        <v>6</v>
      </c>
      <c r="U137" t="n">
        <v>6</v>
      </c>
      <c r="V137" s="2" t="inlineStr">
        <is>
          <t>Dropptaggsvamp
Fönsterlav
Grå renlav
Gulvit renlav</t>
        </is>
      </c>
      <c r="W137">
        <f>HYPERLINK("https://klasma.github.io/Logging_0482/artfynd/A 11115-2026 artfynd.xlsx", "A 11115-2026")</f>
        <v/>
      </c>
      <c r="X137">
        <f>HYPERLINK("https://klasma.github.io/Logging_0482/kartor/A 11115-2026 karta.png", "A 11115-2026")</f>
        <v/>
      </c>
      <c r="Y137">
        <f>HYPERLINK("https://klasma.github.io/Logging_0482/kartor_geotiff/A 11115-2026 georefererad karta.tif", "A 11115-2026")</f>
        <v/>
      </c>
      <c r="AA137">
        <f>HYPERLINK("https://klasma.github.io/Logging_0482/klagomål/A 11115-2026 FSC-klagomål.docx", "A 11115-2026")</f>
        <v/>
      </c>
      <c r="AB137">
        <f>HYPERLINK("https://klasma.github.io/Logging_0482/klagomålsmail/A 11115-2026 FSC-klagomål mail.docx", "A 11115-2026")</f>
        <v/>
      </c>
      <c r="AC137">
        <f>HYPERLINK("https://klasma.github.io/Logging_0482/tillsyn/A 11115-2026 tillsynsbegäran.docx", "A 11115-2026")</f>
        <v/>
      </c>
      <c r="AD137">
        <f>HYPERLINK("https://klasma.github.io/Logging_0482/tillsynsmail/A 11115-2026 tillsynsbegäran mail.docx", "A 11115-2026")</f>
        <v/>
      </c>
    </row>
    <row r="138" ht="15" customHeight="1">
      <c r="A138" t="inlineStr">
        <is>
          <t>A 10107-2023</t>
        </is>
      </c>
      <c r="B138" t="inlineStr">
        <is>
          <t>avverkningsanmälan</t>
        </is>
      </c>
      <c r="C138" t="inlineStr">
        <is>
          <t>Föryngringsavverkning</t>
        </is>
      </c>
      <c r="D138" s="1" t="n">
        <v>44986</v>
      </c>
      <c r="E138" s="1" t="n">
        <v>46313</v>
      </c>
      <c r="F138" t="inlineStr">
        <is>
          <t>SÖDERMANLANDS LÄN</t>
        </is>
      </c>
      <c r="G138" t="inlineStr">
        <is>
          <t>FLEN</t>
        </is>
      </c>
      <c r="I138" t="n">
        <v>21.1</v>
      </c>
      <c r="J138" t="n">
        <v>2</v>
      </c>
      <c r="K138" t="n">
        <v>1</v>
      </c>
      <c r="L138" t="n">
        <v>1</v>
      </c>
      <c r="M138" t="n">
        <v>0</v>
      </c>
      <c r="N138" t="n">
        <v>1</v>
      </c>
      <c r="O138" t="n">
        <v>0</v>
      </c>
      <c r="P138" t="n">
        <v>0</v>
      </c>
      <c r="Q138" t="n">
        <v>2</v>
      </c>
      <c r="R138" t="n">
        <v>1</v>
      </c>
      <c r="S138" t="n">
        <v>4</v>
      </c>
      <c r="T138" t="n">
        <v>4</v>
      </c>
      <c r="U138" t="n">
        <v>2</v>
      </c>
      <c r="V138" s="2" t="inlineStr">
        <is>
          <t>Bombmurkla
Svedjenäva
Blåmossa
Mattlummer</t>
        </is>
      </c>
      <c r="W138">
        <f>HYPERLINK("https://klasma.github.io/Logging_0482/artfynd/A 10107-2023 artfynd.xlsx", "A 10107-2023")</f>
        <v/>
      </c>
      <c r="X138">
        <f>HYPERLINK("https://klasma.github.io/Logging_0482/kartor/A 10107-2023 karta.png", "A 10107-2023")</f>
        <v/>
      </c>
      <c r="Y138">
        <f>HYPERLINK("https://klasma.github.io/Logging_0482/kartor_geotiff/A 10107-2023 georefererad karta.tif", "A 10107-2023")</f>
        <v/>
      </c>
      <c r="AA138">
        <f>HYPERLINK("https://klasma.github.io/Logging_0482/klagomål/A 10107-2023 FSC-klagomål.docx", "A 10107-2023")</f>
        <v/>
      </c>
      <c r="AB138">
        <f>HYPERLINK("https://klasma.github.io/Logging_0482/klagomålsmail/A 10107-2023 FSC-klagomål mail.docx", "A 10107-2023")</f>
        <v/>
      </c>
      <c r="AC138">
        <f>HYPERLINK("https://klasma.github.io/Logging_0482/tillsyn/A 10107-2023 tillsynsbegäran.docx", "A 10107-2023")</f>
        <v/>
      </c>
      <c r="AD138">
        <f>HYPERLINK("https://klasma.github.io/Logging_0482/tillsynsmail/A 10107-2023 tillsynsbegäran mail.docx", "A 10107-2023")</f>
        <v/>
      </c>
    </row>
    <row r="139" ht="15" customHeight="1">
      <c r="A139" t="inlineStr">
        <is>
          <t>A 33265-2024</t>
        </is>
      </c>
      <c r="B139" t="inlineStr">
        <is>
          <t>avverkningsanmälan</t>
        </is>
      </c>
      <c r="C139" t="inlineStr">
        <is>
          <t>Föryngringsavverkning</t>
        </is>
      </c>
      <c r="D139" s="1" t="n">
        <v>45518</v>
      </c>
      <c r="E139" s="1" t="n">
        <v>46313</v>
      </c>
      <c r="F139" t="inlineStr">
        <is>
          <t>SÖDERMANLANDS LÄN</t>
        </is>
      </c>
      <c r="G139" t="inlineStr">
        <is>
          <t>NYKÖPING</t>
        </is>
      </c>
      <c r="I139" t="n">
        <v>7.8</v>
      </c>
      <c r="J139" t="n">
        <v>2</v>
      </c>
      <c r="K139" t="n">
        <v>1</v>
      </c>
      <c r="L139" t="n">
        <v>1</v>
      </c>
      <c r="M139" t="n">
        <v>1</v>
      </c>
      <c r="N139" t="n">
        <v>0</v>
      </c>
      <c r="O139" t="n">
        <v>0</v>
      </c>
      <c r="P139" t="n">
        <v>0</v>
      </c>
      <c r="Q139" t="n">
        <v>2</v>
      </c>
      <c r="R139" t="n">
        <v>1</v>
      </c>
      <c r="S139" t="n">
        <v>4</v>
      </c>
      <c r="T139" t="n">
        <v>7</v>
      </c>
      <c r="U139" t="n">
        <v>7</v>
      </c>
      <c r="V139" s="2" t="inlineStr">
        <is>
          <t>Knärot
Fjällig taggsvamp s.str.
Granbarkgnagare
Blåsippa</t>
        </is>
      </c>
      <c r="W139">
        <f>HYPERLINK("https://klasma.github.io/Logging_0480/artfynd/A 33265-2024 artfynd.xlsx", "A 33265-2024")</f>
        <v/>
      </c>
      <c r="X139">
        <f>HYPERLINK("https://klasma.github.io/Logging_0480/kartor/A 33265-2024 karta.png", "A 33265-2024")</f>
        <v/>
      </c>
      <c r="Y139">
        <f>HYPERLINK("https://klasma.github.io/Logging_0480/kartor_geotiff/A 33265-2024 georefererad karta.tif", "A 33265-2024")</f>
        <v/>
      </c>
      <c r="Z139">
        <f>HYPERLINK("https://klasma.github.io/Logging_0480/knärot/A 33265-2024 karta knärot.png", "A 33265-2024")</f>
        <v/>
      </c>
      <c r="AA139">
        <f>HYPERLINK("https://klasma.github.io/Logging_0480/klagomål/A 33265-2024 FSC-klagomål.docx", "A 33265-2024")</f>
        <v/>
      </c>
      <c r="AB139">
        <f>HYPERLINK("https://klasma.github.io/Logging_0480/klagomålsmail/A 33265-2024 FSC-klagomål mail.docx", "A 33265-2024")</f>
        <v/>
      </c>
      <c r="AC139">
        <f>HYPERLINK("https://klasma.github.io/Logging_0480/tillsyn/A 33265-2024 tillsynsbegäran.docx", "A 33265-2024")</f>
        <v/>
      </c>
      <c r="AD139">
        <f>HYPERLINK("https://klasma.github.io/Logging_0480/tillsynsmail/A 33265-2024 tillsynsbegäran mail.docx", "A 33265-2024")</f>
        <v/>
      </c>
    </row>
    <row r="140" ht="15" customHeight="1">
      <c r="A140" t="inlineStr">
        <is>
          <t>A 58994-2022</t>
        </is>
      </c>
      <c r="B140" t="inlineStr">
        <is>
          <t>avverkningsanmälan</t>
        </is>
      </c>
      <c r="C140" t="inlineStr">
        <is>
          <t>Föryngringsavverkning</t>
        </is>
      </c>
      <c r="D140" s="1" t="n">
        <v>44903</v>
      </c>
      <c r="E140" s="1" t="n">
        <v>46313</v>
      </c>
      <c r="F140" t="inlineStr">
        <is>
          <t>SÖDERMANLANDS LÄN</t>
        </is>
      </c>
      <c r="G140" t="inlineStr">
        <is>
          <t>ESKILSTUNA</t>
        </is>
      </c>
      <c r="I140" t="n">
        <v>2.9</v>
      </c>
      <c r="J140" t="n">
        <v>4</v>
      </c>
      <c r="K140" t="n">
        <v>0</v>
      </c>
      <c r="L140" t="n">
        <v>2</v>
      </c>
      <c r="M140" t="n">
        <v>0</v>
      </c>
      <c r="N140" t="n">
        <v>0</v>
      </c>
      <c r="O140" t="n">
        <v>0</v>
      </c>
      <c r="P140" t="n">
        <v>0</v>
      </c>
      <c r="Q140" t="n">
        <v>2</v>
      </c>
      <c r="R140" t="n">
        <v>0</v>
      </c>
      <c r="S140" t="n">
        <v>4</v>
      </c>
      <c r="T140" t="n">
        <v>4</v>
      </c>
      <c r="U140" t="n">
        <v>0</v>
      </c>
      <c r="V140" s="2" t="inlineStr">
        <is>
          <t>Brunlångöra
Nordfladdermus
Dvärgpipistrell
Större brunfladdermus</t>
        </is>
      </c>
      <c r="W140">
        <f>HYPERLINK("https://klasma.github.io/Logging_0484/artfynd/A 58994-2022 artfynd.xlsx", "A 58994-2022")</f>
        <v/>
      </c>
      <c r="X140">
        <f>HYPERLINK("https://klasma.github.io/Logging_0484/kartor/A 58994-2022 karta.png", "A 58994-2022")</f>
        <v/>
      </c>
      <c r="Y140">
        <f>HYPERLINK("https://klasma.github.io/Logging_0484/kartor_geotiff/A 58994-2022 georefererad karta.tif", "A 58994-2022")</f>
        <v/>
      </c>
      <c r="AA140">
        <f>HYPERLINK("https://klasma.github.io/Logging_0484/klagomål/A 58994-2022 FSC-klagomål.docx", "A 58994-2022")</f>
        <v/>
      </c>
      <c r="AB140">
        <f>HYPERLINK("https://klasma.github.io/Logging_0484/klagomålsmail/A 58994-2022 FSC-klagomål mail.docx", "A 58994-2022")</f>
        <v/>
      </c>
      <c r="AC140">
        <f>HYPERLINK("https://klasma.github.io/Logging_0484/tillsyn/A 58994-2022 tillsynsbegäran.docx", "A 58994-2022")</f>
        <v/>
      </c>
      <c r="AD140">
        <f>HYPERLINK("https://klasma.github.io/Logging_0484/tillsynsmail/A 58994-2022 tillsynsbegäran mail.docx", "A 58994-2022")</f>
        <v/>
      </c>
    </row>
    <row r="141" ht="15" customHeight="1">
      <c r="A141" t="inlineStr">
        <is>
          <t>A 5869-2024</t>
        </is>
      </c>
      <c r="B141" t="inlineStr">
        <is>
          <t>avverkningsanmälan</t>
        </is>
      </c>
      <c r="C141" t="inlineStr">
        <is>
          <t>Avverkning för annat ändamål</t>
        </is>
      </c>
      <c r="D141" s="1" t="n">
        <v>45335</v>
      </c>
      <c r="E141" s="1" t="n">
        <v>46313</v>
      </c>
      <c r="F141" t="inlineStr">
        <is>
          <t>SÖDERMANLANDS LÄN</t>
        </is>
      </c>
      <c r="G141" t="inlineStr">
        <is>
          <t>NYKÖPING</t>
        </is>
      </c>
      <c r="H141" t="inlineStr">
        <is>
          <t>Sveaskog</t>
        </is>
      </c>
      <c r="I141" t="n">
        <v>1.5</v>
      </c>
      <c r="J141" t="n">
        <v>4</v>
      </c>
      <c r="K141" t="n">
        <v>0</v>
      </c>
      <c r="L141" t="n">
        <v>1</v>
      </c>
      <c r="M141" t="n">
        <v>0</v>
      </c>
      <c r="N141" t="n">
        <v>0</v>
      </c>
      <c r="O141" t="n">
        <v>0</v>
      </c>
      <c r="P141" t="n">
        <v>0</v>
      </c>
      <c r="Q141" t="n">
        <v>1</v>
      </c>
      <c r="R141" t="n">
        <v>0</v>
      </c>
      <c r="S141" t="n">
        <v>4</v>
      </c>
      <c r="T141" t="n">
        <v>4</v>
      </c>
      <c r="U141" t="n">
        <v>0</v>
      </c>
      <c r="V141" s="2" t="inlineStr">
        <is>
          <t>Gulsparv
Havsörn
Fläcknycklar
Revlummer</t>
        </is>
      </c>
      <c r="W141">
        <f>HYPERLINK("https://klasma.github.io/Logging_0480/artfynd/A 5869-2024 artfynd.xlsx", "A 5869-2024")</f>
        <v/>
      </c>
      <c r="X141">
        <f>HYPERLINK("https://klasma.github.io/Logging_0480/kartor/A 5869-2024 karta.png", "A 5869-2024")</f>
        <v/>
      </c>
      <c r="Y141">
        <f>HYPERLINK("https://klasma.github.io/Logging_0480/kartor_geotiff/A 5869-2024 georefererad karta.tif", "A 5869-2024")</f>
        <v/>
      </c>
      <c r="AA141">
        <f>HYPERLINK("https://klasma.github.io/Logging_0480/klagomål/A 5869-2024 FSC-klagomål.docx", "A 5869-2024")</f>
        <v/>
      </c>
      <c r="AB141">
        <f>HYPERLINK("https://klasma.github.io/Logging_0480/klagomålsmail/A 5869-2024 FSC-klagomål mail.docx", "A 5869-2024")</f>
        <v/>
      </c>
      <c r="AC141">
        <f>HYPERLINK("https://klasma.github.io/Logging_0480/tillsyn/A 5869-2024 tillsynsbegäran.docx", "A 5869-2024")</f>
        <v/>
      </c>
      <c r="AD141">
        <f>HYPERLINK("https://klasma.github.io/Logging_0480/tillsynsmail/A 5869-2024 tillsynsbegäran mail.docx", "A 5869-2024")</f>
        <v/>
      </c>
      <c r="AE141">
        <f>HYPERLINK("https://klasma.github.io/Logging_0480/fåglar/A 5869-2024 prioriterade fågelarter.docx", "A 5869-2024")</f>
        <v/>
      </c>
    </row>
    <row r="142" ht="15" customHeight="1">
      <c r="A142" t="inlineStr">
        <is>
          <t>A 1509-2023</t>
        </is>
      </c>
      <c r="B142" t="inlineStr">
        <is>
          <t>avverkningsanmälan</t>
        </is>
      </c>
      <c r="C142" t="inlineStr">
        <is>
          <t>Avverkning för att bevara och utveckla /försöksver</t>
        </is>
      </c>
      <c r="D142" s="1" t="n">
        <v>44937</v>
      </c>
      <c r="E142" s="1" t="n">
        <v>46313</v>
      </c>
      <c r="F142" t="inlineStr">
        <is>
          <t>SÖDERMANLANDS LÄN</t>
        </is>
      </c>
      <c r="G142" t="inlineStr">
        <is>
          <t>NYKÖPING</t>
        </is>
      </c>
      <c r="H142" t="inlineStr">
        <is>
          <t>Holmen skog AB</t>
        </is>
      </c>
      <c r="I142" t="n">
        <v>6.3</v>
      </c>
      <c r="J142" t="n">
        <v>0</v>
      </c>
      <c r="K142" t="n">
        <v>2</v>
      </c>
      <c r="L142" t="n">
        <v>2</v>
      </c>
      <c r="M142" t="n">
        <v>0</v>
      </c>
      <c r="N142" t="n">
        <v>0</v>
      </c>
      <c r="O142" t="n">
        <v>0</v>
      </c>
      <c r="P142" t="n">
        <v>0</v>
      </c>
      <c r="Q142" t="n">
        <v>2</v>
      </c>
      <c r="R142" t="n">
        <v>0</v>
      </c>
      <c r="S142" t="n">
        <v>4</v>
      </c>
      <c r="T142" t="n">
        <v>6</v>
      </c>
      <c r="U142" t="n">
        <v>4</v>
      </c>
      <c r="V142" s="2" t="inlineStr">
        <is>
          <t>Skogsklocka
Skorpgelélav
Aspvedgnagare
Stor aspticka</t>
        </is>
      </c>
      <c r="W142">
        <f>HYPERLINK("https://klasma.github.io/Logging_0480/artfynd/A 1509-2023 artfynd.xlsx", "A 1509-2023")</f>
        <v/>
      </c>
      <c r="X142">
        <f>HYPERLINK("https://klasma.github.io/Logging_0480/kartor/A 1509-2023 karta.png", "A 1509-2023")</f>
        <v/>
      </c>
      <c r="Y142">
        <f>HYPERLINK("https://klasma.github.io/Logging_0480/kartor_geotiff/A 1509-2023 georefererad karta.tif", "A 1509-2023")</f>
        <v/>
      </c>
      <c r="AA142">
        <f>HYPERLINK("https://klasma.github.io/Logging_0480/klagomål/A 1509-2023 FSC-klagomål.docx", "A 1509-2023")</f>
        <v/>
      </c>
      <c r="AB142">
        <f>HYPERLINK("https://klasma.github.io/Logging_0480/klagomålsmail/A 1509-2023 FSC-klagomål mail.docx", "A 1509-2023")</f>
        <v/>
      </c>
      <c r="AC142">
        <f>HYPERLINK("https://klasma.github.io/Logging_0480/tillsyn/A 1509-2023 tillsynsbegäran.docx", "A 1509-2023")</f>
        <v/>
      </c>
      <c r="AD142">
        <f>HYPERLINK("https://klasma.github.io/Logging_0480/tillsynsmail/A 1509-2023 tillsynsbegäran mail.docx", "A 1509-2023")</f>
        <v/>
      </c>
    </row>
    <row r="143" ht="15" customHeight="1">
      <c r="A143" t="inlineStr">
        <is>
          <t>A 21004-2025</t>
        </is>
      </c>
      <c r="B143" t="inlineStr">
        <is>
          <t>avverkningsanmälan</t>
        </is>
      </c>
      <c r="C143" t="inlineStr">
        <is>
          <t>Föryngringsavverkning</t>
        </is>
      </c>
      <c r="D143" s="1" t="n">
        <v>45777</v>
      </c>
      <c r="E143" s="1" t="n">
        <v>46313</v>
      </c>
      <c r="F143" t="inlineStr">
        <is>
          <t>SÖDERMANLANDS LÄN</t>
        </is>
      </c>
      <c r="G143" t="inlineStr">
        <is>
          <t>FLEN</t>
        </is>
      </c>
      <c r="H143" t="inlineStr">
        <is>
          <t>Holmen skog AB</t>
        </is>
      </c>
      <c r="I143" t="n">
        <v>1.8</v>
      </c>
      <c r="J143" t="n">
        <v>0</v>
      </c>
      <c r="K143" t="n">
        <v>1</v>
      </c>
      <c r="L143" t="n">
        <v>2</v>
      </c>
      <c r="M143" t="n">
        <v>0</v>
      </c>
      <c r="N143" t="n">
        <v>1</v>
      </c>
      <c r="O143" t="n">
        <v>0</v>
      </c>
      <c r="P143" t="n">
        <v>0</v>
      </c>
      <c r="Q143" t="n">
        <v>3</v>
      </c>
      <c r="R143" t="n">
        <v>1</v>
      </c>
      <c r="S143" t="n">
        <v>4</v>
      </c>
      <c r="T143" t="n">
        <v>5</v>
      </c>
      <c r="U143" t="n">
        <v>0</v>
      </c>
      <c r="V143" s="2" t="inlineStr">
        <is>
          <t>Ask
Parknål
Tallticka
Brun nållav</t>
        </is>
      </c>
      <c r="W143">
        <f>HYPERLINK("https://klasma.github.io/Logging_0482/artfynd/A 21004-2025 artfynd.xlsx", "A 21004-2025")</f>
        <v/>
      </c>
      <c r="X143">
        <f>HYPERLINK("https://klasma.github.io/Logging_0482/kartor/A 21004-2025 karta.png", "A 21004-2025")</f>
        <v/>
      </c>
      <c r="Y143">
        <f>HYPERLINK("https://klasma.github.io/Logging_0482/kartor_geotiff/A 21004-2025 georefererad karta.tif", "A 21004-2025")</f>
        <v/>
      </c>
      <c r="AA143">
        <f>HYPERLINK("https://klasma.github.io/Logging_0482/klagomål/A 21004-2025 FSC-klagomål.docx", "A 21004-2025")</f>
        <v/>
      </c>
      <c r="AB143">
        <f>HYPERLINK("https://klasma.github.io/Logging_0482/klagomålsmail/A 21004-2025 FSC-klagomål mail.docx", "A 21004-2025")</f>
        <v/>
      </c>
      <c r="AC143">
        <f>HYPERLINK("https://klasma.github.io/Logging_0482/tillsyn/A 21004-2025 tillsynsbegäran.docx", "A 21004-2025")</f>
        <v/>
      </c>
      <c r="AD143">
        <f>HYPERLINK("https://klasma.github.io/Logging_0482/tillsynsmail/A 21004-2025 tillsynsbegäran mail.docx", "A 21004-2025")</f>
        <v/>
      </c>
    </row>
    <row r="144" ht="15" customHeight="1">
      <c r="A144" t="inlineStr">
        <is>
          <t>A 188-2025</t>
        </is>
      </c>
      <c r="B144" t="inlineStr">
        <is>
          <t>avverkningsanmälan</t>
        </is>
      </c>
      <c r="C144" t="inlineStr">
        <is>
          <t>Föryngringsavverkning</t>
        </is>
      </c>
      <c r="D144" s="1" t="n">
        <v>45649</v>
      </c>
      <c r="E144" s="1" t="n">
        <v>46313</v>
      </c>
      <c r="F144" t="inlineStr">
        <is>
          <t>SÖDERMANLANDS LÄN</t>
        </is>
      </c>
      <c r="G144" t="inlineStr">
        <is>
          <t>KATRINEHOLM</t>
        </is>
      </c>
      <c r="I144" t="n">
        <v>8.9</v>
      </c>
      <c r="J144" t="n">
        <v>2</v>
      </c>
      <c r="K144" t="n">
        <v>2</v>
      </c>
      <c r="L144" t="n">
        <v>0</v>
      </c>
      <c r="M144" t="n">
        <v>0</v>
      </c>
      <c r="N144" t="n">
        <v>0</v>
      </c>
      <c r="O144" t="n">
        <v>0</v>
      </c>
      <c r="P144" t="n">
        <v>0</v>
      </c>
      <c r="Q144" t="n">
        <v>0</v>
      </c>
      <c r="R144" t="n">
        <v>0</v>
      </c>
      <c r="S144" t="n">
        <v>4</v>
      </c>
      <c r="T144" t="n">
        <v>5</v>
      </c>
      <c r="U144" t="n">
        <v>5</v>
      </c>
      <c r="V144" s="2" t="inlineStr">
        <is>
          <t>Blomkålssvamp
Blåmossa
Blåsippa
Lopplummer (aggregat)</t>
        </is>
      </c>
      <c r="W144">
        <f>HYPERLINK("https://klasma.github.io/Logging_0483/artfynd/A 188-2025 artfynd.xlsx", "A 188-2025")</f>
        <v/>
      </c>
      <c r="X144">
        <f>HYPERLINK("https://klasma.github.io/Logging_0483/kartor/A 188-2025 karta.png", "A 188-2025")</f>
        <v/>
      </c>
      <c r="Y144">
        <f>HYPERLINK("https://klasma.github.io/Logging_0483/kartor_geotiff/A 188-2025 georefererad karta.tif", "A 188-2025")</f>
        <v/>
      </c>
      <c r="AA144">
        <f>HYPERLINK("https://klasma.github.io/Logging_0483/klagomål/A 188-2025 FSC-klagomål.docx", "A 188-2025")</f>
        <v/>
      </c>
      <c r="AB144">
        <f>HYPERLINK("https://klasma.github.io/Logging_0483/klagomålsmail/A 188-2025 FSC-klagomål mail.docx", "A 188-2025")</f>
        <v/>
      </c>
      <c r="AC144">
        <f>HYPERLINK("https://klasma.github.io/Logging_0483/tillsyn/A 188-2025 tillsynsbegäran.docx", "A 188-2025")</f>
        <v/>
      </c>
      <c r="AD144">
        <f>HYPERLINK("https://klasma.github.io/Logging_0483/tillsynsmail/A 188-2025 tillsynsbegäran mail.docx", "A 188-2025")</f>
        <v/>
      </c>
    </row>
    <row r="145" ht="15" customHeight="1">
      <c r="A145" t="inlineStr">
        <is>
          <t>A 10115-2026</t>
        </is>
      </c>
      <c r="B145" t="inlineStr">
        <is>
          <t>avverkningsanmälan</t>
        </is>
      </c>
      <c r="C145" t="inlineStr">
        <is>
          <t>Föryngringsavverkning</t>
        </is>
      </c>
      <c r="D145" s="1" t="n">
        <v>46075</v>
      </c>
      <c r="E145" s="1" t="n">
        <v>46313</v>
      </c>
      <c r="F145" t="inlineStr">
        <is>
          <t>SÖDERMANLANDS LÄN</t>
        </is>
      </c>
      <c r="G145" t="inlineStr">
        <is>
          <t>NYKÖPING</t>
        </is>
      </c>
      <c r="I145" t="n">
        <v>4.2</v>
      </c>
      <c r="J145" t="n">
        <v>1</v>
      </c>
      <c r="K145" t="n">
        <v>1</v>
      </c>
      <c r="L145" t="n">
        <v>2</v>
      </c>
      <c r="M145" t="n">
        <v>0</v>
      </c>
      <c r="N145" t="n">
        <v>0</v>
      </c>
      <c r="O145" t="n">
        <v>0</v>
      </c>
      <c r="P145" t="n">
        <v>0</v>
      </c>
      <c r="Q145" t="n">
        <v>2</v>
      </c>
      <c r="R145" t="n">
        <v>0</v>
      </c>
      <c r="S145" t="n">
        <v>4</v>
      </c>
      <c r="T145" t="n">
        <v>5</v>
      </c>
      <c r="U145" t="n">
        <v>1</v>
      </c>
      <c r="V145" s="2" t="inlineStr">
        <is>
          <t>Dropptaggsvamp
Phellodon aquiloniniger
Grönpyrola
Vanlig padda</t>
        </is>
      </c>
      <c r="W145">
        <f>HYPERLINK("https://klasma.github.io/Logging_0480/artfynd/A 10115-2026 artfynd.xlsx", "A 10115-2026")</f>
        <v/>
      </c>
      <c r="X145">
        <f>HYPERLINK("https://klasma.github.io/Logging_0480/kartor/A 10115-2026 karta.png", "A 10115-2026")</f>
        <v/>
      </c>
      <c r="Y145">
        <f>HYPERLINK("https://klasma.github.io/Logging_0480/kartor_geotiff/A 10115-2026 georefererad karta.tif", "A 10115-2026")</f>
        <v/>
      </c>
      <c r="AA145">
        <f>HYPERLINK("https://klasma.github.io/Logging_0480/klagomål/A 10115-2026 FSC-klagomål.docx", "A 10115-2026")</f>
        <v/>
      </c>
      <c r="AB145">
        <f>HYPERLINK("https://klasma.github.io/Logging_0480/klagomålsmail/A 10115-2026 FSC-klagomål mail.docx", "A 10115-2026")</f>
        <v/>
      </c>
      <c r="AC145">
        <f>HYPERLINK("https://klasma.github.io/Logging_0480/tillsyn/A 10115-2026 tillsynsbegäran.docx", "A 10115-2026")</f>
        <v/>
      </c>
      <c r="AD145">
        <f>HYPERLINK("https://klasma.github.io/Logging_0480/tillsynsmail/A 10115-2026 tillsynsbegäran mail.docx", "A 10115-2026")</f>
        <v/>
      </c>
    </row>
    <row r="146" ht="15" customHeight="1">
      <c r="A146" t="inlineStr">
        <is>
          <t>A 24037-2022</t>
        </is>
      </c>
      <c r="B146" t="inlineStr">
        <is>
          <t>avverkningsanmälan</t>
        </is>
      </c>
      <c r="C146" t="inlineStr">
        <is>
          <t>Föryngringsavverkning</t>
        </is>
      </c>
      <c r="D146" s="1" t="n">
        <v>44724</v>
      </c>
      <c r="E146" s="1" t="n">
        <v>46313</v>
      </c>
      <c r="F146" t="inlineStr">
        <is>
          <t>SÖDERMANLANDS LÄN</t>
        </is>
      </c>
      <c r="G146" t="inlineStr">
        <is>
          <t>FLEN</t>
        </is>
      </c>
      <c r="I146" t="n">
        <v>2.2</v>
      </c>
      <c r="J146" t="n">
        <v>0</v>
      </c>
      <c r="K146" t="n">
        <v>0</v>
      </c>
      <c r="L146" t="n">
        <v>0</v>
      </c>
      <c r="M146" t="n">
        <v>0</v>
      </c>
      <c r="N146" t="n">
        <v>0</v>
      </c>
      <c r="O146" t="n">
        <v>0</v>
      </c>
      <c r="P146" t="n">
        <v>0</v>
      </c>
      <c r="Q146" t="n">
        <v>0</v>
      </c>
      <c r="R146" t="n">
        <v>0</v>
      </c>
      <c r="S146" t="n">
        <v>3</v>
      </c>
      <c r="T146" t="n">
        <v>3</v>
      </c>
      <c r="U146" t="n">
        <v>3</v>
      </c>
      <c r="V146" s="2" t="inlineStr">
        <is>
          <t>Blåbär
Kransmossa
Majbräken</t>
        </is>
      </c>
      <c r="W146">
        <f>HYPERLINK("https://klasma.github.io/Logging_0482/artfynd/A 24037-2022 artfynd.xlsx", "A 24037-2022")</f>
        <v/>
      </c>
      <c r="X146">
        <f>HYPERLINK("https://klasma.github.io/Logging_0482/kartor/A 24037-2022 karta.png", "A 24037-2022")</f>
        <v/>
      </c>
      <c r="Y146">
        <f>HYPERLINK("https://klasma.github.io/Logging_0482/kartor_geotiff/A 24037-2022 georefererad karta.tif", "A 24037-2022")</f>
        <v/>
      </c>
      <c r="AA146">
        <f>HYPERLINK("https://klasma.github.io/Logging_0482/klagomål/A 24037-2022 FSC-klagomål.docx", "A 24037-2022")</f>
        <v/>
      </c>
      <c r="AB146">
        <f>HYPERLINK("https://klasma.github.io/Logging_0482/klagomålsmail/A 24037-2022 FSC-klagomål mail.docx", "A 24037-2022")</f>
        <v/>
      </c>
      <c r="AC146">
        <f>HYPERLINK("https://klasma.github.io/Logging_0482/tillsyn/A 24037-2022 tillsynsbegäran.docx", "A 24037-2022")</f>
        <v/>
      </c>
      <c r="AD146">
        <f>HYPERLINK("https://klasma.github.io/Logging_0482/tillsynsmail/A 24037-2022 tillsynsbegäran mail.docx", "A 24037-2022")</f>
        <v/>
      </c>
    </row>
    <row r="147" ht="15" customHeight="1">
      <c r="A147" t="inlineStr">
        <is>
          <t>A 44495-2022</t>
        </is>
      </c>
      <c r="B147" t="inlineStr">
        <is>
          <t>avverkningsanmälan</t>
        </is>
      </c>
      <c r="C147" t="inlineStr">
        <is>
          <t>Föryngringsavverkning</t>
        </is>
      </c>
      <c r="D147" s="1" t="n">
        <v>44840</v>
      </c>
      <c r="E147" s="1" t="n">
        <v>46313</v>
      </c>
      <c r="F147" t="inlineStr">
        <is>
          <t>SÖDERMANLANDS LÄN</t>
        </is>
      </c>
      <c r="G147" t="inlineStr">
        <is>
          <t>STRÄNGNÄS</t>
        </is>
      </c>
      <c r="H147" t="inlineStr">
        <is>
          <t>Övriga Aktiebolag</t>
        </is>
      </c>
      <c r="I147" t="n">
        <v>1.5</v>
      </c>
      <c r="J147" t="n">
        <v>3</v>
      </c>
      <c r="K147" t="n">
        <v>1</v>
      </c>
      <c r="L147" t="n">
        <v>0</v>
      </c>
      <c r="M147" t="n">
        <v>0</v>
      </c>
      <c r="N147" t="n">
        <v>0</v>
      </c>
      <c r="O147" t="n">
        <v>0</v>
      </c>
      <c r="P147" t="n">
        <v>0</v>
      </c>
      <c r="Q147" t="n">
        <v>0</v>
      </c>
      <c r="R147" t="n">
        <v>0</v>
      </c>
      <c r="S147" t="n">
        <v>3</v>
      </c>
      <c r="T147" t="n">
        <v>3</v>
      </c>
      <c r="U147" t="n">
        <v>0</v>
      </c>
      <c r="V147" s="2" t="inlineStr">
        <is>
          <t>Plattlummer
Mattlummer
Revlummer</t>
        </is>
      </c>
      <c r="W147">
        <f>HYPERLINK("https://klasma.github.io/Logging_0486/artfynd/A 44495-2022 artfynd.xlsx", "A 44495-2022")</f>
        <v/>
      </c>
      <c r="X147">
        <f>HYPERLINK("https://klasma.github.io/Logging_0486/kartor/A 44495-2022 karta.png", "A 44495-2022")</f>
        <v/>
      </c>
      <c r="Y147">
        <f>HYPERLINK("https://klasma.github.io/Logging_0486/kartor_geotiff/A 44495-2022 georefererad karta.tif", "A 44495-2022")</f>
        <v/>
      </c>
      <c r="AA147">
        <f>HYPERLINK("https://klasma.github.io/Logging_0486/klagomål/A 44495-2022 FSC-klagomål.docx", "A 44495-2022")</f>
        <v/>
      </c>
      <c r="AB147">
        <f>HYPERLINK("https://klasma.github.io/Logging_0486/klagomålsmail/A 44495-2022 FSC-klagomål mail.docx", "A 44495-2022")</f>
        <v/>
      </c>
      <c r="AC147">
        <f>HYPERLINK("https://klasma.github.io/Logging_0486/tillsyn/A 44495-2022 tillsynsbegäran.docx", "A 44495-2022")</f>
        <v/>
      </c>
      <c r="AD147">
        <f>HYPERLINK("https://klasma.github.io/Logging_0486/tillsynsmail/A 44495-2022 tillsynsbegäran mail.docx", "A 44495-2022")</f>
        <v/>
      </c>
    </row>
    <row r="148" ht="15" customHeight="1">
      <c r="A148" t="inlineStr">
        <is>
          <t>A 2493-2022</t>
        </is>
      </c>
      <c r="B148" t="inlineStr">
        <is>
          <t>avverkningsanmälan</t>
        </is>
      </c>
      <c r="C148" t="inlineStr">
        <is>
          <t>Avverkning för annat ändamål</t>
        </is>
      </c>
      <c r="D148" s="1" t="n">
        <v>44579</v>
      </c>
      <c r="E148" s="1" t="n">
        <v>46313</v>
      </c>
      <c r="F148" t="inlineStr">
        <is>
          <t>SÖDERMANLANDS LÄN</t>
        </is>
      </c>
      <c r="G148" t="inlineStr">
        <is>
          <t>STRÄNGNÄS</t>
        </is>
      </c>
      <c r="I148" t="n">
        <v>36.4</v>
      </c>
      <c r="J148" t="n">
        <v>3</v>
      </c>
      <c r="K148" t="n">
        <v>0</v>
      </c>
      <c r="L148" t="n">
        <v>0</v>
      </c>
      <c r="M148" t="n">
        <v>0</v>
      </c>
      <c r="N148" t="n">
        <v>0</v>
      </c>
      <c r="O148" t="n">
        <v>0</v>
      </c>
      <c r="P148" t="n">
        <v>0</v>
      </c>
      <c r="Q148" t="n">
        <v>0</v>
      </c>
      <c r="R148" t="n">
        <v>0</v>
      </c>
      <c r="S148" t="n">
        <v>3</v>
      </c>
      <c r="T148" t="n">
        <v>5</v>
      </c>
      <c r="U148" t="n">
        <v>5</v>
      </c>
      <c r="V148" s="2" t="inlineStr">
        <is>
          <t>Kråka
Kungsfågel
Gullviva</t>
        </is>
      </c>
      <c r="W148">
        <f>HYPERLINK("https://klasma.github.io/Logging_0486/artfynd/A 2493-2022 artfynd.xlsx", "A 2493-2022")</f>
        <v/>
      </c>
      <c r="X148">
        <f>HYPERLINK("https://klasma.github.io/Logging_0486/kartor/A 2493-2022 karta.png", "A 2493-2022")</f>
        <v/>
      </c>
      <c r="Y148">
        <f>HYPERLINK("https://klasma.github.io/Logging_0486/kartor_geotiff/A 2493-2022 georefererad karta.tif", "A 2493-2022")</f>
        <v/>
      </c>
      <c r="AA148">
        <f>HYPERLINK("https://klasma.github.io/Logging_0486/klagomål/A 2493-2022 FSC-klagomål.docx", "A 2493-2022")</f>
        <v/>
      </c>
      <c r="AB148">
        <f>HYPERLINK("https://klasma.github.io/Logging_0486/klagomålsmail/A 2493-2022 FSC-klagomål mail.docx", "A 2493-2022")</f>
        <v/>
      </c>
      <c r="AC148">
        <f>HYPERLINK("https://klasma.github.io/Logging_0486/tillsyn/A 2493-2022 tillsynsbegäran.docx", "A 2493-2022")</f>
        <v/>
      </c>
      <c r="AD148">
        <f>HYPERLINK("https://klasma.github.io/Logging_0486/tillsynsmail/A 2493-2022 tillsynsbegäran mail.docx", "A 2493-2022")</f>
        <v/>
      </c>
    </row>
    <row r="149" ht="15" customHeight="1">
      <c r="A149" t="inlineStr">
        <is>
          <t>A 15060-2022</t>
        </is>
      </c>
      <c r="B149" t="inlineStr">
        <is>
          <t>avverkningsanmälan</t>
        </is>
      </c>
      <c r="C149" t="inlineStr">
        <is>
          <t>Föryngringsavverkning</t>
        </is>
      </c>
      <c r="D149" s="1" t="n">
        <v>44657</v>
      </c>
      <c r="E149" s="1" t="n">
        <v>46313</v>
      </c>
      <c r="F149" t="inlineStr">
        <is>
          <t>SÖDERMANLANDS LÄN</t>
        </is>
      </c>
      <c r="G149" t="inlineStr">
        <is>
          <t>ESKILSTUNA</t>
        </is>
      </c>
      <c r="H149" t="inlineStr">
        <is>
          <t>Kommuner</t>
        </is>
      </c>
      <c r="I149" t="n">
        <v>1.3</v>
      </c>
      <c r="J149" t="n">
        <v>1</v>
      </c>
      <c r="K149" t="n">
        <v>1</v>
      </c>
      <c r="L149" t="n">
        <v>2</v>
      </c>
      <c r="M149" t="n">
        <v>0</v>
      </c>
      <c r="N149" t="n">
        <v>0</v>
      </c>
      <c r="O149" t="n">
        <v>0</v>
      </c>
      <c r="P149" t="n">
        <v>0</v>
      </c>
      <c r="Q149" t="n">
        <v>2</v>
      </c>
      <c r="R149" t="n">
        <v>0</v>
      </c>
      <c r="S149" t="n">
        <v>3</v>
      </c>
      <c r="T149" t="n">
        <v>3</v>
      </c>
      <c r="U149" t="n">
        <v>0</v>
      </c>
      <c r="V149" s="2" t="inlineStr">
        <is>
          <t>Duvhök
Ullticka
Granbarkgnagare</t>
        </is>
      </c>
      <c r="W149">
        <f>HYPERLINK("https://klasma.github.io/Logging_0484/artfynd/A 15060-2022 artfynd.xlsx", "A 15060-2022")</f>
        <v/>
      </c>
      <c r="X149">
        <f>HYPERLINK("https://klasma.github.io/Logging_0484/kartor/A 15060-2022 karta.png", "A 15060-2022")</f>
        <v/>
      </c>
      <c r="Y149">
        <f>HYPERLINK("https://klasma.github.io/Logging_0484/kartor_geotiff/A 15060-2022 georefererad karta.tif", "A 15060-2022")</f>
        <v/>
      </c>
      <c r="AA149">
        <f>HYPERLINK("https://klasma.github.io/Logging_0484/klagomål/A 15060-2022 FSC-klagomål.docx", "A 15060-2022")</f>
        <v/>
      </c>
      <c r="AB149">
        <f>HYPERLINK("https://klasma.github.io/Logging_0484/klagomålsmail/A 15060-2022 FSC-klagomål mail.docx", "A 15060-2022")</f>
        <v/>
      </c>
      <c r="AC149">
        <f>HYPERLINK("https://klasma.github.io/Logging_0484/tillsyn/A 15060-2022 tillsynsbegäran.docx", "A 15060-2022")</f>
        <v/>
      </c>
      <c r="AD149">
        <f>HYPERLINK("https://klasma.github.io/Logging_0484/tillsynsmail/A 15060-2022 tillsynsbegäran mail.docx", "A 15060-2022")</f>
        <v/>
      </c>
      <c r="AE149">
        <f>HYPERLINK("https://klasma.github.io/Logging_0484/fåglar/A 15060-2022 prioriterade fågelarter.docx", "A 15060-2022")</f>
        <v/>
      </c>
    </row>
    <row r="150" ht="15" customHeight="1">
      <c r="A150" t="inlineStr">
        <is>
          <t>A 21966-2022</t>
        </is>
      </c>
      <c r="B150" t="inlineStr">
        <is>
          <t>avverkningsanmälan</t>
        </is>
      </c>
      <c r="C150" t="inlineStr">
        <is>
          <t>Föryngringsavverkning</t>
        </is>
      </c>
      <c r="D150" s="1" t="n">
        <v>44711</v>
      </c>
      <c r="E150" s="1" t="n">
        <v>46313</v>
      </c>
      <c r="F150" t="inlineStr">
        <is>
          <t>SÖDERMANLANDS LÄN</t>
        </is>
      </c>
      <c r="G150" t="inlineStr">
        <is>
          <t>STRÄNGNÄS</t>
        </is>
      </c>
      <c r="I150" t="n">
        <v>0.6</v>
      </c>
      <c r="J150" t="n">
        <v>1</v>
      </c>
      <c r="K150" t="n">
        <v>2</v>
      </c>
      <c r="L150" t="n">
        <v>0</v>
      </c>
      <c r="M150" t="n">
        <v>0</v>
      </c>
      <c r="N150" t="n">
        <v>1</v>
      </c>
      <c r="O150" t="n">
        <v>0</v>
      </c>
      <c r="P150" t="n">
        <v>0</v>
      </c>
      <c r="Q150" t="n">
        <v>1</v>
      </c>
      <c r="R150" t="n">
        <v>1</v>
      </c>
      <c r="S150" t="n">
        <v>3</v>
      </c>
      <c r="T150" t="n">
        <v>3</v>
      </c>
      <c r="U150" t="n">
        <v>0</v>
      </c>
      <c r="V150" s="2" t="inlineStr">
        <is>
          <t>Skogsalm
Nästrot
Svart trolldruva</t>
        </is>
      </c>
      <c r="W150">
        <f>HYPERLINK("https://klasma.github.io/Logging_0486/artfynd/A 21966-2022 artfynd.xlsx", "A 21966-2022")</f>
        <v/>
      </c>
      <c r="X150">
        <f>HYPERLINK("https://klasma.github.io/Logging_0486/kartor/A 21966-2022 karta.png", "A 21966-2022")</f>
        <v/>
      </c>
      <c r="Y150">
        <f>HYPERLINK("https://klasma.github.io/Logging_0486/kartor_geotiff/A 21966-2022 georefererad karta.tif", "A 21966-2022")</f>
        <v/>
      </c>
      <c r="AA150">
        <f>HYPERLINK("https://klasma.github.io/Logging_0486/klagomål/A 21966-2022 FSC-klagomål.docx", "A 21966-2022")</f>
        <v/>
      </c>
      <c r="AB150">
        <f>HYPERLINK("https://klasma.github.io/Logging_0486/klagomålsmail/A 21966-2022 FSC-klagomål mail.docx", "A 21966-2022")</f>
        <v/>
      </c>
      <c r="AC150">
        <f>HYPERLINK("https://klasma.github.io/Logging_0486/tillsyn/A 21966-2022 tillsynsbegäran.docx", "A 21966-2022")</f>
        <v/>
      </c>
      <c r="AD150">
        <f>HYPERLINK("https://klasma.github.io/Logging_0486/tillsynsmail/A 21966-2022 tillsynsbegäran mail.docx", "A 21966-2022")</f>
        <v/>
      </c>
    </row>
    <row r="151" ht="15" customHeight="1">
      <c r="A151" t="inlineStr">
        <is>
          <t>A 68905-2021</t>
        </is>
      </c>
      <c r="B151" t="inlineStr">
        <is>
          <t>avverkningsanmälan</t>
        </is>
      </c>
      <c r="C151" t="inlineStr">
        <is>
          <t>Föryngringsavverkning</t>
        </is>
      </c>
      <c r="D151" s="1" t="n">
        <v>44530</v>
      </c>
      <c r="E151" s="1" t="n">
        <v>46313</v>
      </c>
      <c r="F151" t="inlineStr">
        <is>
          <t>SÖDERMANLANDS LÄN</t>
        </is>
      </c>
      <c r="G151" t="inlineStr">
        <is>
          <t>STRÄNGNÄS</t>
        </is>
      </c>
      <c r="I151" t="n">
        <v>1.2</v>
      </c>
      <c r="J151" t="n">
        <v>2</v>
      </c>
      <c r="K151" t="n">
        <v>0</v>
      </c>
      <c r="L151" t="n">
        <v>1</v>
      </c>
      <c r="M151" t="n">
        <v>0</v>
      </c>
      <c r="N151" t="n">
        <v>0</v>
      </c>
      <c r="O151" t="n">
        <v>0</v>
      </c>
      <c r="P151" t="n">
        <v>0</v>
      </c>
      <c r="Q151" t="n">
        <v>1</v>
      </c>
      <c r="R151" t="n">
        <v>0</v>
      </c>
      <c r="S151" t="n">
        <v>3</v>
      </c>
      <c r="T151" t="n">
        <v>3</v>
      </c>
      <c r="U151" t="n">
        <v>3</v>
      </c>
      <c r="V151" s="2" t="inlineStr">
        <is>
          <t>Oxtungssvamp
Blåsippa
Spillkråka</t>
        </is>
      </c>
      <c r="W151">
        <f>HYPERLINK("https://klasma.github.io/Logging_0486/artfynd/A 68905-2021 artfynd.xlsx", "A 68905-2021")</f>
        <v/>
      </c>
      <c r="X151">
        <f>HYPERLINK("https://klasma.github.io/Logging_0486/kartor/A 68905-2021 karta.png", "A 68905-2021")</f>
        <v/>
      </c>
      <c r="Y151">
        <f>HYPERLINK("https://klasma.github.io/Logging_0486/kartor_geotiff/A 68905-2021 georefererad karta.tif", "A 68905-2021")</f>
        <v/>
      </c>
      <c r="AA151">
        <f>HYPERLINK("https://klasma.github.io/Logging_0486/klagomål/A 68905-2021 FSC-klagomål.docx", "A 68905-2021")</f>
        <v/>
      </c>
      <c r="AB151">
        <f>HYPERLINK("https://klasma.github.io/Logging_0486/klagomålsmail/A 68905-2021 FSC-klagomål mail.docx", "A 68905-2021")</f>
        <v/>
      </c>
      <c r="AC151">
        <f>HYPERLINK("https://klasma.github.io/Logging_0486/tillsyn/A 68905-2021 tillsynsbegäran.docx", "A 68905-2021")</f>
        <v/>
      </c>
      <c r="AD151">
        <f>HYPERLINK("https://klasma.github.io/Logging_0486/tillsynsmail/A 68905-2021 tillsynsbegäran mail.docx", "A 68905-2021")</f>
        <v/>
      </c>
      <c r="AE151">
        <f>HYPERLINK("https://klasma.github.io/Logging_0486/fåglar/A 68905-2021 prioriterade fågelarter.docx", "A 68905-2021")</f>
        <v/>
      </c>
    </row>
    <row r="152" ht="15" customHeight="1">
      <c r="A152" t="inlineStr">
        <is>
          <t>A 63029-2021</t>
        </is>
      </c>
      <c r="B152" t="inlineStr">
        <is>
          <t>avverkningsanmälan</t>
        </is>
      </c>
      <c r="C152" t="inlineStr">
        <is>
          <t>Föryngringsavverkning</t>
        </is>
      </c>
      <c r="D152" s="1" t="n">
        <v>44505</v>
      </c>
      <c r="E152" s="1" t="n">
        <v>46313</v>
      </c>
      <c r="F152" t="inlineStr">
        <is>
          <t>SÖDERMANLANDS LÄN</t>
        </is>
      </c>
      <c r="G152" t="inlineStr">
        <is>
          <t>TROSA</t>
        </is>
      </c>
      <c r="H152" t="inlineStr">
        <is>
          <t>Holmen skog AB</t>
        </is>
      </c>
      <c r="I152" t="n">
        <v>1.4</v>
      </c>
      <c r="J152" t="n">
        <v>1</v>
      </c>
      <c r="K152" t="n">
        <v>0</v>
      </c>
      <c r="L152" t="n">
        <v>1</v>
      </c>
      <c r="M152" t="n">
        <v>2</v>
      </c>
      <c r="N152" t="n">
        <v>0</v>
      </c>
      <c r="O152" t="n">
        <v>0</v>
      </c>
      <c r="P152" t="n">
        <v>0</v>
      </c>
      <c r="Q152" t="n">
        <v>3</v>
      </c>
      <c r="R152" t="n">
        <v>2</v>
      </c>
      <c r="S152" t="n">
        <v>3</v>
      </c>
      <c r="T152" t="n">
        <v>3</v>
      </c>
      <c r="U152" t="n">
        <v>1</v>
      </c>
      <c r="V152" s="2" t="inlineStr">
        <is>
          <t>Bredbrämad bastardsvärmare
Gråtrut
Vitfläckig guldvinge</t>
        </is>
      </c>
      <c r="W152">
        <f>HYPERLINK("https://klasma.github.io/Logging_0488/artfynd/A 63029-2021 artfynd.xlsx", "A 63029-2021")</f>
        <v/>
      </c>
      <c r="X152">
        <f>HYPERLINK("https://klasma.github.io/Logging_0488/kartor/A 63029-2021 karta.png", "A 63029-2021")</f>
        <v/>
      </c>
      <c r="Y152">
        <f>HYPERLINK("https://klasma.github.io/Logging_0488/kartor_geotiff/A 63029-2021 georefererad karta.tif", "A 63029-2021")</f>
        <v/>
      </c>
      <c r="AA152">
        <f>HYPERLINK("https://klasma.github.io/Logging_0488/klagomål/A 63029-2021 FSC-klagomål.docx", "A 63029-2021")</f>
        <v/>
      </c>
      <c r="AB152">
        <f>HYPERLINK("https://klasma.github.io/Logging_0488/klagomålsmail/A 63029-2021 FSC-klagomål mail.docx", "A 63029-2021")</f>
        <v/>
      </c>
      <c r="AC152">
        <f>HYPERLINK("https://klasma.github.io/Logging_0488/tillsyn/A 63029-2021 tillsynsbegäran.docx", "A 63029-2021")</f>
        <v/>
      </c>
      <c r="AD152">
        <f>HYPERLINK("https://klasma.github.io/Logging_0488/tillsynsmail/A 63029-2021 tillsynsbegäran mail.docx", "A 63029-2021")</f>
        <v/>
      </c>
    </row>
    <row r="153" ht="15" customHeight="1">
      <c r="A153" t="inlineStr">
        <is>
          <t>A 69612-2021</t>
        </is>
      </c>
      <c r="B153" t="inlineStr">
        <is>
          <t>avverkningsanmälan</t>
        </is>
      </c>
      <c r="C153" t="inlineStr">
        <is>
          <t>Föryngringsavverkning</t>
        </is>
      </c>
      <c r="D153" s="1" t="n">
        <v>44531</v>
      </c>
      <c r="E153" s="1" t="n">
        <v>46313</v>
      </c>
      <c r="F153" t="inlineStr">
        <is>
          <t>SÖDERMANLANDS LÄN</t>
        </is>
      </c>
      <c r="G153" t="inlineStr">
        <is>
          <t>NYKÖPING</t>
        </is>
      </c>
      <c r="I153" t="n">
        <v>9.199999999999999</v>
      </c>
      <c r="J153" t="n">
        <v>0</v>
      </c>
      <c r="K153" t="n">
        <v>1</v>
      </c>
      <c r="L153" t="n">
        <v>2</v>
      </c>
      <c r="M153" t="n">
        <v>0</v>
      </c>
      <c r="N153" t="n">
        <v>0</v>
      </c>
      <c r="O153" t="n">
        <v>0</v>
      </c>
      <c r="P153" t="n">
        <v>0</v>
      </c>
      <c r="Q153" t="n">
        <v>2</v>
      </c>
      <c r="R153" t="n">
        <v>0</v>
      </c>
      <c r="S153" t="n">
        <v>3</v>
      </c>
      <c r="T153" t="n">
        <v>3</v>
      </c>
      <c r="U153" t="n">
        <v>1</v>
      </c>
      <c r="V153" s="2" t="inlineStr">
        <is>
          <t>Fjällig taggsvamp s.str.
Stubbtrådmossa
Blomkålssvamp</t>
        </is>
      </c>
      <c r="W153">
        <f>HYPERLINK("https://klasma.github.io/Logging_0480/artfynd/A 69612-2021 artfynd.xlsx", "A 69612-2021")</f>
        <v/>
      </c>
      <c r="X153">
        <f>HYPERLINK("https://klasma.github.io/Logging_0480/kartor/A 69612-2021 karta.png", "A 69612-2021")</f>
        <v/>
      </c>
      <c r="Y153">
        <f>HYPERLINK("https://klasma.github.io/Logging_0480/kartor_geotiff/A 69612-2021 georefererad karta.tif", "A 69612-2021")</f>
        <v/>
      </c>
      <c r="AA153">
        <f>HYPERLINK("https://klasma.github.io/Logging_0480/klagomål/A 69612-2021 FSC-klagomål.docx", "A 69612-2021")</f>
        <v/>
      </c>
      <c r="AB153">
        <f>HYPERLINK("https://klasma.github.io/Logging_0480/klagomålsmail/A 69612-2021 FSC-klagomål mail.docx", "A 69612-2021")</f>
        <v/>
      </c>
      <c r="AC153">
        <f>HYPERLINK("https://klasma.github.io/Logging_0480/tillsyn/A 69612-2021 tillsynsbegäran.docx", "A 69612-2021")</f>
        <v/>
      </c>
      <c r="AD153">
        <f>HYPERLINK("https://klasma.github.io/Logging_0480/tillsynsmail/A 69612-2021 tillsynsbegäran mail.docx", "A 69612-2021")</f>
        <v/>
      </c>
    </row>
    <row r="154" ht="15" customHeight="1">
      <c r="A154" t="inlineStr">
        <is>
          <t>A 44632-2023</t>
        </is>
      </c>
      <c r="B154" t="inlineStr">
        <is>
          <t>avverkningsanmälan</t>
        </is>
      </c>
      <c r="C154" t="inlineStr">
        <is>
          <t>Föryngringsavverkning</t>
        </is>
      </c>
      <c r="D154" s="1" t="n">
        <v>45184</v>
      </c>
      <c r="E154" s="1" t="n">
        <v>46313</v>
      </c>
      <c r="F154" t="inlineStr">
        <is>
          <t>SÖDERMANLANDS LÄN</t>
        </is>
      </c>
      <c r="G154" t="inlineStr">
        <is>
          <t>KATRINEHOLM</t>
        </is>
      </c>
      <c r="I154" t="n">
        <v>6.2</v>
      </c>
      <c r="J154" t="n">
        <v>0</v>
      </c>
      <c r="K154" t="n">
        <v>1</v>
      </c>
      <c r="L154" t="n">
        <v>2</v>
      </c>
      <c r="M154" t="n">
        <v>0</v>
      </c>
      <c r="N154" t="n">
        <v>0</v>
      </c>
      <c r="O154" t="n">
        <v>0</v>
      </c>
      <c r="P154" t="n">
        <v>0</v>
      </c>
      <c r="Q154" t="n">
        <v>2</v>
      </c>
      <c r="R154" t="n">
        <v>0</v>
      </c>
      <c r="S154" t="n">
        <v>3</v>
      </c>
      <c r="T154" t="n">
        <v>4</v>
      </c>
      <c r="U154" t="n">
        <v>2</v>
      </c>
      <c r="V154" s="2" t="inlineStr">
        <is>
          <t>Dropptaggsvamp
Motaggsvamp
Kambräken</t>
        </is>
      </c>
      <c r="W154">
        <f>HYPERLINK("https://klasma.github.io/Logging_0483/artfynd/A 44632-2023 artfynd.xlsx", "A 44632-2023")</f>
        <v/>
      </c>
      <c r="X154">
        <f>HYPERLINK("https://klasma.github.io/Logging_0483/kartor/A 44632-2023 karta.png", "A 44632-2023")</f>
        <v/>
      </c>
      <c r="Y154">
        <f>HYPERLINK("https://klasma.github.io/Logging_0483/kartor_geotiff/A 44632-2023 georefererad karta.tif", "A 44632-2023")</f>
        <v/>
      </c>
      <c r="AA154">
        <f>HYPERLINK("https://klasma.github.io/Logging_0483/klagomål/A 44632-2023 FSC-klagomål.docx", "A 44632-2023")</f>
        <v/>
      </c>
      <c r="AB154">
        <f>HYPERLINK("https://klasma.github.io/Logging_0483/klagomålsmail/A 44632-2023 FSC-klagomål mail.docx", "A 44632-2023")</f>
        <v/>
      </c>
      <c r="AC154">
        <f>HYPERLINK("https://klasma.github.io/Logging_0483/tillsyn/A 44632-2023 tillsynsbegäran.docx", "A 44632-2023")</f>
        <v/>
      </c>
      <c r="AD154">
        <f>HYPERLINK("https://klasma.github.io/Logging_0483/tillsynsmail/A 44632-2023 tillsynsbegäran mail.docx", "A 44632-2023")</f>
        <v/>
      </c>
    </row>
    <row r="155" ht="15" customHeight="1">
      <c r="A155" t="inlineStr">
        <is>
          <t>A 31238-2022</t>
        </is>
      </c>
      <c r="B155" t="inlineStr">
        <is>
          <t>avverkningsanmälan</t>
        </is>
      </c>
      <c r="C155" t="inlineStr">
        <is>
          <t>Föryngringsavverkning</t>
        </is>
      </c>
      <c r="D155" s="1" t="n">
        <v>44771</v>
      </c>
      <c r="E155" s="1" t="n">
        <v>46313</v>
      </c>
      <c r="F155" t="inlineStr">
        <is>
          <t>SÖDERMANLANDS LÄN</t>
        </is>
      </c>
      <c r="G155" t="inlineStr">
        <is>
          <t>FLEN</t>
        </is>
      </c>
      <c r="I155" t="n">
        <v>7.5</v>
      </c>
      <c r="J155" t="n">
        <v>0</v>
      </c>
      <c r="K155" t="n">
        <v>1</v>
      </c>
      <c r="L155" t="n">
        <v>2</v>
      </c>
      <c r="M155" t="n">
        <v>0</v>
      </c>
      <c r="N155" t="n">
        <v>0</v>
      </c>
      <c r="O155" t="n">
        <v>0</v>
      </c>
      <c r="P155" t="n">
        <v>0</v>
      </c>
      <c r="Q155" t="n">
        <v>2</v>
      </c>
      <c r="R155" t="n">
        <v>0</v>
      </c>
      <c r="S155" t="n">
        <v>3</v>
      </c>
      <c r="T155" t="n">
        <v>5</v>
      </c>
      <c r="U155" t="n">
        <v>5</v>
      </c>
      <c r="V155" s="2" t="inlineStr">
        <is>
          <t>Svedjenäva
Svinrot
Skogsbräsma</t>
        </is>
      </c>
      <c r="W155">
        <f>HYPERLINK("https://klasma.github.io/Logging_0482/artfynd/A 31238-2022 artfynd.xlsx", "A 31238-2022")</f>
        <v/>
      </c>
      <c r="X155">
        <f>HYPERLINK("https://klasma.github.io/Logging_0482/kartor/A 31238-2022 karta.png", "A 31238-2022")</f>
        <v/>
      </c>
      <c r="Y155">
        <f>HYPERLINK("https://klasma.github.io/Logging_0482/kartor_geotiff/A 31238-2022 georefererad karta.tif", "A 31238-2022")</f>
        <v/>
      </c>
      <c r="AA155">
        <f>HYPERLINK("https://klasma.github.io/Logging_0482/klagomål/A 31238-2022 FSC-klagomål.docx", "A 31238-2022")</f>
        <v/>
      </c>
      <c r="AB155">
        <f>HYPERLINK("https://klasma.github.io/Logging_0482/klagomålsmail/A 31238-2022 FSC-klagomål mail.docx", "A 31238-2022")</f>
        <v/>
      </c>
      <c r="AC155">
        <f>HYPERLINK("https://klasma.github.io/Logging_0482/tillsyn/A 31238-2022 tillsynsbegäran.docx", "A 31238-2022")</f>
        <v/>
      </c>
      <c r="AD155">
        <f>HYPERLINK("https://klasma.github.io/Logging_0482/tillsynsmail/A 31238-2022 tillsynsbegäran mail.docx", "A 31238-2022")</f>
        <v/>
      </c>
    </row>
    <row r="156" ht="15" customHeight="1">
      <c r="A156" t="inlineStr">
        <is>
          <t>A 4710-2024</t>
        </is>
      </c>
      <c r="B156" t="inlineStr">
        <is>
          <t>avverkningsanmälan</t>
        </is>
      </c>
      <c r="C156" t="inlineStr">
        <is>
          <t>Föryngringsavverkning</t>
        </is>
      </c>
      <c r="D156" s="1" t="n">
        <v>45328</v>
      </c>
      <c r="E156" s="1" t="n">
        <v>46313</v>
      </c>
      <c r="F156" t="inlineStr">
        <is>
          <t>SÖDERMANLANDS LÄN</t>
        </is>
      </c>
      <c r="G156" t="inlineStr">
        <is>
          <t>NYKÖPING</t>
        </is>
      </c>
      <c r="I156" t="n">
        <v>8.699999999999999</v>
      </c>
      <c r="J156" t="n">
        <v>2</v>
      </c>
      <c r="K156" t="n">
        <v>0</v>
      </c>
      <c r="L156" t="n">
        <v>0</v>
      </c>
      <c r="M156" t="n">
        <v>0</v>
      </c>
      <c r="N156" t="n">
        <v>1</v>
      </c>
      <c r="O156" t="n">
        <v>0</v>
      </c>
      <c r="P156" t="n">
        <v>0</v>
      </c>
      <c r="Q156" t="n">
        <v>1</v>
      </c>
      <c r="R156" t="n">
        <v>1</v>
      </c>
      <c r="S156" t="n">
        <v>3</v>
      </c>
      <c r="T156" t="n">
        <v>3</v>
      </c>
      <c r="U156" t="n">
        <v>0</v>
      </c>
      <c r="V156" s="2" t="inlineStr">
        <is>
          <t>Ask
Blåsippa
Grönvit nattviol</t>
        </is>
      </c>
      <c r="W156">
        <f>HYPERLINK("https://klasma.github.io/Logging_0480/artfynd/A 4710-2024 artfynd.xlsx", "A 4710-2024")</f>
        <v/>
      </c>
      <c r="X156">
        <f>HYPERLINK("https://klasma.github.io/Logging_0480/kartor/A 4710-2024 karta.png", "A 4710-2024")</f>
        <v/>
      </c>
      <c r="Y156">
        <f>HYPERLINK("https://klasma.github.io/Logging_0480/kartor_geotiff/A 4710-2024 georefererad karta.tif", "A 4710-2024")</f>
        <v/>
      </c>
      <c r="AA156">
        <f>HYPERLINK("https://klasma.github.io/Logging_0480/klagomål/A 4710-2024 FSC-klagomål.docx", "A 4710-2024")</f>
        <v/>
      </c>
      <c r="AB156">
        <f>HYPERLINK("https://klasma.github.io/Logging_0480/klagomålsmail/A 4710-2024 FSC-klagomål mail.docx", "A 4710-2024")</f>
        <v/>
      </c>
      <c r="AC156">
        <f>HYPERLINK("https://klasma.github.io/Logging_0480/tillsyn/A 4710-2024 tillsynsbegäran.docx", "A 4710-2024")</f>
        <v/>
      </c>
      <c r="AD156">
        <f>HYPERLINK("https://klasma.github.io/Logging_0480/tillsynsmail/A 4710-2024 tillsynsbegäran mail.docx", "A 4710-2024")</f>
        <v/>
      </c>
    </row>
    <row r="157" ht="15" customHeight="1">
      <c r="A157" t="inlineStr">
        <is>
          <t>A 30242-2023</t>
        </is>
      </c>
      <c r="B157" t="inlineStr">
        <is>
          <t>avverkningsanmälan</t>
        </is>
      </c>
      <c r="C157" t="inlineStr">
        <is>
          <t>Föryngringsavverkning</t>
        </is>
      </c>
      <c r="D157" s="1" t="n">
        <v>45099</v>
      </c>
      <c r="E157" s="1" t="n">
        <v>46313</v>
      </c>
      <c r="F157" t="inlineStr">
        <is>
          <t>SÖDERMANLANDS LÄN</t>
        </is>
      </c>
      <c r="G157" t="inlineStr">
        <is>
          <t>KATRINEHOLM</t>
        </is>
      </c>
      <c r="I157" t="n">
        <v>3</v>
      </c>
      <c r="J157" t="n">
        <v>1</v>
      </c>
      <c r="K157" t="n">
        <v>0</v>
      </c>
      <c r="L157" t="n">
        <v>1</v>
      </c>
      <c r="M157" t="n">
        <v>1</v>
      </c>
      <c r="N157" t="n">
        <v>0</v>
      </c>
      <c r="O157" t="n">
        <v>0</v>
      </c>
      <c r="P157" t="n">
        <v>0</v>
      </c>
      <c r="Q157" t="n">
        <v>2</v>
      </c>
      <c r="R157" t="n">
        <v>1</v>
      </c>
      <c r="S157" t="n">
        <v>3</v>
      </c>
      <c r="T157" t="n">
        <v>3</v>
      </c>
      <c r="U157" t="n">
        <v>0</v>
      </c>
      <c r="V157" s="2" t="inlineStr">
        <is>
          <t>Mindre bastardsvärmare
Skogsklocka
Grönvit nattviol</t>
        </is>
      </c>
      <c r="W157">
        <f>HYPERLINK("https://klasma.github.io/Logging_0483/artfynd/A 30242-2023 artfynd.xlsx", "A 30242-2023")</f>
        <v/>
      </c>
      <c r="X157">
        <f>HYPERLINK("https://klasma.github.io/Logging_0483/kartor/A 30242-2023 karta.png", "A 30242-2023")</f>
        <v/>
      </c>
      <c r="Y157">
        <f>HYPERLINK("https://klasma.github.io/Logging_0483/kartor_geotiff/A 30242-2023 georefererad karta.tif", "A 30242-2023")</f>
        <v/>
      </c>
      <c r="AA157">
        <f>HYPERLINK("https://klasma.github.io/Logging_0483/klagomål/A 30242-2023 FSC-klagomål.docx", "A 30242-2023")</f>
        <v/>
      </c>
      <c r="AB157">
        <f>HYPERLINK("https://klasma.github.io/Logging_0483/klagomålsmail/A 30242-2023 FSC-klagomål mail.docx", "A 30242-2023")</f>
        <v/>
      </c>
      <c r="AC157">
        <f>HYPERLINK("https://klasma.github.io/Logging_0483/tillsyn/A 30242-2023 tillsynsbegäran.docx", "A 30242-2023")</f>
        <v/>
      </c>
      <c r="AD157">
        <f>HYPERLINK("https://klasma.github.io/Logging_0483/tillsynsmail/A 30242-2023 tillsynsbegäran mail.docx", "A 30242-2023")</f>
        <v/>
      </c>
    </row>
    <row r="158" ht="15" customHeight="1">
      <c r="A158" t="inlineStr">
        <is>
          <t>A 22417-2023</t>
        </is>
      </c>
      <c r="B158" t="inlineStr">
        <is>
          <t>avverkningsanmälan</t>
        </is>
      </c>
      <c r="C158" t="inlineStr">
        <is>
          <t>Avverkning för att bevara och utveckla /försöksver</t>
        </is>
      </c>
      <c r="D158" s="1" t="n">
        <v>45070</v>
      </c>
      <c r="E158" s="1" t="n">
        <v>46313</v>
      </c>
      <c r="F158" t="inlineStr">
        <is>
          <t>SÖDERMANLANDS LÄN</t>
        </is>
      </c>
      <c r="G158" t="inlineStr">
        <is>
          <t>NYKÖPING</t>
        </is>
      </c>
      <c r="H158" t="inlineStr">
        <is>
          <t>Holmen skog AB</t>
        </is>
      </c>
      <c r="I158" t="n">
        <v>1.6</v>
      </c>
      <c r="J158" t="n">
        <v>1</v>
      </c>
      <c r="K158" t="n">
        <v>0</v>
      </c>
      <c r="L158" t="n">
        <v>2</v>
      </c>
      <c r="M158" t="n">
        <v>0</v>
      </c>
      <c r="N158" t="n">
        <v>0</v>
      </c>
      <c r="O158" t="n">
        <v>0</v>
      </c>
      <c r="P158" t="n">
        <v>0</v>
      </c>
      <c r="Q158" t="n">
        <v>2</v>
      </c>
      <c r="R158" t="n">
        <v>0</v>
      </c>
      <c r="S158" t="n">
        <v>3</v>
      </c>
      <c r="T158" t="n">
        <v>3</v>
      </c>
      <c r="U158" t="n">
        <v>2</v>
      </c>
      <c r="V158" s="2" t="inlineStr">
        <is>
          <t>Backstarr
Sjöhjortron
Vanlig snok</t>
        </is>
      </c>
      <c r="W158">
        <f>HYPERLINK("https://klasma.github.io/Logging_0480/artfynd/A 22417-2023 artfynd.xlsx", "A 22417-2023")</f>
        <v/>
      </c>
      <c r="X158">
        <f>HYPERLINK("https://klasma.github.io/Logging_0480/kartor/A 22417-2023 karta.png", "A 22417-2023")</f>
        <v/>
      </c>
      <c r="Y158">
        <f>HYPERLINK("https://klasma.github.io/Logging_0480/kartor_geotiff/A 22417-2023 georefererad karta.tif", "A 22417-2023")</f>
        <v/>
      </c>
      <c r="AA158">
        <f>HYPERLINK("https://klasma.github.io/Logging_0480/klagomål/A 22417-2023 FSC-klagomål.docx", "A 22417-2023")</f>
        <v/>
      </c>
      <c r="AB158">
        <f>HYPERLINK("https://klasma.github.io/Logging_0480/klagomålsmail/A 22417-2023 FSC-klagomål mail.docx", "A 22417-2023")</f>
        <v/>
      </c>
      <c r="AC158">
        <f>HYPERLINK("https://klasma.github.io/Logging_0480/tillsyn/A 22417-2023 tillsynsbegäran.docx", "A 22417-2023")</f>
        <v/>
      </c>
      <c r="AD158">
        <f>HYPERLINK("https://klasma.github.io/Logging_0480/tillsynsmail/A 22417-2023 tillsynsbegäran mail.docx", "A 22417-2023")</f>
        <v/>
      </c>
    </row>
    <row r="159" ht="15" customHeight="1">
      <c r="A159" t="inlineStr">
        <is>
          <t>A 54498-2023</t>
        </is>
      </c>
      <c r="B159" t="inlineStr">
        <is>
          <t>avverkningsanmälan</t>
        </is>
      </c>
      <c r="C159" t="inlineStr">
        <is>
          <t>Föryngringsavverkning</t>
        </is>
      </c>
      <c r="D159" s="1" t="n">
        <v>45226</v>
      </c>
      <c r="E159" s="1" t="n">
        <v>46313</v>
      </c>
      <c r="F159" t="inlineStr">
        <is>
          <t>SÖDERMANLANDS LÄN</t>
        </is>
      </c>
      <c r="G159" t="inlineStr">
        <is>
          <t>NYKÖPING</t>
        </is>
      </c>
      <c r="I159" t="n">
        <v>4.7</v>
      </c>
      <c r="J159" t="n">
        <v>3</v>
      </c>
      <c r="K159" t="n">
        <v>0</v>
      </c>
      <c r="L159" t="n">
        <v>0</v>
      </c>
      <c r="M159" t="n">
        <v>0</v>
      </c>
      <c r="N159" t="n">
        <v>1</v>
      </c>
      <c r="O159" t="n">
        <v>0</v>
      </c>
      <c r="P159" t="n">
        <v>0</v>
      </c>
      <c r="Q159" t="n">
        <v>1</v>
      </c>
      <c r="R159" t="n">
        <v>1</v>
      </c>
      <c r="S159" t="n">
        <v>3</v>
      </c>
      <c r="T159" t="n">
        <v>3</v>
      </c>
      <c r="U159" t="n">
        <v>1</v>
      </c>
      <c r="V159" s="2" t="inlineStr">
        <is>
          <t>Brun glada
Trana
Utter</t>
        </is>
      </c>
      <c r="W159">
        <f>HYPERLINK("https://klasma.github.io/Logging_0480/artfynd/A 54498-2023 artfynd.xlsx", "A 54498-2023")</f>
        <v/>
      </c>
      <c r="X159">
        <f>HYPERLINK("https://klasma.github.io/Logging_0480/kartor/A 54498-2023 karta.png", "A 54498-2023")</f>
        <v/>
      </c>
      <c r="Y159">
        <f>HYPERLINK("https://klasma.github.io/Logging_0480/kartor_geotiff/A 54498-2023 georefererad karta.tif", "A 54498-2023")</f>
        <v/>
      </c>
      <c r="AA159">
        <f>HYPERLINK("https://klasma.github.io/Logging_0480/klagomål/A 54498-2023 FSC-klagomål.docx", "A 54498-2023")</f>
        <v/>
      </c>
      <c r="AB159">
        <f>HYPERLINK("https://klasma.github.io/Logging_0480/klagomålsmail/A 54498-2023 FSC-klagomål mail.docx", "A 54498-2023")</f>
        <v/>
      </c>
      <c r="AC159">
        <f>HYPERLINK("https://klasma.github.io/Logging_0480/tillsyn/A 54498-2023 tillsynsbegäran.docx", "A 54498-2023")</f>
        <v/>
      </c>
      <c r="AD159">
        <f>HYPERLINK("https://klasma.github.io/Logging_0480/tillsynsmail/A 54498-2023 tillsynsbegäran mail.docx", "A 54498-2023")</f>
        <v/>
      </c>
      <c r="AE159">
        <f>HYPERLINK("https://klasma.github.io/Logging_0480/fåglar/A 54498-2023 prioriterade fågelarter.docx", "A 54498-2023")</f>
        <v/>
      </c>
    </row>
    <row r="160" ht="15" customHeight="1">
      <c r="A160" t="inlineStr">
        <is>
          <t>A 39740-2022</t>
        </is>
      </c>
      <c r="B160" t="inlineStr">
        <is>
          <t>avverkningsanmälan</t>
        </is>
      </c>
      <c r="C160" t="inlineStr">
        <is>
          <t>Föryngringsavverkning</t>
        </is>
      </c>
      <c r="D160" s="1" t="n">
        <v>44817</v>
      </c>
      <c r="E160" s="1" t="n">
        <v>46313</v>
      </c>
      <c r="F160" t="inlineStr">
        <is>
          <t>SÖDERMANLANDS LÄN</t>
        </is>
      </c>
      <c r="G160" t="inlineStr">
        <is>
          <t>NYKÖPING</t>
        </is>
      </c>
      <c r="H160" t="inlineStr">
        <is>
          <t>Kommuner</t>
        </is>
      </c>
      <c r="I160" t="n">
        <v>3.4</v>
      </c>
      <c r="J160" t="n">
        <v>1</v>
      </c>
      <c r="K160" t="n">
        <v>1</v>
      </c>
      <c r="L160" t="n">
        <v>1</v>
      </c>
      <c r="M160" t="n">
        <v>0</v>
      </c>
      <c r="N160" t="n">
        <v>0</v>
      </c>
      <c r="O160" t="n">
        <v>0</v>
      </c>
      <c r="P160" t="n">
        <v>0</v>
      </c>
      <c r="Q160" t="n">
        <v>1</v>
      </c>
      <c r="R160" t="n">
        <v>0</v>
      </c>
      <c r="S160" t="n">
        <v>3</v>
      </c>
      <c r="T160" t="n">
        <v>3</v>
      </c>
      <c r="U160" t="n">
        <v>2</v>
      </c>
      <c r="V160" s="2" t="inlineStr">
        <is>
          <t>Tallticka
Vågbandad barkbock
Blåsippa</t>
        </is>
      </c>
      <c r="W160">
        <f>HYPERLINK("https://klasma.github.io/Logging_0480/artfynd/A 39740-2022 artfynd.xlsx", "A 39740-2022")</f>
        <v/>
      </c>
      <c r="X160">
        <f>HYPERLINK("https://klasma.github.io/Logging_0480/kartor/A 39740-2022 karta.png", "A 39740-2022")</f>
        <v/>
      </c>
      <c r="Y160">
        <f>HYPERLINK("https://klasma.github.io/Logging_0480/kartor_geotiff/A 39740-2022 georefererad karta.tif", "A 39740-2022")</f>
        <v/>
      </c>
      <c r="AA160">
        <f>HYPERLINK("https://klasma.github.io/Logging_0480/klagomål/A 39740-2022 FSC-klagomål.docx", "A 39740-2022")</f>
        <v/>
      </c>
      <c r="AB160">
        <f>HYPERLINK("https://klasma.github.io/Logging_0480/klagomålsmail/A 39740-2022 FSC-klagomål mail.docx", "A 39740-2022")</f>
        <v/>
      </c>
      <c r="AC160">
        <f>HYPERLINK("https://klasma.github.io/Logging_0480/tillsyn/A 39740-2022 tillsynsbegäran.docx", "A 39740-2022")</f>
        <v/>
      </c>
      <c r="AD160">
        <f>HYPERLINK("https://klasma.github.io/Logging_0480/tillsynsmail/A 39740-2022 tillsynsbegäran mail.docx", "A 39740-2022")</f>
        <v/>
      </c>
    </row>
    <row r="161" ht="15" customHeight="1">
      <c r="A161" t="inlineStr">
        <is>
          <t>A 22839-2025</t>
        </is>
      </c>
      <c r="B161" t="inlineStr">
        <is>
          <t>avverkningsanmälan</t>
        </is>
      </c>
      <c r="C161" t="inlineStr">
        <is>
          <t>Föryngringsavverkning</t>
        </is>
      </c>
      <c r="D161" s="1" t="n">
        <v>45789</v>
      </c>
      <c r="E161" s="1" t="n">
        <v>46313</v>
      </c>
      <c r="F161" t="inlineStr">
        <is>
          <t>SÖDERMANLANDS LÄN</t>
        </is>
      </c>
      <c r="G161" t="inlineStr">
        <is>
          <t>FLEN</t>
        </is>
      </c>
      <c r="I161" t="n">
        <v>4.5</v>
      </c>
      <c r="J161" t="n">
        <v>1</v>
      </c>
      <c r="K161" t="n">
        <v>0</v>
      </c>
      <c r="L161" t="n">
        <v>0</v>
      </c>
      <c r="M161" t="n">
        <v>0</v>
      </c>
      <c r="N161" t="n">
        <v>0</v>
      </c>
      <c r="O161" t="n">
        <v>0</v>
      </c>
      <c r="P161" t="n">
        <v>0</v>
      </c>
      <c r="Q161" t="n">
        <v>0</v>
      </c>
      <c r="R161" t="n">
        <v>0</v>
      </c>
      <c r="S161" t="n">
        <v>3</v>
      </c>
      <c r="T161" t="n">
        <v>3</v>
      </c>
      <c r="U161" t="n">
        <v>3</v>
      </c>
      <c r="V161" s="2" t="inlineStr">
        <is>
          <t>Blåsippa
Ekbräken
Missne</t>
        </is>
      </c>
      <c r="W161">
        <f>HYPERLINK("https://klasma.github.io/Logging_0482/artfynd/A 22839-2025 artfynd.xlsx", "A 22839-2025")</f>
        <v/>
      </c>
      <c r="X161">
        <f>HYPERLINK("https://klasma.github.io/Logging_0482/kartor/A 22839-2025 karta.png", "A 22839-2025")</f>
        <v/>
      </c>
      <c r="Y161">
        <f>HYPERLINK("https://klasma.github.io/Logging_0482/kartor_geotiff/A 22839-2025 georefererad karta.tif", "A 22839-2025")</f>
        <v/>
      </c>
      <c r="AA161">
        <f>HYPERLINK("https://klasma.github.io/Logging_0482/klagomål/A 22839-2025 FSC-klagomål.docx", "A 22839-2025")</f>
        <v/>
      </c>
      <c r="AB161">
        <f>HYPERLINK("https://klasma.github.io/Logging_0482/klagomålsmail/A 22839-2025 FSC-klagomål mail.docx", "A 22839-2025")</f>
        <v/>
      </c>
      <c r="AC161">
        <f>HYPERLINK("https://klasma.github.io/Logging_0482/tillsyn/A 22839-2025 tillsynsbegäran.docx", "A 22839-2025")</f>
        <v/>
      </c>
      <c r="AD161">
        <f>HYPERLINK("https://klasma.github.io/Logging_0482/tillsynsmail/A 22839-2025 tillsynsbegäran mail.docx", "A 22839-2025")</f>
        <v/>
      </c>
    </row>
    <row r="162" ht="15" customHeight="1">
      <c r="A162" t="inlineStr">
        <is>
          <t>A 39981-2025</t>
        </is>
      </c>
      <c r="B162" t="inlineStr">
        <is>
          <t>avverkningsanmälan</t>
        </is>
      </c>
      <c r="C162" t="inlineStr">
        <is>
          <t>Föryngringsavverkning</t>
        </is>
      </c>
      <c r="D162" s="1" t="n">
        <v>45893</v>
      </c>
      <c r="E162" s="1" t="n">
        <v>46313</v>
      </c>
      <c r="F162" t="inlineStr">
        <is>
          <t>SÖDERMANLANDS LÄN</t>
        </is>
      </c>
      <c r="G162" t="inlineStr">
        <is>
          <t>GNESTA</t>
        </is>
      </c>
      <c r="I162" t="n">
        <v>2.4</v>
      </c>
      <c r="J162" t="n">
        <v>2</v>
      </c>
      <c r="K162" t="n">
        <v>0</v>
      </c>
      <c r="L162" t="n">
        <v>1</v>
      </c>
      <c r="M162" t="n">
        <v>0</v>
      </c>
      <c r="N162" t="n">
        <v>0</v>
      </c>
      <c r="O162" t="n">
        <v>0</v>
      </c>
      <c r="P162" t="n">
        <v>0</v>
      </c>
      <c r="Q162" t="n">
        <v>1</v>
      </c>
      <c r="R162" t="n">
        <v>0</v>
      </c>
      <c r="S162" t="n">
        <v>3</v>
      </c>
      <c r="T162" t="n">
        <v>3</v>
      </c>
      <c r="U162" t="n">
        <v>1</v>
      </c>
      <c r="V162" s="2" t="inlineStr">
        <is>
          <t>Åkerkulla
Kungsfågel
Revlummer</t>
        </is>
      </c>
      <c r="W162">
        <f>HYPERLINK("https://klasma.github.io/Logging_0461/artfynd/A 39981-2025 artfynd.xlsx", "A 39981-2025")</f>
        <v/>
      </c>
      <c r="X162">
        <f>HYPERLINK("https://klasma.github.io/Logging_0461/kartor/A 39981-2025 karta.png", "A 39981-2025")</f>
        <v/>
      </c>
      <c r="Y162">
        <f>HYPERLINK("https://klasma.github.io/Logging_0461/kartor_geotiff/A 39981-2025 georefererad karta.tif", "A 39981-2025")</f>
        <v/>
      </c>
      <c r="AA162">
        <f>HYPERLINK("https://klasma.github.io/Logging_0461/klagomål/A 39981-2025 FSC-klagomål.docx", "A 39981-2025")</f>
        <v/>
      </c>
      <c r="AB162">
        <f>HYPERLINK("https://klasma.github.io/Logging_0461/klagomålsmail/A 39981-2025 FSC-klagomål mail.docx", "A 39981-2025")</f>
        <v/>
      </c>
      <c r="AC162">
        <f>HYPERLINK("https://klasma.github.io/Logging_0461/tillsyn/A 39981-2025 tillsynsbegäran.docx", "A 39981-2025")</f>
        <v/>
      </c>
      <c r="AD162">
        <f>HYPERLINK("https://klasma.github.io/Logging_0461/tillsynsmail/A 39981-2025 tillsynsbegäran mail.docx", "A 39981-2025")</f>
        <v/>
      </c>
    </row>
    <row r="163" ht="15" customHeight="1">
      <c r="A163" t="inlineStr">
        <is>
          <t>A 40857-2025</t>
        </is>
      </c>
      <c r="B163" t="inlineStr">
        <is>
          <t>avverkningsanmälan</t>
        </is>
      </c>
      <c r="C163" t="inlineStr">
        <is>
          <t>Föryngringsavverkning</t>
        </is>
      </c>
      <c r="D163" s="1" t="n">
        <v>45897</v>
      </c>
      <c r="E163" s="1" t="n">
        <v>46313</v>
      </c>
      <c r="F163" t="inlineStr">
        <is>
          <t>SÖDERMANLANDS LÄN</t>
        </is>
      </c>
      <c r="G163" t="inlineStr">
        <is>
          <t>ESKILSTUNA</t>
        </is>
      </c>
      <c r="H163" t="inlineStr">
        <is>
          <t>Kyrkan</t>
        </is>
      </c>
      <c r="I163" t="n">
        <v>10.8</v>
      </c>
      <c r="J163" t="n">
        <v>2</v>
      </c>
      <c r="K163" t="n">
        <v>1</v>
      </c>
      <c r="L163" t="n">
        <v>0</v>
      </c>
      <c r="M163" t="n">
        <v>0</v>
      </c>
      <c r="N163" t="n">
        <v>0</v>
      </c>
      <c r="O163" t="n">
        <v>0</v>
      </c>
      <c r="P163" t="n">
        <v>0</v>
      </c>
      <c r="Q163" t="n">
        <v>0</v>
      </c>
      <c r="R163" t="n">
        <v>0</v>
      </c>
      <c r="S163" t="n">
        <v>3</v>
      </c>
      <c r="T163" t="n">
        <v>3</v>
      </c>
      <c r="U163" t="n">
        <v>3</v>
      </c>
      <c r="V163" s="2" t="inlineStr">
        <is>
          <t>Mindre märgborre
Kungsfågel
Revlummer</t>
        </is>
      </c>
      <c r="W163">
        <f>HYPERLINK("https://klasma.github.io/Logging_0484/artfynd/A 40857-2025 artfynd.xlsx", "A 40857-2025")</f>
        <v/>
      </c>
      <c r="X163">
        <f>HYPERLINK("https://klasma.github.io/Logging_0484/kartor/A 40857-2025 karta.png", "A 40857-2025")</f>
        <v/>
      </c>
      <c r="Y163">
        <f>HYPERLINK("https://klasma.github.io/Logging_0484/kartor_geotiff/A 40857-2025 georefererad karta.tif", "A 40857-2025")</f>
        <v/>
      </c>
      <c r="AA163">
        <f>HYPERLINK("https://klasma.github.io/Logging_0484/klagomål/A 40857-2025 FSC-klagomål.docx", "A 40857-2025")</f>
        <v/>
      </c>
      <c r="AB163">
        <f>HYPERLINK("https://klasma.github.io/Logging_0484/klagomålsmail/A 40857-2025 FSC-klagomål mail.docx", "A 40857-2025")</f>
        <v/>
      </c>
      <c r="AC163">
        <f>HYPERLINK("https://klasma.github.io/Logging_0484/tillsyn/A 40857-2025 tillsynsbegäran.docx", "A 40857-2025")</f>
        <v/>
      </c>
      <c r="AD163">
        <f>HYPERLINK("https://klasma.github.io/Logging_0484/tillsynsmail/A 40857-2025 tillsynsbegäran mail.docx", "A 40857-2025")</f>
        <v/>
      </c>
    </row>
    <row r="164" ht="15" customHeight="1">
      <c r="A164" t="inlineStr">
        <is>
          <t>A 54302-2025</t>
        </is>
      </c>
      <c r="B164" t="inlineStr">
        <is>
          <t>avverkningsanmälan</t>
        </is>
      </c>
      <c r="C164" t="inlineStr">
        <is>
          <t>Föryngringsavverkning</t>
        </is>
      </c>
      <c r="D164" s="1" t="n">
        <v>45965</v>
      </c>
      <c r="E164" s="1" t="n">
        <v>46313</v>
      </c>
      <c r="F164" t="inlineStr">
        <is>
          <t>SÖDERMANLANDS LÄN</t>
        </is>
      </c>
      <c r="G164" t="inlineStr">
        <is>
          <t>FLEN</t>
        </is>
      </c>
      <c r="I164" t="n">
        <v>12.6</v>
      </c>
      <c r="J164" t="n">
        <v>1</v>
      </c>
      <c r="K164" t="n">
        <v>0</v>
      </c>
      <c r="L164" t="n">
        <v>2</v>
      </c>
      <c r="M164" t="n">
        <v>0</v>
      </c>
      <c r="N164" t="n">
        <v>0</v>
      </c>
      <c r="O164" t="n">
        <v>0</v>
      </c>
      <c r="P164" t="n">
        <v>0</v>
      </c>
      <c r="Q164" t="n">
        <v>2</v>
      </c>
      <c r="R164" t="n">
        <v>0</v>
      </c>
      <c r="S164" t="n">
        <v>3</v>
      </c>
      <c r="T164" t="n">
        <v>3</v>
      </c>
      <c r="U164" t="n">
        <v>2</v>
      </c>
      <c r="V164" s="2" t="inlineStr">
        <is>
          <t>Dofttaggsvamp
Svinrot
Mattlummer</t>
        </is>
      </c>
      <c r="W164">
        <f>HYPERLINK("https://klasma.github.io/Logging_0482/artfynd/A 54302-2025 artfynd.xlsx", "A 54302-2025")</f>
        <v/>
      </c>
      <c r="X164">
        <f>HYPERLINK("https://klasma.github.io/Logging_0482/kartor/A 54302-2025 karta.png", "A 54302-2025")</f>
        <v/>
      </c>
      <c r="Y164">
        <f>HYPERLINK("https://klasma.github.io/Logging_0482/kartor_geotiff/A 54302-2025 georefererad karta.tif", "A 54302-2025")</f>
        <v/>
      </c>
      <c r="AA164">
        <f>HYPERLINK("https://klasma.github.io/Logging_0482/klagomål/A 54302-2025 FSC-klagomål.docx", "A 54302-2025")</f>
        <v/>
      </c>
      <c r="AB164">
        <f>HYPERLINK("https://klasma.github.io/Logging_0482/klagomålsmail/A 54302-2025 FSC-klagomål mail.docx", "A 54302-2025")</f>
        <v/>
      </c>
      <c r="AC164">
        <f>HYPERLINK("https://klasma.github.io/Logging_0482/tillsyn/A 54302-2025 tillsynsbegäran.docx", "A 54302-2025")</f>
        <v/>
      </c>
      <c r="AD164">
        <f>HYPERLINK("https://klasma.github.io/Logging_0482/tillsynsmail/A 54302-2025 tillsynsbegäran mail.docx", "A 54302-2025")</f>
        <v/>
      </c>
    </row>
    <row r="165" ht="15" customHeight="1">
      <c r="A165" t="inlineStr">
        <is>
          <t>A 11640-2022</t>
        </is>
      </c>
      <c r="B165" t="inlineStr">
        <is>
          <t>avverkningsanmälan</t>
        </is>
      </c>
      <c r="C165" t="inlineStr">
        <is>
          <t>Föryngringsavverkning</t>
        </is>
      </c>
      <c r="D165" s="1" t="n">
        <v>44631</v>
      </c>
      <c r="E165" s="1" t="n">
        <v>46313</v>
      </c>
      <c r="F165" t="inlineStr">
        <is>
          <t>SÖDERMANLANDS LÄN</t>
        </is>
      </c>
      <c r="G165" t="inlineStr">
        <is>
          <t>NYKÖPING</t>
        </is>
      </c>
      <c r="H165" t="inlineStr">
        <is>
          <t>Kyrkan</t>
        </is>
      </c>
      <c r="I165" t="n">
        <v>7.6</v>
      </c>
      <c r="J165" t="n">
        <v>0</v>
      </c>
      <c r="K165" t="n">
        <v>2</v>
      </c>
      <c r="L165" t="n">
        <v>1</v>
      </c>
      <c r="M165" t="n">
        <v>0</v>
      </c>
      <c r="N165" t="n">
        <v>0</v>
      </c>
      <c r="O165" t="n">
        <v>0</v>
      </c>
      <c r="P165" t="n">
        <v>0</v>
      </c>
      <c r="Q165" t="n">
        <v>1</v>
      </c>
      <c r="R165" t="n">
        <v>0</v>
      </c>
      <c r="S165" t="n">
        <v>3</v>
      </c>
      <c r="T165" t="n">
        <v>3</v>
      </c>
      <c r="U165" t="n">
        <v>0</v>
      </c>
      <c r="V165" s="2" t="inlineStr">
        <is>
          <t>Fjällig taggsvamp s.str.
Granbarkgnagare
Grovticka</t>
        </is>
      </c>
      <c r="W165">
        <f>HYPERLINK("https://klasma.github.io/Logging_0480/artfynd/A 11640-2022 artfynd.xlsx", "A 11640-2022")</f>
        <v/>
      </c>
      <c r="X165">
        <f>HYPERLINK("https://klasma.github.io/Logging_0480/kartor/A 11640-2022 karta.png", "A 11640-2022")</f>
        <v/>
      </c>
      <c r="Y165">
        <f>HYPERLINK("https://klasma.github.io/Logging_0480/kartor_geotiff/A 11640-2022 georefererad karta.tif", "A 11640-2022")</f>
        <v/>
      </c>
      <c r="AA165">
        <f>HYPERLINK("https://klasma.github.io/Logging_0480/klagomål/A 11640-2022 FSC-klagomål.docx", "A 11640-2022")</f>
        <v/>
      </c>
      <c r="AB165">
        <f>HYPERLINK("https://klasma.github.io/Logging_0480/klagomålsmail/A 11640-2022 FSC-klagomål mail.docx", "A 11640-2022")</f>
        <v/>
      </c>
      <c r="AC165">
        <f>HYPERLINK("https://klasma.github.io/Logging_0480/tillsyn/A 11640-2022 tillsynsbegäran.docx", "A 11640-2022")</f>
        <v/>
      </c>
      <c r="AD165">
        <f>HYPERLINK("https://klasma.github.io/Logging_0480/tillsynsmail/A 11640-2022 tillsynsbegäran mail.docx", "A 11640-2022")</f>
        <v/>
      </c>
    </row>
    <row r="166" ht="15" customHeight="1">
      <c r="A166" t="inlineStr">
        <is>
          <t>A 54227-2025</t>
        </is>
      </c>
      <c r="B166" t="inlineStr">
        <is>
          <t>avverkningsanmälan</t>
        </is>
      </c>
      <c r="C166" t="inlineStr">
        <is>
          <t>Föryngringsavverkning</t>
        </is>
      </c>
      <c r="D166" s="1" t="n">
        <v>45964</v>
      </c>
      <c r="E166" s="1" t="n">
        <v>46313</v>
      </c>
      <c r="F166" t="inlineStr">
        <is>
          <t>SÖDERMANLANDS LÄN</t>
        </is>
      </c>
      <c r="G166" t="inlineStr">
        <is>
          <t>NYKÖPING</t>
        </is>
      </c>
      <c r="H166" t="inlineStr">
        <is>
          <t>Holmen skog AB</t>
        </is>
      </c>
      <c r="I166" t="n">
        <v>1.8</v>
      </c>
      <c r="J166" t="n">
        <v>0</v>
      </c>
      <c r="K166" t="n">
        <v>1</v>
      </c>
      <c r="L166" t="n">
        <v>2</v>
      </c>
      <c r="M166" t="n">
        <v>0</v>
      </c>
      <c r="N166" t="n">
        <v>0</v>
      </c>
      <c r="O166" t="n">
        <v>0</v>
      </c>
      <c r="P166" t="n">
        <v>0</v>
      </c>
      <c r="Q166" t="n">
        <v>2</v>
      </c>
      <c r="R166" t="n">
        <v>0</v>
      </c>
      <c r="S166" t="n">
        <v>3</v>
      </c>
      <c r="T166" t="n">
        <v>3</v>
      </c>
      <c r="U166" t="n">
        <v>0</v>
      </c>
      <c r="V166" s="2" t="inlineStr">
        <is>
          <t>Grantaggsvamp
Skarp dropptaggsvamp
Zontaggsvamp</t>
        </is>
      </c>
      <c r="W166">
        <f>HYPERLINK("https://klasma.github.io/Logging_0480/artfynd/A 54227-2025 artfynd.xlsx", "A 54227-2025")</f>
        <v/>
      </c>
      <c r="X166">
        <f>HYPERLINK("https://klasma.github.io/Logging_0480/kartor/A 54227-2025 karta.png", "A 54227-2025")</f>
        <v/>
      </c>
      <c r="Y166">
        <f>HYPERLINK("https://klasma.github.io/Logging_0480/kartor_geotiff/A 54227-2025 georefererad karta.tif", "A 54227-2025")</f>
        <v/>
      </c>
      <c r="AA166">
        <f>HYPERLINK("https://klasma.github.io/Logging_0480/klagomål/A 54227-2025 FSC-klagomål.docx", "A 54227-2025")</f>
        <v/>
      </c>
      <c r="AB166">
        <f>HYPERLINK("https://klasma.github.io/Logging_0480/klagomålsmail/A 54227-2025 FSC-klagomål mail.docx", "A 54227-2025")</f>
        <v/>
      </c>
      <c r="AC166">
        <f>HYPERLINK("https://klasma.github.io/Logging_0480/tillsyn/A 54227-2025 tillsynsbegäran.docx", "A 54227-2025")</f>
        <v/>
      </c>
      <c r="AD166">
        <f>HYPERLINK("https://klasma.github.io/Logging_0480/tillsynsmail/A 54227-2025 tillsynsbegäran mail.docx", "A 54227-2025")</f>
        <v/>
      </c>
    </row>
    <row r="167" ht="15" customHeight="1">
      <c r="A167" t="inlineStr">
        <is>
          <t>A 9495-2025</t>
        </is>
      </c>
      <c r="B167" t="inlineStr">
        <is>
          <t>avverkningsanmälan</t>
        </is>
      </c>
      <c r="C167" t="inlineStr">
        <is>
          <t>Föryngringsavverkning</t>
        </is>
      </c>
      <c r="D167" s="1" t="n">
        <v>45715</v>
      </c>
      <c r="E167" s="1" t="n">
        <v>46313</v>
      </c>
      <c r="F167" t="inlineStr">
        <is>
          <t>SÖDERMANLANDS LÄN</t>
        </is>
      </c>
      <c r="G167" t="inlineStr">
        <is>
          <t>ESKILSTUNA</t>
        </is>
      </c>
      <c r="I167" t="n">
        <v>9.6</v>
      </c>
      <c r="J167" t="n">
        <v>0</v>
      </c>
      <c r="K167" t="n">
        <v>0</v>
      </c>
      <c r="L167" t="n">
        <v>2</v>
      </c>
      <c r="M167" t="n">
        <v>0</v>
      </c>
      <c r="N167" t="n">
        <v>1</v>
      </c>
      <c r="O167" t="n">
        <v>0</v>
      </c>
      <c r="P167" t="n">
        <v>0</v>
      </c>
      <c r="Q167" t="n">
        <v>3</v>
      </c>
      <c r="R167" t="n">
        <v>1</v>
      </c>
      <c r="S167" t="n">
        <v>3</v>
      </c>
      <c r="T167" t="n">
        <v>19</v>
      </c>
      <c r="U167" t="n">
        <v>0</v>
      </c>
      <c r="V167" s="2" t="inlineStr">
        <is>
          <t>Ask
Svinrot
Ängsskära</t>
        </is>
      </c>
      <c r="W167">
        <f>HYPERLINK("https://klasma.github.io/Logging_0484/artfynd/A 9495-2025 artfynd.xlsx", "A 9495-2025")</f>
        <v/>
      </c>
      <c r="X167">
        <f>HYPERLINK("https://klasma.github.io/Logging_0484/kartor/A 9495-2025 karta.png", "A 9495-2025")</f>
        <v/>
      </c>
      <c r="Y167">
        <f>HYPERLINK("https://klasma.github.io/Logging_0484/kartor_geotiff/A 9495-2025 georefererad karta.tif", "A 9495-2025")</f>
        <v/>
      </c>
      <c r="AA167">
        <f>HYPERLINK("https://klasma.github.io/Logging_0484/klagomål/A 9495-2025 FSC-klagomål.docx", "A 9495-2025")</f>
        <v/>
      </c>
      <c r="AB167">
        <f>HYPERLINK("https://klasma.github.io/Logging_0484/klagomålsmail/A 9495-2025 FSC-klagomål mail.docx", "A 9495-2025")</f>
        <v/>
      </c>
      <c r="AC167">
        <f>HYPERLINK("https://klasma.github.io/Logging_0484/tillsyn/A 9495-2025 tillsynsbegäran.docx", "A 9495-2025")</f>
        <v/>
      </c>
      <c r="AD167">
        <f>HYPERLINK("https://klasma.github.io/Logging_0484/tillsynsmail/A 9495-2025 tillsynsbegäran mail.docx", "A 9495-2025")</f>
        <v/>
      </c>
    </row>
    <row r="168" ht="15" customHeight="1">
      <c r="A168" t="inlineStr">
        <is>
          <t>A 57727-2025</t>
        </is>
      </c>
      <c r="B168" t="inlineStr">
        <is>
          <t>avverkningsanmälan</t>
        </is>
      </c>
      <c r="C168" t="inlineStr">
        <is>
          <t>Föryngringsavverkning</t>
        </is>
      </c>
      <c r="D168" s="1" t="n">
        <v>45981</v>
      </c>
      <c r="E168" s="1" t="n">
        <v>46313</v>
      </c>
      <c r="F168" t="inlineStr">
        <is>
          <t>SÖDERMANLANDS LÄN</t>
        </is>
      </c>
      <c r="G168" t="inlineStr">
        <is>
          <t>NYKÖPING</t>
        </is>
      </c>
      <c r="I168" t="n">
        <v>9.6</v>
      </c>
      <c r="J168" t="n">
        <v>3</v>
      </c>
      <c r="K168" t="n">
        <v>0</v>
      </c>
      <c r="L168" t="n">
        <v>1</v>
      </c>
      <c r="M168" t="n">
        <v>0</v>
      </c>
      <c r="N168" t="n">
        <v>0</v>
      </c>
      <c r="O168" t="n">
        <v>0</v>
      </c>
      <c r="P168" t="n">
        <v>0</v>
      </c>
      <c r="Q168" t="n">
        <v>1</v>
      </c>
      <c r="R168" t="n">
        <v>0</v>
      </c>
      <c r="S168" t="n">
        <v>3</v>
      </c>
      <c r="T168" t="n">
        <v>3</v>
      </c>
      <c r="U168" t="n">
        <v>0</v>
      </c>
      <c r="V168" s="2" t="inlineStr">
        <is>
          <t>Grönsångare
Spillkråka
Trana</t>
        </is>
      </c>
      <c r="W168">
        <f>HYPERLINK("https://klasma.github.io/Logging_0480/artfynd/A 57727-2025 artfynd.xlsx", "A 57727-2025")</f>
        <v/>
      </c>
      <c r="X168">
        <f>HYPERLINK("https://klasma.github.io/Logging_0480/kartor/A 57727-2025 karta.png", "A 57727-2025")</f>
        <v/>
      </c>
      <c r="Y168">
        <f>HYPERLINK("https://klasma.github.io/Logging_0480/kartor_geotiff/A 57727-2025 georefererad karta.tif", "A 57727-2025")</f>
        <v/>
      </c>
      <c r="AA168">
        <f>HYPERLINK("https://klasma.github.io/Logging_0480/klagomål/A 57727-2025 FSC-klagomål.docx", "A 57727-2025")</f>
        <v/>
      </c>
      <c r="AB168">
        <f>HYPERLINK("https://klasma.github.io/Logging_0480/klagomålsmail/A 57727-2025 FSC-klagomål mail.docx", "A 57727-2025")</f>
        <v/>
      </c>
      <c r="AC168">
        <f>HYPERLINK("https://klasma.github.io/Logging_0480/tillsyn/A 57727-2025 tillsynsbegäran.docx", "A 57727-2025")</f>
        <v/>
      </c>
      <c r="AD168">
        <f>HYPERLINK("https://klasma.github.io/Logging_0480/tillsynsmail/A 57727-2025 tillsynsbegäran mail.docx", "A 57727-2025")</f>
        <v/>
      </c>
      <c r="AE168">
        <f>HYPERLINK("https://klasma.github.io/Logging_0480/fåglar/A 57727-2025 prioriterade fågelarter.docx", "A 57727-2025")</f>
        <v/>
      </c>
    </row>
    <row r="169" ht="15" customHeight="1">
      <c r="A169" t="inlineStr">
        <is>
          <t>A 49759-2025</t>
        </is>
      </c>
      <c r="B169" t="inlineStr">
        <is>
          <t>avverkningsanmälan</t>
        </is>
      </c>
      <c r="C169" t="inlineStr">
        <is>
          <t>Avverkning för annat ändamål</t>
        </is>
      </c>
      <c r="D169" s="1" t="n">
        <v>45939</v>
      </c>
      <c r="E169" s="1" t="n">
        <v>46313</v>
      </c>
      <c r="F169" t="inlineStr">
        <is>
          <t>SÖDERMANLANDS LÄN</t>
        </is>
      </c>
      <c r="G169" t="inlineStr">
        <is>
          <t>STRÄNGNÄS</t>
        </is>
      </c>
      <c r="I169" t="n">
        <v>0</v>
      </c>
      <c r="J169" t="n">
        <v>0</v>
      </c>
      <c r="K169" t="n">
        <v>1</v>
      </c>
      <c r="L169" t="n">
        <v>1</v>
      </c>
      <c r="M169" t="n">
        <v>0</v>
      </c>
      <c r="N169" t="n">
        <v>1</v>
      </c>
      <c r="O169" t="n">
        <v>0</v>
      </c>
      <c r="P169" t="n">
        <v>0</v>
      </c>
      <c r="Q169" t="n">
        <v>2</v>
      </c>
      <c r="R169" t="n">
        <v>1</v>
      </c>
      <c r="S169" t="n">
        <v>3</v>
      </c>
      <c r="T169" t="n">
        <v>4</v>
      </c>
      <c r="U169" t="n">
        <v>4</v>
      </c>
      <c r="V169" s="2" t="inlineStr">
        <is>
          <t>Ask
Kandelabersvamp
Guldlockmossa</t>
        </is>
      </c>
      <c r="W169">
        <f>HYPERLINK("https://klasma.github.io/Logging_0486/artfynd/A 49759-2025 artfynd.xlsx", "A 49759-2025")</f>
        <v/>
      </c>
      <c r="X169">
        <f>HYPERLINK("https://klasma.github.io/Logging_0486/kartor/A 49759-2025 karta.png", "A 49759-2025")</f>
        <v/>
      </c>
      <c r="Y169">
        <f>HYPERLINK("https://klasma.github.io/Logging_0486/kartor_geotiff/A 49759-2025 georefererad karta.tif", "A 49759-2025")</f>
        <v/>
      </c>
      <c r="AA169">
        <f>HYPERLINK("https://klasma.github.io/Logging_0486/klagomål/A 49759-2025 FSC-klagomål.docx", "A 49759-2025")</f>
        <v/>
      </c>
      <c r="AB169">
        <f>HYPERLINK("https://klasma.github.io/Logging_0486/klagomålsmail/A 49759-2025 FSC-klagomål mail.docx", "A 49759-2025")</f>
        <v/>
      </c>
      <c r="AC169">
        <f>HYPERLINK("https://klasma.github.io/Logging_0486/tillsyn/A 49759-2025 tillsynsbegäran.docx", "A 49759-2025")</f>
        <v/>
      </c>
      <c r="AD169">
        <f>HYPERLINK("https://klasma.github.io/Logging_0486/tillsynsmail/A 49759-2025 tillsynsbegäran mail.docx", "A 49759-2025")</f>
        <v/>
      </c>
    </row>
    <row r="170" ht="15" customHeight="1">
      <c r="A170" t="inlineStr">
        <is>
          <t>A 18968-2023</t>
        </is>
      </c>
      <c r="B170" t="inlineStr">
        <is>
          <t>avverkningsanmälan</t>
        </is>
      </c>
      <c r="C170" t="inlineStr">
        <is>
          <t>Föryngringsavverkning</t>
        </is>
      </c>
      <c r="D170" s="1" t="n">
        <v>45044</v>
      </c>
      <c r="E170" s="1" t="n">
        <v>46313</v>
      </c>
      <c r="F170" t="inlineStr">
        <is>
          <t>SÖDERMANLANDS LÄN</t>
        </is>
      </c>
      <c r="G170" t="inlineStr">
        <is>
          <t>ESKILSTUNA</t>
        </is>
      </c>
      <c r="I170" t="n">
        <v>3.6</v>
      </c>
      <c r="J170" t="n">
        <v>0</v>
      </c>
      <c r="K170" t="n">
        <v>2</v>
      </c>
      <c r="L170" t="n">
        <v>0</v>
      </c>
      <c r="M170" t="n">
        <v>0</v>
      </c>
      <c r="N170" t="n">
        <v>1</v>
      </c>
      <c r="O170" t="n">
        <v>0</v>
      </c>
      <c r="P170" t="n">
        <v>0</v>
      </c>
      <c r="Q170" t="n">
        <v>1</v>
      </c>
      <c r="R170" t="n">
        <v>1</v>
      </c>
      <c r="S170" t="n">
        <v>3</v>
      </c>
      <c r="T170" t="n">
        <v>8</v>
      </c>
      <c r="U170" t="n">
        <v>0</v>
      </c>
      <c r="V170" s="2" t="inlineStr">
        <is>
          <t>Ask
Svart trolldruva
Tibast</t>
        </is>
      </c>
      <c r="W170">
        <f>HYPERLINK("https://klasma.github.io/Logging_0484/artfynd/A 18968-2023 artfynd.xlsx", "A 18968-2023")</f>
        <v/>
      </c>
      <c r="X170">
        <f>HYPERLINK("https://klasma.github.io/Logging_0484/kartor/A 18968-2023 karta.png", "A 18968-2023")</f>
        <v/>
      </c>
      <c r="Y170">
        <f>HYPERLINK("https://klasma.github.io/Logging_0484/kartor_geotiff/A 18968-2023 georefererad karta.tif", "A 18968-2023")</f>
        <v/>
      </c>
      <c r="AA170">
        <f>HYPERLINK("https://klasma.github.io/Logging_0484/klagomål/A 18968-2023 FSC-klagomål.docx", "A 18968-2023")</f>
        <v/>
      </c>
      <c r="AB170">
        <f>HYPERLINK("https://klasma.github.io/Logging_0484/klagomålsmail/A 18968-2023 FSC-klagomål mail.docx", "A 18968-2023")</f>
        <v/>
      </c>
      <c r="AC170">
        <f>HYPERLINK("https://klasma.github.io/Logging_0484/tillsyn/A 18968-2023 tillsynsbegäran.docx", "A 18968-2023")</f>
        <v/>
      </c>
      <c r="AD170">
        <f>HYPERLINK("https://klasma.github.io/Logging_0484/tillsynsmail/A 18968-2023 tillsynsbegäran mail.docx", "A 18968-2023")</f>
        <v/>
      </c>
    </row>
    <row r="171" ht="15" customHeight="1">
      <c r="A171" t="inlineStr">
        <is>
          <t>A 24092-2026</t>
        </is>
      </c>
      <c r="B171" t="inlineStr">
        <is>
          <t>avverkningsanmälan</t>
        </is>
      </c>
      <c r="C171" t="inlineStr">
        <is>
          <t>Föryngringsavverkning</t>
        </is>
      </c>
      <c r="D171" s="1" t="n">
        <v>46166</v>
      </c>
      <c r="E171" s="1" t="n">
        <v>46313</v>
      </c>
      <c r="F171" t="inlineStr">
        <is>
          <t>SÖDERMANLANDS LÄN</t>
        </is>
      </c>
      <c r="G171" t="inlineStr">
        <is>
          <t>NYKÖPING</t>
        </is>
      </c>
      <c r="I171" t="n">
        <v>5.4</v>
      </c>
      <c r="J171" t="n">
        <v>0</v>
      </c>
      <c r="K171" t="n">
        <v>0</v>
      </c>
      <c r="L171" t="n">
        <v>0</v>
      </c>
      <c r="M171" t="n">
        <v>0</v>
      </c>
      <c r="N171" t="n">
        <v>0</v>
      </c>
      <c r="O171" t="n">
        <v>0</v>
      </c>
      <c r="P171" t="n">
        <v>0</v>
      </c>
      <c r="Q171" t="n">
        <v>0</v>
      </c>
      <c r="R171" t="n">
        <v>0</v>
      </c>
      <c r="S171" t="n">
        <v>3</v>
      </c>
      <c r="T171" t="n">
        <v>3</v>
      </c>
      <c r="U171" t="n">
        <v>3</v>
      </c>
      <c r="V171" s="2" t="inlineStr">
        <is>
          <t>Blåbär
Vildkaprifol
Ängskovall</t>
        </is>
      </c>
      <c r="W171">
        <f>HYPERLINK("https://klasma.github.io/Logging_0480/artfynd/A 24092-2026 artfynd.xlsx", "A 24092-2026")</f>
        <v/>
      </c>
      <c r="X171">
        <f>HYPERLINK("https://klasma.github.io/Logging_0480/kartor/A 24092-2026 karta.png", "A 24092-2026")</f>
        <v/>
      </c>
      <c r="Y171">
        <f>HYPERLINK("https://klasma.github.io/Logging_0480/kartor_geotiff/A 24092-2026 georefererad karta.tif", "A 24092-2026")</f>
        <v/>
      </c>
      <c r="AA171">
        <f>HYPERLINK("https://klasma.github.io/Logging_0480/klagomål/A 24092-2026 FSC-klagomål.docx", "A 24092-2026")</f>
        <v/>
      </c>
      <c r="AB171">
        <f>HYPERLINK("https://klasma.github.io/Logging_0480/klagomålsmail/A 24092-2026 FSC-klagomål mail.docx", "A 24092-2026")</f>
        <v/>
      </c>
      <c r="AC171">
        <f>HYPERLINK("https://klasma.github.io/Logging_0480/tillsyn/A 24092-2026 tillsynsbegäran.docx", "A 24092-2026")</f>
        <v/>
      </c>
      <c r="AD171">
        <f>HYPERLINK("https://klasma.github.io/Logging_0480/tillsynsmail/A 24092-2026 tillsynsbegäran mail.docx", "A 24092-2026")</f>
        <v/>
      </c>
    </row>
    <row r="172" ht="15" customHeight="1">
      <c r="A172" t="inlineStr">
        <is>
          <t>A 60926-2025</t>
        </is>
      </c>
      <c r="B172" t="inlineStr">
        <is>
          <t>avverkningsanmälan</t>
        </is>
      </c>
      <c r="C172" t="inlineStr">
        <is>
          <t>Föryngringsavverkning</t>
        </is>
      </c>
      <c r="D172" s="1" t="n">
        <v>45999</v>
      </c>
      <c r="E172" s="1" t="n">
        <v>46313</v>
      </c>
      <c r="F172" t="inlineStr">
        <is>
          <t>SÖDERMANLANDS LÄN</t>
        </is>
      </c>
      <c r="G172" t="inlineStr">
        <is>
          <t>ESKILSTUNA</t>
        </is>
      </c>
      <c r="H172" t="inlineStr">
        <is>
          <t>Allmännings- och besparingsskogar</t>
        </is>
      </c>
      <c r="I172" t="n">
        <v>2.3</v>
      </c>
      <c r="J172" t="n">
        <v>2</v>
      </c>
      <c r="K172" t="n">
        <v>0</v>
      </c>
      <c r="L172" t="n">
        <v>2</v>
      </c>
      <c r="M172" t="n">
        <v>1</v>
      </c>
      <c r="N172" t="n">
        <v>0</v>
      </c>
      <c r="O172" t="n">
        <v>0</v>
      </c>
      <c r="P172" t="n">
        <v>0</v>
      </c>
      <c r="Q172" t="n">
        <v>3</v>
      </c>
      <c r="R172" t="n">
        <v>1</v>
      </c>
      <c r="S172" t="n">
        <v>3</v>
      </c>
      <c r="T172" t="n">
        <v>3</v>
      </c>
      <c r="U172" t="n">
        <v>0</v>
      </c>
      <c r="V172" s="2" t="inlineStr">
        <is>
          <t>Knärot
Talltita
Älg</t>
        </is>
      </c>
      <c r="W172">
        <f>HYPERLINK("https://klasma.github.io/Logging_0484/artfynd/A 60926-2025 artfynd.xlsx", "A 60926-2025")</f>
        <v/>
      </c>
      <c r="X172">
        <f>HYPERLINK("https://klasma.github.io/Logging_0484/kartor/A 60926-2025 karta.png", "A 60926-2025")</f>
        <v/>
      </c>
      <c r="Y172">
        <f>HYPERLINK("https://klasma.github.io/Logging_0484/kartor_geotiff/A 60926-2025 georefererad karta.tif", "A 60926-2025")</f>
        <v/>
      </c>
      <c r="Z172">
        <f>HYPERLINK("https://klasma.github.io/Logging_0484/knärot/A 60926-2025 karta knärot.png", "A 60926-2025")</f>
        <v/>
      </c>
      <c r="AA172">
        <f>HYPERLINK("https://klasma.github.io/Logging_0484/klagomål/A 60926-2025 FSC-klagomål.docx", "A 60926-2025")</f>
        <v/>
      </c>
      <c r="AB172">
        <f>HYPERLINK("https://klasma.github.io/Logging_0484/klagomålsmail/A 60926-2025 FSC-klagomål mail.docx", "A 60926-2025")</f>
        <v/>
      </c>
      <c r="AC172">
        <f>HYPERLINK("https://klasma.github.io/Logging_0484/tillsyn/A 60926-2025 tillsynsbegäran.docx", "A 60926-2025")</f>
        <v/>
      </c>
      <c r="AD172">
        <f>HYPERLINK("https://klasma.github.io/Logging_0484/tillsynsmail/A 60926-2025 tillsynsbegäran mail.docx", "A 60926-2025")</f>
        <v/>
      </c>
      <c r="AE172">
        <f>HYPERLINK("https://klasma.github.io/Logging_0484/fåglar/A 60926-2025 prioriterade fågelarter.docx", "A 60926-2025")</f>
        <v/>
      </c>
    </row>
    <row r="173" ht="15" customHeight="1">
      <c r="A173" t="inlineStr">
        <is>
          <t>A 571-2023</t>
        </is>
      </c>
      <c r="B173" t="inlineStr">
        <is>
          <t>avverkningsanmälan</t>
        </is>
      </c>
      <c r="C173" t="inlineStr">
        <is>
          <t>Föryngringsavverkning</t>
        </is>
      </c>
      <c r="D173" s="1" t="n">
        <v>44930</v>
      </c>
      <c r="E173" s="1" t="n">
        <v>46313</v>
      </c>
      <c r="F173" t="inlineStr">
        <is>
          <t>SÖDERMANLANDS LÄN</t>
        </is>
      </c>
      <c r="G173" t="inlineStr">
        <is>
          <t>ESKILSTUNA</t>
        </is>
      </c>
      <c r="H173" t="inlineStr">
        <is>
          <t>Kyrkan</t>
        </is>
      </c>
      <c r="I173" t="n">
        <v>2.6</v>
      </c>
      <c r="J173" t="n">
        <v>3</v>
      </c>
      <c r="K173" t="n">
        <v>0</v>
      </c>
      <c r="L173" t="n">
        <v>0</v>
      </c>
      <c r="M173" t="n">
        <v>0</v>
      </c>
      <c r="N173" t="n">
        <v>0</v>
      </c>
      <c r="O173" t="n">
        <v>0</v>
      </c>
      <c r="P173" t="n">
        <v>0</v>
      </c>
      <c r="Q173" t="n">
        <v>0</v>
      </c>
      <c r="R173" t="n">
        <v>0</v>
      </c>
      <c r="S173" t="n">
        <v>3</v>
      </c>
      <c r="T173" t="n">
        <v>4</v>
      </c>
      <c r="U173" t="n">
        <v>4</v>
      </c>
      <c r="V173" s="2" t="inlineStr">
        <is>
          <t>Spillkråka
Trädlärka
Revlummer</t>
        </is>
      </c>
      <c r="W173">
        <f>HYPERLINK("https://klasma.github.io/Logging_0484/artfynd/A 571-2023 artfynd.xlsx", "A 571-2023")</f>
        <v/>
      </c>
      <c r="X173">
        <f>HYPERLINK("https://klasma.github.io/Logging_0484/kartor/A 571-2023 karta.png", "A 571-2023")</f>
        <v/>
      </c>
      <c r="Y173">
        <f>HYPERLINK("https://klasma.github.io/Logging_0484/kartor_geotiff/A 571-2023 georefererad karta.tif", "A 571-2023")</f>
        <v/>
      </c>
      <c r="AA173">
        <f>HYPERLINK("https://klasma.github.io/Logging_0484/klagomål/A 571-2023 FSC-klagomål.docx", "A 571-2023")</f>
        <v/>
      </c>
      <c r="AB173">
        <f>HYPERLINK("https://klasma.github.io/Logging_0484/klagomålsmail/A 571-2023 FSC-klagomål mail.docx", "A 571-2023")</f>
        <v/>
      </c>
      <c r="AC173">
        <f>HYPERLINK("https://klasma.github.io/Logging_0484/tillsyn/A 571-2023 tillsynsbegäran.docx", "A 571-2023")</f>
        <v/>
      </c>
      <c r="AD173">
        <f>HYPERLINK("https://klasma.github.io/Logging_0484/tillsynsmail/A 571-2023 tillsynsbegäran mail.docx", "A 571-2023")</f>
        <v/>
      </c>
      <c r="AE173">
        <f>HYPERLINK("https://klasma.github.io/Logging_0484/fåglar/A 571-2023 prioriterade fågelarter.docx", "A 571-2023")</f>
        <v/>
      </c>
    </row>
    <row r="174" ht="15" customHeight="1">
      <c r="A174" t="inlineStr">
        <is>
          <t>A 24688-2026</t>
        </is>
      </c>
      <c r="B174" t="inlineStr">
        <is>
          <t>avverkningsanmälan</t>
        </is>
      </c>
      <c r="C174" t="inlineStr">
        <is>
          <t>Föryngringsavverkning</t>
        </is>
      </c>
      <c r="D174" s="1" t="n">
        <v>46171</v>
      </c>
      <c r="E174" s="1" t="n">
        <v>46313</v>
      </c>
      <c r="F174" t="inlineStr">
        <is>
          <t>SÖDERMANLANDS LÄN</t>
        </is>
      </c>
      <c r="G174" t="inlineStr">
        <is>
          <t>STRÄNGNÄS</t>
        </is>
      </c>
      <c r="I174" t="n">
        <v>5.1</v>
      </c>
      <c r="J174" t="n">
        <v>0</v>
      </c>
      <c r="K174" t="n">
        <v>0</v>
      </c>
      <c r="L174" t="n">
        <v>2</v>
      </c>
      <c r="M174" t="n">
        <v>0</v>
      </c>
      <c r="N174" t="n">
        <v>0</v>
      </c>
      <c r="O174" t="n">
        <v>0</v>
      </c>
      <c r="P174" t="n">
        <v>0</v>
      </c>
      <c r="Q174" t="n">
        <v>2</v>
      </c>
      <c r="R174" t="n">
        <v>0</v>
      </c>
      <c r="S174" t="n">
        <v>3</v>
      </c>
      <c r="T174" t="n">
        <v>3</v>
      </c>
      <c r="U174" t="n">
        <v>2</v>
      </c>
      <c r="V174" s="2" t="inlineStr">
        <is>
          <t>Blekticka
Svartöra
Ormbär</t>
        </is>
      </c>
      <c r="W174">
        <f>HYPERLINK("https://klasma.github.io/Logging_0486/artfynd/A 24688-2026 artfynd.xlsx", "A 24688-2026")</f>
        <v/>
      </c>
      <c r="X174">
        <f>HYPERLINK("https://klasma.github.io/Logging_0486/kartor/A 24688-2026 karta.png", "A 24688-2026")</f>
        <v/>
      </c>
      <c r="Y174">
        <f>HYPERLINK("https://klasma.github.io/Logging_0486/kartor_geotiff/A 24688-2026 georefererad karta.tif", "A 24688-2026")</f>
        <v/>
      </c>
      <c r="AA174">
        <f>HYPERLINK("https://klasma.github.io/Logging_0486/klagomål/A 24688-2026 FSC-klagomål.docx", "A 24688-2026")</f>
        <v/>
      </c>
      <c r="AB174">
        <f>HYPERLINK("https://klasma.github.io/Logging_0486/klagomålsmail/A 24688-2026 FSC-klagomål mail.docx", "A 24688-2026")</f>
        <v/>
      </c>
      <c r="AC174">
        <f>HYPERLINK("https://klasma.github.io/Logging_0486/tillsyn/A 24688-2026 tillsynsbegäran.docx", "A 24688-2026")</f>
        <v/>
      </c>
      <c r="AD174">
        <f>HYPERLINK("https://klasma.github.io/Logging_0486/tillsynsmail/A 24688-2026 tillsynsbegäran mail.docx", "A 24688-2026")</f>
        <v/>
      </c>
    </row>
    <row r="175" ht="15" customHeight="1">
      <c r="A175" t="inlineStr">
        <is>
          <t>A 7322-2023</t>
        </is>
      </c>
      <c r="B175" t="inlineStr">
        <is>
          <t>avverkningsanmälan</t>
        </is>
      </c>
      <c r="C175" t="inlineStr">
        <is>
          <t>Avverkning för annat ändamål</t>
        </is>
      </c>
      <c r="D175" s="1" t="n">
        <v>44970</v>
      </c>
      <c r="E175" s="1" t="n">
        <v>46313</v>
      </c>
      <c r="F175" t="inlineStr">
        <is>
          <t>SÖDERMANLANDS LÄN</t>
        </is>
      </c>
      <c r="G175" t="inlineStr">
        <is>
          <t>KATRINEHOLM</t>
        </is>
      </c>
      <c r="I175" t="n">
        <v>2.1</v>
      </c>
      <c r="J175" t="n">
        <v>3</v>
      </c>
      <c r="K175" t="n">
        <v>0</v>
      </c>
      <c r="L175" t="n">
        <v>1</v>
      </c>
      <c r="M175" t="n">
        <v>0</v>
      </c>
      <c r="N175" t="n">
        <v>0</v>
      </c>
      <c r="O175" t="n">
        <v>0</v>
      </c>
      <c r="P175" t="n">
        <v>0</v>
      </c>
      <c r="Q175" t="n">
        <v>1</v>
      </c>
      <c r="R175" t="n">
        <v>0</v>
      </c>
      <c r="S175" t="n">
        <v>3</v>
      </c>
      <c r="T175" t="n">
        <v>3</v>
      </c>
      <c r="U175" t="n">
        <v>3</v>
      </c>
      <c r="V175" s="2" t="inlineStr">
        <is>
          <t>Gulsparv
Spillkråka
Skogsödla</t>
        </is>
      </c>
      <c r="W175">
        <f>HYPERLINK("https://klasma.github.io/Logging_0483/artfynd/A 7322-2023 artfynd.xlsx", "A 7322-2023")</f>
        <v/>
      </c>
      <c r="X175">
        <f>HYPERLINK("https://klasma.github.io/Logging_0483/kartor/A 7322-2023 karta.png", "A 7322-2023")</f>
        <v/>
      </c>
      <c r="Y175">
        <f>HYPERLINK("https://klasma.github.io/Logging_0483/kartor_geotiff/A 7322-2023 georefererad karta.tif", "A 7322-2023")</f>
        <v/>
      </c>
      <c r="AA175">
        <f>HYPERLINK("https://klasma.github.io/Logging_0483/klagomål/A 7322-2023 FSC-klagomål.docx", "A 7322-2023")</f>
        <v/>
      </c>
      <c r="AB175">
        <f>HYPERLINK("https://klasma.github.io/Logging_0483/klagomålsmail/A 7322-2023 FSC-klagomål mail.docx", "A 7322-2023")</f>
        <v/>
      </c>
      <c r="AC175">
        <f>HYPERLINK("https://klasma.github.io/Logging_0483/tillsyn/A 7322-2023 tillsynsbegäran.docx", "A 7322-2023")</f>
        <v/>
      </c>
      <c r="AD175">
        <f>HYPERLINK("https://klasma.github.io/Logging_0483/tillsynsmail/A 7322-2023 tillsynsbegäran mail.docx", "A 7322-2023")</f>
        <v/>
      </c>
      <c r="AE175">
        <f>HYPERLINK("https://klasma.github.io/Logging_0483/fåglar/A 7322-2023 prioriterade fågelarter.docx", "A 7322-2023")</f>
        <v/>
      </c>
    </row>
    <row r="176" ht="15" customHeight="1">
      <c r="A176" t="inlineStr">
        <is>
          <t>A 53573-2022</t>
        </is>
      </c>
      <c r="B176" t="inlineStr">
        <is>
          <t>avverkningsanmälan</t>
        </is>
      </c>
      <c r="C176" t="inlineStr">
        <is>
          <t>Föryngringsavverkning</t>
        </is>
      </c>
      <c r="D176" s="1" t="n">
        <v>44879</v>
      </c>
      <c r="E176" s="1" t="n">
        <v>46313</v>
      </c>
      <c r="F176" t="inlineStr">
        <is>
          <t>SÖDERMANLANDS LÄN</t>
        </is>
      </c>
      <c r="G176" t="inlineStr">
        <is>
          <t>NYKÖPING</t>
        </is>
      </c>
      <c r="H176" t="inlineStr">
        <is>
          <t>Övriga Aktiebolag</t>
        </is>
      </c>
      <c r="I176" t="n">
        <v>9.199999999999999</v>
      </c>
      <c r="J176" t="n">
        <v>0</v>
      </c>
      <c r="K176" t="n">
        <v>0</v>
      </c>
      <c r="L176" t="n">
        <v>3</v>
      </c>
      <c r="M176" t="n">
        <v>0</v>
      </c>
      <c r="N176" t="n">
        <v>0</v>
      </c>
      <c r="O176" t="n">
        <v>0</v>
      </c>
      <c r="P176" t="n">
        <v>0</v>
      </c>
      <c r="Q176" t="n">
        <v>3</v>
      </c>
      <c r="R176" t="n">
        <v>0</v>
      </c>
      <c r="S176" t="n">
        <v>3</v>
      </c>
      <c r="T176" t="n">
        <v>3</v>
      </c>
      <c r="U176" t="n">
        <v>0</v>
      </c>
      <c r="V176" s="2" t="inlineStr">
        <is>
          <t>Dofttaggsvamp
Fjällig taggsvamp s.str.
Sotvaxskivling</t>
        </is>
      </c>
      <c r="W176">
        <f>HYPERLINK("https://klasma.github.io/Logging_0480/artfynd/A 53573-2022 artfynd.xlsx", "A 53573-2022")</f>
        <v/>
      </c>
      <c r="X176">
        <f>HYPERLINK("https://klasma.github.io/Logging_0480/kartor/A 53573-2022 karta.png", "A 53573-2022")</f>
        <v/>
      </c>
      <c r="Y176">
        <f>HYPERLINK("https://klasma.github.io/Logging_0480/kartor_geotiff/A 53573-2022 georefererad karta.tif", "A 53573-2022")</f>
        <v/>
      </c>
      <c r="AA176">
        <f>HYPERLINK("https://klasma.github.io/Logging_0480/klagomål/A 53573-2022 FSC-klagomål.docx", "A 53573-2022")</f>
        <v/>
      </c>
      <c r="AB176">
        <f>HYPERLINK("https://klasma.github.io/Logging_0480/klagomålsmail/A 53573-2022 FSC-klagomål mail.docx", "A 53573-2022")</f>
        <v/>
      </c>
      <c r="AC176">
        <f>HYPERLINK("https://klasma.github.io/Logging_0480/tillsyn/A 53573-2022 tillsynsbegäran.docx", "A 53573-2022")</f>
        <v/>
      </c>
      <c r="AD176">
        <f>HYPERLINK("https://klasma.github.io/Logging_0480/tillsynsmail/A 53573-2022 tillsynsbegäran mail.docx", "A 53573-2022")</f>
        <v/>
      </c>
    </row>
    <row r="177" ht="15" customHeight="1">
      <c r="A177" t="inlineStr">
        <is>
          <t>A 38203-2022</t>
        </is>
      </c>
      <c r="B177" t="inlineStr">
        <is>
          <t>avverkningsanmälan</t>
        </is>
      </c>
      <c r="C177" t="inlineStr">
        <is>
          <t>Föryngringsavverkning</t>
        </is>
      </c>
      <c r="D177" s="1" t="n">
        <v>44812</v>
      </c>
      <c r="E177" s="1" t="n">
        <v>46313</v>
      </c>
      <c r="F177" t="inlineStr">
        <is>
          <t>SÖDERMANLANDS LÄN</t>
        </is>
      </c>
      <c r="G177" t="inlineStr">
        <is>
          <t>NYKÖPING</t>
        </is>
      </c>
      <c r="I177" t="n">
        <v>1.9</v>
      </c>
      <c r="J177" t="n">
        <v>1</v>
      </c>
      <c r="K177" t="n">
        <v>0</v>
      </c>
      <c r="L177" t="n">
        <v>3</v>
      </c>
      <c r="M177" t="n">
        <v>0</v>
      </c>
      <c r="N177" t="n">
        <v>0</v>
      </c>
      <c r="O177" t="n">
        <v>0</v>
      </c>
      <c r="P177" t="n">
        <v>0</v>
      </c>
      <c r="Q177" t="n">
        <v>3</v>
      </c>
      <c r="R177" t="n">
        <v>0</v>
      </c>
      <c r="S177" t="n">
        <v>3</v>
      </c>
      <c r="T177" t="n">
        <v>3</v>
      </c>
      <c r="U177" t="n">
        <v>0</v>
      </c>
      <c r="V177" s="2" t="inlineStr">
        <is>
          <t>Gulsparv
Kösa
Linmåra/småsnärjmåra</t>
        </is>
      </c>
      <c r="W177">
        <f>HYPERLINK("https://klasma.github.io/Logging_0480/artfynd/A 38203-2022 artfynd.xlsx", "A 38203-2022")</f>
        <v/>
      </c>
      <c r="X177">
        <f>HYPERLINK("https://klasma.github.io/Logging_0480/kartor/A 38203-2022 karta.png", "A 38203-2022")</f>
        <v/>
      </c>
      <c r="Y177">
        <f>HYPERLINK("https://klasma.github.io/Logging_0480/kartor_geotiff/A 38203-2022 georefererad karta.tif", "A 38203-2022")</f>
        <v/>
      </c>
      <c r="AA177">
        <f>HYPERLINK("https://klasma.github.io/Logging_0480/klagomål/A 38203-2022 FSC-klagomål.docx", "A 38203-2022")</f>
        <v/>
      </c>
      <c r="AB177">
        <f>HYPERLINK("https://klasma.github.io/Logging_0480/klagomålsmail/A 38203-2022 FSC-klagomål mail.docx", "A 38203-2022")</f>
        <v/>
      </c>
      <c r="AC177">
        <f>HYPERLINK("https://klasma.github.io/Logging_0480/tillsyn/A 38203-2022 tillsynsbegäran.docx", "A 38203-2022")</f>
        <v/>
      </c>
      <c r="AD177">
        <f>HYPERLINK("https://klasma.github.io/Logging_0480/tillsynsmail/A 38203-2022 tillsynsbegäran mail.docx", "A 38203-2022")</f>
        <v/>
      </c>
      <c r="AE177">
        <f>HYPERLINK("https://klasma.github.io/Logging_0480/fåglar/A 38203-2022 prioriterade fågelarter.docx", "A 38203-2022")</f>
        <v/>
      </c>
    </row>
    <row r="178" ht="15" customHeight="1">
      <c r="A178" t="inlineStr">
        <is>
          <t>A 14858-2023</t>
        </is>
      </c>
      <c r="B178" t="inlineStr">
        <is>
          <t>avverkningsanmälan</t>
        </is>
      </c>
      <c r="C178" t="inlineStr">
        <is>
          <t>Avverkning för annat ändamål</t>
        </is>
      </c>
      <c r="D178" s="1" t="n">
        <v>45014</v>
      </c>
      <c r="E178" s="1" t="n">
        <v>46313</v>
      </c>
      <c r="F178" t="inlineStr">
        <is>
          <t>SÖDERMANLANDS LÄN</t>
        </is>
      </c>
      <c r="G178" t="inlineStr">
        <is>
          <t>KATRINEHOLM</t>
        </is>
      </c>
      <c r="I178" t="n">
        <v>1</v>
      </c>
      <c r="J178" t="n">
        <v>3</v>
      </c>
      <c r="K178" t="n">
        <v>0</v>
      </c>
      <c r="L178" t="n">
        <v>0</v>
      </c>
      <c r="M178" t="n">
        <v>0</v>
      </c>
      <c r="N178" t="n">
        <v>0</v>
      </c>
      <c r="O178" t="n">
        <v>0</v>
      </c>
      <c r="P178" t="n">
        <v>0</v>
      </c>
      <c r="Q178" t="n">
        <v>0</v>
      </c>
      <c r="R178" t="n">
        <v>0</v>
      </c>
      <c r="S178" t="n">
        <v>3</v>
      </c>
      <c r="T178" t="n">
        <v>10</v>
      </c>
      <c r="U178" t="n">
        <v>10</v>
      </c>
      <c r="V178" s="2" t="inlineStr">
        <is>
          <t>Blåsippa
Spillkråka
Gullviva</t>
        </is>
      </c>
      <c r="W178">
        <f>HYPERLINK("https://klasma.github.io/Logging_0483/artfynd/A 14858-2023 artfynd.xlsx", "A 14858-2023")</f>
        <v/>
      </c>
      <c r="X178">
        <f>HYPERLINK("https://klasma.github.io/Logging_0483/kartor/A 14858-2023 karta.png", "A 14858-2023")</f>
        <v/>
      </c>
      <c r="Y178">
        <f>HYPERLINK("https://klasma.github.io/Logging_0483/kartor_geotiff/A 14858-2023 georefererad karta.tif", "A 14858-2023")</f>
        <v/>
      </c>
      <c r="AA178">
        <f>HYPERLINK("https://klasma.github.io/Logging_0483/klagomål/A 14858-2023 FSC-klagomål.docx", "A 14858-2023")</f>
        <v/>
      </c>
      <c r="AB178">
        <f>HYPERLINK("https://klasma.github.io/Logging_0483/klagomålsmail/A 14858-2023 FSC-klagomål mail.docx", "A 14858-2023")</f>
        <v/>
      </c>
      <c r="AC178">
        <f>HYPERLINK("https://klasma.github.io/Logging_0483/tillsyn/A 14858-2023 tillsynsbegäran.docx", "A 14858-2023")</f>
        <v/>
      </c>
      <c r="AD178">
        <f>HYPERLINK("https://klasma.github.io/Logging_0483/tillsynsmail/A 14858-2023 tillsynsbegäran mail.docx", "A 14858-2023")</f>
        <v/>
      </c>
      <c r="AE178">
        <f>HYPERLINK("https://klasma.github.io/Logging_0483/fåglar/A 14858-2023 prioriterade fågelarter.docx", "A 14858-2023")</f>
        <v/>
      </c>
    </row>
    <row r="179" ht="15" customHeight="1">
      <c r="A179" t="inlineStr">
        <is>
          <t>A 9539-2026</t>
        </is>
      </c>
      <c r="B179" t="inlineStr">
        <is>
          <t>avverkningsanmälan</t>
        </is>
      </c>
      <c r="C179" t="inlineStr">
        <is>
          <t>Föryngringsavverkning</t>
        </is>
      </c>
      <c r="D179" s="1" t="n">
        <v>46071</v>
      </c>
      <c r="E179" s="1" t="n">
        <v>46313</v>
      </c>
      <c r="F179" t="inlineStr">
        <is>
          <t>SÖDERMANLANDS LÄN</t>
        </is>
      </c>
      <c r="G179" t="inlineStr">
        <is>
          <t>FLEN</t>
        </is>
      </c>
      <c r="I179" t="n">
        <v>7.6</v>
      </c>
      <c r="J179" t="n">
        <v>1</v>
      </c>
      <c r="K179" t="n">
        <v>0</v>
      </c>
      <c r="L179" t="n">
        <v>1</v>
      </c>
      <c r="M179" t="n">
        <v>0</v>
      </c>
      <c r="N179" t="n">
        <v>1</v>
      </c>
      <c r="O179" t="n">
        <v>0</v>
      </c>
      <c r="P179" t="n">
        <v>0</v>
      </c>
      <c r="Q179" t="n">
        <v>2</v>
      </c>
      <c r="R179" t="n">
        <v>1</v>
      </c>
      <c r="S179" t="n">
        <v>3</v>
      </c>
      <c r="T179" t="n">
        <v>3</v>
      </c>
      <c r="U179" t="n">
        <v>0</v>
      </c>
      <c r="V179" s="2" t="inlineStr">
        <is>
          <t>Ask
Slåtterfibbla
Blåsippa</t>
        </is>
      </c>
      <c r="W179">
        <f>HYPERLINK("https://klasma.github.io/Logging_0482/artfynd/A 9539-2026 artfynd.xlsx", "A 9539-2026")</f>
        <v/>
      </c>
      <c r="X179">
        <f>HYPERLINK("https://klasma.github.io/Logging_0482/kartor/A 9539-2026 karta.png", "A 9539-2026")</f>
        <v/>
      </c>
      <c r="Y179">
        <f>HYPERLINK("https://klasma.github.io/Logging_0482/kartor_geotiff/A 9539-2026 georefererad karta.tif", "A 9539-2026")</f>
        <v/>
      </c>
      <c r="AA179">
        <f>HYPERLINK("https://klasma.github.io/Logging_0482/klagomål/A 9539-2026 FSC-klagomål.docx", "A 9539-2026")</f>
        <v/>
      </c>
      <c r="AB179">
        <f>HYPERLINK("https://klasma.github.io/Logging_0482/klagomålsmail/A 9539-2026 FSC-klagomål mail.docx", "A 9539-2026")</f>
        <v/>
      </c>
      <c r="AC179">
        <f>HYPERLINK("https://klasma.github.io/Logging_0482/tillsyn/A 9539-2026 tillsynsbegäran.docx", "A 9539-2026")</f>
        <v/>
      </c>
      <c r="AD179">
        <f>HYPERLINK("https://klasma.github.io/Logging_0482/tillsynsmail/A 9539-2026 tillsynsbegäran mail.docx", "A 9539-2026")</f>
        <v/>
      </c>
    </row>
    <row r="180" ht="15" customHeight="1">
      <c r="A180" t="inlineStr">
        <is>
          <t>A 9512-2026</t>
        </is>
      </c>
      <c r="B180" t="inlineStr">
        <is>
          <t>avverkningsanmälan</t>
        </is>
      </c>
      <c r="C180" t="inlineStr">
        <is>
          <t>Föryngringsavverkning</t>
        </is>
      </c>
      <c r="D180" s="1" t="n">
        <v>46071</v>
      </c>
      <c r="E180" s="1" t="n">
        <v>46313</v>
      </c>
      <c r="F180" t="inlineStr">
        <is>
          <t>SÖDERMANLANDS LÄN</t>
        </is>
      </c>
      <c r="G180" t="inlineStr">
        <is>
          <t>FLEN</t>
        </is>
      </c>
      <c r="I180" t="n">
        <v>2</v>
      </c>
      <c r="J180" t="n">
        <v>0</v>
      </c>
      <c r="K180" t="n">
        <v>0</v>
      </c>
      <c r="L180" t="n">
        <v>1</v>
      </c>
      <c r="M180" t="n">
        <v>0</v>
      </c>
      <c r="N180" t="n">
        <v>0</v>
      </c>
      <c r="O180" t="n">
        <v>0</v>
      </c>
      <c r="P180" t="n">
        <v>0</v>
      </c>
      <c r="Q180" t="n">
        <v>1</v>
      </c>
      <c r="R180" t="n">
        <v>0</v>
      </c>
      <c r="S180" t="n">
        <v>3</v>
      </c>
      <c r="T180" t="n">
        <v>3</v>
      </c>
      <c r="U180" t="n">
        <v>3</v>
      </c>
      <c r="V180" s="2" t="inlineStr">
        <is>
          <t>Gullpudra
Bäckbräsma
Hultbräken</t>
        </is>
      </c>
      <c r="W180">
        <f>HYPERLINK("https://klasma.github.io/Logging_0482/artfynd/A 9512-2026 artfynd.xlsx", "A 9512-2026")</f>
        <v/>
      </c>
      <c r="X180">
        <f>HYPERLINK("https://klasma.github.io/Logging_0482/kartor/A 9512-2026 karta.png", "A 9512-2026")</f>
        <v/>
      </c>
      <c r="Y180">
        <f>HYPERLINK("https://klasma.github.io/Logging_0482/kartor_geotiff/A 9512-2026 georefererad karta.tif", "A 9512-2026")</f>
        <v/>
      </c>
      <c r="AA180">
        <f>HYPERLINK("https://klasma.github.io/Logging_0482/klagomål/A 9512-2026 FSC-klagomål.docx", "A 9512-2026")</f>
        <v/>
      </c>
      <c r="AB180">
        <f>HYPERLINK("https://klasma.github.io/Logging_0482/klagomålsmail/A 9512-2026 FSC-klagomål mail.docx", "A 9512-2026")</f>
        <v/>
      </c>
      <c r="AC180">
        <f>HYPERLINK("https://klasma.github.io/Logging_0482/tillsyn/A 9512-2026 tillsynsbegäran.docx", "A 9512-2026")</f>
        <v/>
      </c>
      <c r="AD180">
        <f>HYPERLINK("https://klasma.github.io/Logging_0482/tillsynsmail/A 9512-2026 tillsynsbegäran mail.docx", "A 9512-2026")</f>
        <v/>
      </c>
    </row>
    <row r="181" ht="15" customHeight="1">
      <c r="A181" t="inlineStr">
        <is>
          <t>A 9530-2026</t>
        </is>
      </c>
      <c r="B181" t="inlineStr">
        <is>
          <t>avverkningsanmälan</t>
        </is>
      </c>
      <c r="C181" t="inlineStr">
        <is>
          <t>Föryngringsavverkning</t>
        </is>
      </c>
      <c r="D181" s="1" t="n">
        <v>46071</v>
      </c>
      <c r="E181" s="1" t="n">
        <v>46313</v>
      </c>
      <c r="F181" t="inlineStr">
        <is>
          <t>SÖDERMANLANDS LÄN</t>
        </is>
      </c>
      <c r="G181" t="inlineStr">
        <is>
          <t>FLEN</t>
        </is>
      </c>
      <c r="I181" t="n">
        <v>7.4</v>
      </c>
      <c r="J181" t="n">
        <v>1</v>
      </c>
      <c r="K181" t="n">
        <v>2</v>
      </c>
      <c r="L181" t="n">
        <v>0</v>
      </c>
      <c r="M181" t="n">
        <v>0</v>
      </c>
      <c r="N181" t="n">
        <v>0</v>
      </c>
      <c r="O181" t="n">
        <v>0</v>
      </c>
      <c r="P181" t="n">
        <v>0</v>
      </c>
      <c r="Q181" t="n">
        <v>0</v>
      </c>
      <c r="R181" t="n">
        <v>0</v>
      </c>
      <c r="S181" t="n">
        <v>3</v>
      </c>
      <c r="T181" t="n">
        <v>4</v>
      </c>
      <c r="U181" t="n">
        <v>4</v>
      </c>
      <c r="V181" s="2" t="inlineStr">
        <is>
          <t>Blåmossa
Flagellkvastmossa
Tjäder</t>
        </is>
      </c>
      <c r="W181">
        <f>HYPERLINK("https://klasma.github.io/Logging_0482/artfynd/A 9530-2026 artfynd.xlsx", "A 9530-2026")</f>
        <v/>
      </c>
      <c r="X181">
        <f>HYPERLINK("https://klasma.github.io/Logging_0482/kartor/A 9530-2026 karta.png", "A 9530-2026")</f>
        <v/>
      </c>
      <c r="Y181">
        <f>HYPERLINK("https://klasma.github.io/Logging_0482/kartor_geotiff/A 9530-2026 georefererad karta.tif", "A 9530-2026")</f>
        <v/>
      </c>
      <c r="AA181">
        <f>HYPERLINK("https://klasma.github.io/Logging_0482/klagomål/A 9530-2026 FSC-klagomål.docx", "A 9530-2026")</f>
        <v/>
      </c>
      <c r="AB181">
        <f>HYPERLINK("https://klasma.github.io/Logging_0482/klagomålsmail/A 9530-2026 FSC-klagomål mail.docx", "A 9530-2026")</f>
        <v/>
      </c>
      <c r="AC181">
        <f>HYPERLINK("https://klasma.github.io/Logging_0482/tillsyn/A 9530-2026 tillsynsbegäran.docx", "A 9530-2026")</f>
        <v/>
      </c>
      <c r="AD181">
        <f>HYPERLINK("https://klasma.github.io/Logging_0482/tillsynsmail/A 9530-2026 tillsynsbegäran mail.docx", "A 9530-2026")</f>
        <v/>
      </c>
      <c r="AE181">
        <f>HYPERLINK("https://klasma.github.io/Logging_0482/fåglar/A 9530-2026 prioriterade fågelarter.docx", "A 9530-2026")</f>
        <v/>
      </c>
    </row>
    <row r="182" ht="15" customHeight="1">
      <c r="A182" t="inlineStr">
        <is>
          <t>A 10541-2026</t>
        </is>
      </c>
      <c r="B182" t="inlineStr">
        <is>
          <t>avverkningsanmälan</t>
        </is>
      </c>
      <c r="C182" t="inlineStr">
        <is>
          <t>Föryngringsavverkning</t>
        </is>
      </c>
      <c r="D182" s="1" t="n">
        <v>46077</v>
      </c>
      <c r="E182" s="1" t="n">
        <v>46313</v>
      </c>
      <c r="F182" t="inlineStr">
        <is>
          <t>SÖDERMANLANDS LÄN</t>
        </is>
      </c>
      <c r="G182" t="inlineStr">
        <is>
          <t>VINGÅKER</t>
        </is>
      </c>
      <c r="I182" t="n">
        <v>2.5</v>
      </c>
      <c r="J182" t="n">
        <v>2</v>
      </c>
      <c r="K182" t="n">
        <v>0</v>
      </c>
      <c r="L182" t="n">
        <v>2</v>
      </c>
      <c r="M182" t="n">
        <v>0</v>
      </c>
      <c r="N182" t="n">
        <v>0</v>
      </c>
      <c r="O182" t="n">
        <v>0</v>
      </c>
      <c r="P182" t="n">
        <v>0</v>
      </c>
      <c r="Q182" t="n">
        <v>2</v>
      </c>
      <c r="R182" t="n">
        <v>0</v>
      </c>
      <c r="S182" t="n">
        <v>3</v>
      </c>
      <c r="T182" t="n">
        <v>3</v>
      </c>
      <c r="U182" t="n">
        <v>0</v>
      </c>
      <c r="V182" s="2" t="inlineStr">
        <is>
          <t>Ekticka
Rödvingetrast
Spillkråka</t>
        </is>
      </c>
      <c r="W182">
        <f>HYPERLINK("https://klasma.github.io/Logging_0428/artfynd/A 10541-2026 artfynd.xlsx", "A 10541-2026")</f>
        <v/>
      </c>
      <c r="X182">
        <f>HYPERLINK("https://klasma.github.io/Logging_0428/kartor/A 10541-2026 karta.png", "A 10541-2026")</f>
        <v/>
      </c>
      <c r="Y182">
        <f>HYPERLINK("https://klasma.github.io/Logging_0428/kartor_geotiff/A 10541-2026 georefererad karta.tif", "A 10541-2026")</f>
        <v/>
      </c>
      <c r="AA182">
        <f>HYPERLINK("https://klasma.github.io/Logging_0428/klagomål/A 10541-2026 FSC-klagomål.docx", "A 10541-2026")</f>
        <v/>
      </c>
      <c r="AB182">
        <f>HYPERLINK("https://klasma.github.io/Logging_0428/klagomålsmail/A 10541-2026 FSC-klagomål mail.docx", "A 10541-2026")</f>
        <v/>
      </c>
      <c r="AC182">
        <f>HYPERLINK("https://klasma.github.io/Logging_0428/tillsyn/A 10541-2026 tillsynsbegäran.docx", "A 10541-2026")</f>
        <v/>
      </c>
      <c r="AD182">
        <f>HYPERLINK("https://klasma.github.io/Logging_0428/tillsynsmail/A 10541-2026 tillsynsbegäran mail.docx", "A 10541-2026")</f>
        <v/>
      </c>
      <c r="AE182">
        <f>HYPERLINK("https://klasma.github.io/Logging_0428/fåglar/A 10541-2026 prioriterade fågelarter.docx", "A 10541-2026")</f>
        <v/>
      </c>
    </row>
    <row r="183" ht="15" customHeight="1">
      <c r="A183" t="inlineStr">
        <is>
          <t>A 52999-2025</t>
        </is>
      </c>
      <c r="B183" t="inlineStr">
        <is>
          <t>avverkningsanmälan</t>
        </is>
      </c>
      <c r="C183" t="inlineStr">
        <is>
          <t>Föryngringsavverkning</t>
        </is>
      </c>
      <c r="D183" s="1" t="n">
        <v>45957</v>
      </c>
      <c r="E183" s="1" t="n">
        <v>46313</v>
      </c>
      <c r="F183" t="inlineStr">
        <is>
          <t>SÖDERMANLANDS LÄN</t>
        </is>
      </c>
      <c r="G183" t="inlineStr">
        <is>
          <t>STRÄNGNÄS</t>
        </is>
      </c>
      <c r="I183" t="n">
        <v>5.3</v>
      </c>
      <c r="J183" t="n">
        <v>2</v>
      </c>
      <c r="K183" t="n">
        <v>1</v>
      </c>
      <c r="L183" t="n">
        <v>0</v>
      </c>
      <c r="M183" t="n">
        <v>1</v>
      </c>
      <c r="N183" t="n">
        <v>0</v>
      </c>
      <c r="O183" t="n">
        <v>0</v>
      </c>
      <c r="P183" t="n">
        <v>0</v>
      </c>
      <c r="Q183" t="n">
        <v>1</v>
      </c>
      <c r="R183" t="n">
        <v>1</v>
      </c>
      <c r="S183" t="n">
        <v>3</v>
      </c>
      <c r="T183" t="n">
        <v>3</v>
      </c>
      <c r="U183" t="n">
        <v>0</v>
      </c>
      <c r="V183" s="2" t="inlineStr">
        <is>
          <t>Knärot
Grönpyrola
Kungsfågel</t>
        </is>
      </c>
      <c r="W183">
        <f>HYPERLINK("https://klasma.github.io/Logging_0486/artfynd/A 52999-2025 artfynd.xlsx", "A 52999-2025")</f>
        <v/>
      </c>
      <c r="X183">
        <f>HYPERLINK("https://klasma.github.io/Logging_0486/kartor/A 52999-2025 karta.png", "A 52999-2025")</f>
        <v/>
      </c>
      <c r="Y183">
        <f>HYPERLINK("https://klasma.github.io/Logging_0486/kartor_geotiff/A 52999-2025 georefererad karta.tif", "A 52999-2025")</f>
        <v/>
      </c>
      <c r="Z183">
        <f>HYPERLINK("https://klasma.github.io/Logging_0486/knärot/A 52999-2025 karta knärot.png", "A 52999-2025")</f>
        <v/>
      </c>
      <c r="AA183">
        <f>HYPERLINK("https://klasma.github.io/Logging_0486/klagomål/A 52999-2025 FSC-klagomål.docx", "A 52999-2025")</f>
        <v/>
      </c>
      <c r="AB183">
        <f>HYPERLINK("https://klasma.github.io/Logging_0486/klagomålsmail/A 52999-2025 FSC-klagomål mail.docx", "A 52999-2025")</f>
        <v/>
      </c>
      <c r="AC183">
        <f>HYPERLINK("https://klasma.github.io/Logging_0486/tillsyn/A 52999-2025 tillsynsbegäran.docx", "A 52999-2025")</f>
        <v/>
      </c>
      <c r="AD183">
        <f>HYPERLINK("https://klasma.github.io/Logging_0486/tillsynsmail/A 52999-2025 tillsynsbegäran mail.docx", "A 52999-2025")</f>
        <v/>
      </c>
    </row>
    <row r="184" ht="15" customHeight="1">
      <c r="A184" t="inlineStr">
        <is>
          <t>A 2203-2022</t>
        </is>
      </c>
      <c r="B184" t="inlineStr">
        <is>
          <t>avverkningsanmälan</t>
        </is>
      </c>
      <c r="C184" t="inlineStr">
        <is>
          <t>Föryngringsavverkning</t>
        </is>
      </c>
      <c r="D184" s="1" t="n">
        <v>44578</v>
      </c>
      <c r="E184" s="1" t="n">
        <v>46313</v>
      </c>
      <c r="F184" t="inlineStr">
        <is>
          <t>SÖDERMANLANDS LÄN</t>
        </is>
      </c>
      <c r="G184" t="inlineStr">
        <is>
          <t>FLEN</t>
        </is>
      </c>
      <c r="H184" t="inlineStr">
        <is>
          <t>Övriga statliga verk och myndigheter</t>
        </is>
      </c>
      <c r="I184" t="n">
        <v>2.9</v>
      </c>
      <c r="J184" t="n">
        <v>2</v>
      </c>
      <c r="K184" t="n">
        <v>1</v>
      </c>
      <c r="L184" t="n">
        <v>0</v>
      </c>
      <c r="M184" t="n">
        <v>1</v>
      </c>
      <c r="N184" t="n">
        <v>0</v>
      </c>
      <c r="O184" t="n">
        <v>0</v>
      </c>
      <c r="P184" t="n">
        <v>0</v>
      </c>
      <c r="Q184" t="n">
        <v>1</v>
      </c>
      <c r="R184" t="n">
        <v>1</v>
      </c>
      <c r="S184" t="n">
        <v>3</v>
      </c>
      <c r="T184" t="n">
        <v>3</v>
      </c>
      <c r="U184" t="n">
        <v>3</v>
      </c>
      <c r="V184" s="2" t="inlineStr">
        <is>
          <t>Knärot
Grönpyrola
Revlummer</t>
        </is>
      </c>
      <c r="W184">
        <f>HYPERLINK("https://klasma.github.io/Logging_0482/artfynd/A 2203-2022 artfynd.xlsx", "A 2203-2022")</f>
        <v/>
      </c>
      <c r="X184">
        <f>HYPERLINK("https://klasma.github.io/Logging_0482/kartor/A 2203-2022 karta.png", "A 2203-2022")</f>
        <v/>
      </c>
      <c r="Y184">
        <f>HYPERLINK("https://klasma.github.io/Logging_0482/kartor_geotiff/A 2203-2022 georefererad karta.tif", "A 2203-2022")</f>
        <v/>
      </c>
      <c r="Z184">
        <f>HYPERLINK("https://klasma.github.io/Logging_0482/knärot/A 2203-2022 karta knärot.png", "A 2203-2022")</f>
        <v/>
      </c>
      <c r="AA184">
        <f>HYPERLINK("https://klasma.github.io/Logging_0482/klagomål/A 2203-2022 FSC-klagomål.docx", "A 2203-2022")</f>
        <v/>
      </c>
      <c r="AB184">
        <f>HYPERLINK("https://klasma.github.io/Logging_0482/klagomålsmail/A 2203-2022 FSC-klagomål mail.docx", "A 2203-2022")</f>
        <v/>
      </c>
      <c r="AC184">
        <f>HYPERLINK("https://klasma.github.io/Logging_0482/tillsyn/A 2203-2022 tillsynsbegäran.docx", "A 2203-2022")</f>
        <v/>
      </c>
      <c r="AD184">
        <f>HYPERLINK("https://klasma.github.io/Logging_0482/tillsynsmail/A 2203-2022 tillsynsbegäran mail.docx", "A 2203-2022")</f>
        <v/>
      </c>
    </row>
    <row r="185" ht="15" customHeight="1">
      <c r="A185" t="inlineStr">
        <is>
          <t>A 63185-2023</t>
        </is>
      </c>
      <c r="B185" t="inlineStr">
        <is>
          <t>avverkningsanmälan</t>
        </is>
      </c>
      <c r="C185" t="inlineStr">
        <is>
          <t>Avverkning för annat ändamål</t>
        </is>
      </c>
      <c r="D185" s="1" t="n">
        <v>45272</v>
      </c>
      <c r="E185" s="1" t="n">
        <v>46313</v>
      </c>
      <c r="F185" t="inlineStr">
        <is>
          <t>SÖDERMANLANDS LÄN</t>
        </is>
      </c>
      <c r="G185" t="inlineStr">
        <is>
          <t>FLEN</t>
        </is>
      </c>
      <c r="I185" t="n">
        <v>2.8</v>
      </c>
      <c r="J185" t="n">
        <v>0</v>
      </c>
      <c r="K185" t="n">
        <v>0</v>
      </c>
      <c r="L185" t="n">
        <v>1</v>
      </c>
      <c r="M185" t="n">
        <v>0</v>
      </c>
      <c r="N185" t="n">
        <v>0</v>
      </c>
      <c r="O185" t="n">
        <v>0</v>
      </c>
      <c r="P185" t="n">
        <v>0</v>
      </c>
      <c r="Q185" t="n">
        <v>1</v>
      </c>
      <c r="R185" t="n">
        <v>0</v>
      </c>
      <c r="S185" t="n">
        <v>3</v>
      </c>
      <c r="T185" t="n">
        <v>4</v>
      </c>
      <c r="U185" t="n">
        <v>3</v>
      </c>
      <c r="V185" s="2" t="inlineStr">
        <is>
          <t>Gullklöver
Majbräken
Sälg</t>
        </is>
      </c>
      <c r="W185">
        <f>HYPERLINK("https://klasma.github.io/Logging_0482/artfynd/A 63185-2023 artfynd.xlsx", "A 63185-2023")</f>
        <v/>
      </c>
      <c r="X185">
        <f>HYPERLINK("https://klasma.github.io/Logging_0482/kartor/A 63185-2023 karta.png", "A 63185-2023")</f>
        <v/>
      </c>
      <c r="Y185">
        <f>HYPERLINK("https://klasma.github.io/Logging_0482/kartor_geotiff/A 63185-2023 georefererad karta.tif", "A 63185-2023")</f>
        <v/>
      </c>
      <c r="AA185">
        <f>HYPERLINK("https://klasma.github.io/Logging_0482/klagomål/A 63185-2023 FSC-klagomål.docx", "A 63185-2023")</f>
        <v/>
      </c>
      <c r="AB185">
        <f>HYPERLINK("https://klasma.github.io/Logging_0482/klagomålsmail/A 63185-2023 FSC-klagomål mail.docx", "A 63185-2023")</f>
        <v/>
      </c>
      <c r="AC185">
        <f>HYPERLINK("https://klasma.github.io/Logging_0482/tillsyn/A 63185-2023 tillsynsbegäran.docx", "A 63185-2023")</f>
        <v/>
      </c>
      <c r="AD185">
        <f>HYPERLINK("https://klasma.github.io/Logging_0482/tillsynsmail/A 63185-2023 tillsynsbegäran mail.docx", "A 63185-2023")</f>
        <v/>
      </c>
    </row>
    <row r="186" ht="15" customHeight="1">
      <c r="A186" t="inlineStr">
        <is>
          <t>A 27375-2024</t>
        </is>
      </c>
      <c r="B186" t="inlineStr">
        <is>
          <t>avverkningsanmälan</t>
        </is>
      </c>
      <c r="C186" t="inlineStr">
        <is>
          <t>Föryngringsavverkning</t>
        </is>
      </c>
      <c r="D186" s="1" t="n">
        <v>45473</v>
      </c>
      <c r="E186" s="1" t="n">
        <v>46313</v>
      </c>
      <c r="F186" t="inlineStr">
        <is>
          <t>SÖDERMANLANDS LÄN</t>
        </is>
      </c>
      <c r="G186" t="inlineStr">
        <is>
          <t>KATRINEHOLM</t>
        </is>
      </c>
      <c r="H186" t="inlineStr">
        <is>
          <t>Kommuner</t>
        </is>
      </c>
      <c r="I186" t="n">
        <v>1.9</v>
      </c>
      <c r="J186" t="n">
        <v>2</v>
      </c>
      <c r="K186" t="n">
        <v>1</v>
      </c>
      <c r="L186" t="n">
        <v>1</v>
      </c>
      <c r="M186" t="n">
        <v>0</v>
      </c>
      <c r="N186" t="n">
        <v>0</v>
      </c>
      <c r="O186" t="n">
        <v>0</v>
      </c>
      <c r="P186" t="n">
        <v>0</v>
      </c>
      <c r="Q186" t="n">
        <v>1</v>
      </c>
      <c r="R186" t="n">
        <v>0</v>
      </c>
      <c r="S186" t="n">
        <v>3</v>
      </c>
      <c r="T186" t="n">
        <v>3</v>
      </c>
      <c r="U186" t="n">
        <v>2</v>
      </c>
      <c r="V186" s="2" t="inlineStr">
        <is>
          <t>Kricka
Scharlakansvårskål agg.
Åkergroda</t>
        </is>
      </c>
      <c r="W186">
        <f>HYPERLINK("https://klasma.github.io/Logging_0483/artfynd/A 27375-2024 artfynd.xlsx", "A 27375-2024")</f>
        <v/>
      </c>
      <c r="X186">
        <f>HYPERLINK("https://klasma.github.io/Logging_0483/kartor/A 27375-2024 karta.png", "A 27375-2024")</f>
        <v/>
      </c>
      <c r="Y186">
        <f>HYPERLINK("https://klasma.github.io/Logging_0483/kartor_geotiff/A 27375-2024 georefererad karta.tif", "A 27375-2024")</f>
        <v/>
      </c>
      <c r="AA186">
        <f>HYPERLINK("https://klasma.github.io/Logging_0483/klagomål/A 27375-2024 FSC-klagomål.docx", "A 27375-2024")</f>
        <v/>
      </c>
      <c r="AB186">
        <f>HYPERLINK("https://klasma.github.io/Logging_0483/klagomålsmail/A 27375-2024 FSC-klagomål mail.docx", "A 27375-2024")</f>
        <v/>
      </c>
      <c r="AC186">
        <f>HYPERLINK("https://klasma.github.io/Logging_0483/tillsyn/A 27375-2024 tillsynsbegäran.docx", "A 27375-2024")</f>
        <v/>
      </c>
      <c r="AD186">
        <f>HYPERLINK("https://klasma.github.io/Logging_0483/tillsynsmail/A 27375-2024 tillsynsbegäran mail.docx", "A 27375-2024")</f>
        <v/>
      </c>
      <c r="AE186">
        <f>HYPERLINK("https://klasma.github.io/Logging_0483/fåglar/A 27375-2024 prioriterade fågelarter.docx", "A 27375-2024")</f>
        <v/>
      </c>
    </row>
    <row r="187" ht="15" customHeight="1">
      <c r="A187" t="inlineStr">
        <is>
          <t>A 28983-2026</t>
        </is>
      </c>
      <c r="B187" t="inlineStr">
        <is>
          <t>avverkningsanmälan</t>
        </is>
      </c>
      <c r="C187" t="inlineStr">
        <is>
          <t>Föryngringsavverkning</t>
        </is>
      </c>
      <c r="D187" s="1" t="n">
        <v>46199</v>
      </c>
      <c r="E187" s="1" t="n">
        <v>46313</v>
      </c>
      <c r="F187" t="inlineStr">
        <is>
          <t>SÖDERMANLANDS LÄN</t>
        </is>
      </c>
      <c r="G187" t="inlineStr">
        <is>
          <t>ESKILSTUNA</t>
        </is>
      </c>
      <c r="H187" t="inlineStr">
        <is>
          <t>Sveaskog</t>
        </is>
      </c>
      <c r="I187" t="n">
        <v>4.1</v>
      </c>
      <c r="J187" t="n">
        <v>0</v>
      </c>
      <c r="K187" t="n">
        <v>2</v>
      </c>
      <c r="L187" t="n">
        <v>1</v>
      </c>
      <c r="M187" t="n">
        <v>0</v>
      </c>
      <c r="N187" t="n">
        <v>0</v>
      </c>
      <c r="O187" t="n">
        <v>0</v>
      </c>
      <c r="P187" t="n">
        <v>0</v>
      </c>
      <c r="Q187" t="n">
        <v>1</v>
      </c>
      <c r="R187" t="n">
        <v>0</v>
      </c>
      <c r="S187" t="n">
        <v>3</v>
      </c>
      <c r="T187" t="n">
        <v>3</v>
      </c>
      <c r="U187" t="n">
        <v>0</v>
      </c>
      <c r="V187" s="2" t="inlineStr">
        <is>
          <t>Motaggsvamp
Rävticka
Trådticka</t>
        </is>
      </c>
      <c r="W187">
        <f>HYPERLINK("https://klasma.github.io/Logging_0484/artfynd/A 28983-2026 artfynd.xlsx", "A 28983-2026")</f>
        <v/>
      </c>
      <c r="X187">
        <f>HYPERLINK("https://klasma.github.io/Logging_0484/kartor/A 28983-2026 karta.png", "A 28983-2026")</f>
        <v/>
      </c>
      <c r="Y187">
        <f>HYPERLINK("https://klasma.github.io/Logging_0484/kartor_geotiff/A 28983-2026 georefererad karta.tif", "A 28983-2026")</f>
        <v/>
      </c>
      <c r="AA187">
        <f>HYPERLINK("https://klasma.github.io/Logging_0484/klagomål/A 28983-2026 FSC-klagomål.docx", "A 28983-2026")</f>
        <v/>
      </c>
      <c r="AB187">
        <f>HYPERLINK("https://klasma.github.io/Logging_0484/klagomålsmail/A 28983-2026 FSC-klagomål mail.docx", "A 28983-2026")</f>
        <v/>
      </c>
      <c r="AC187">
        <f>HYPERLINK("https://klasma.github.io/Logging_0484/tillsyn/A 28983-2026 tillsynsbegäran.docx", "A 28983-2026")</f>
        <v/>
      </c>
      <c r="AD187">
        <f>HYPERLINK("https://klasma.github.io/Logging_0484/tillsynsmail/A 28983-2026 tillsynsbegäran mail.docx", "A 28983-2026")</f>
        <v/>
      </c>
    </row>
    <row r="188" ht="15" customHeight="1">
      <c r="A188" t="inlineStr">
        <is>
          <t>A 1826-2023</t>
        </is>
      </c>
      <c r="B188" t="inlineStr">
        <is>
          <t>avverkningsanmälan</t>
        </is>
      </c>
      <c r="C188" t="inlineStr">
        <is>
          <t>Föryngringsavverkning</t>
        </is>
      </c>
      <c r="D188" s="1" t="n">
        <v>44938</v>
      </c>
      <c r="E188" s="1" t="n">
        <v>46313</v>
      </c>
      <c r="F188" t="inlineStr">
        <is>
          <t>SÖDERMANLANDS LÄN</t>
        </is>
      </c>
      <c r="G188" t="inlineStr">
        <is>
          <t>VINGÅKER</t>
        </is>
      </c>
      <c r="I188" t="n">
        <v>1.3</v>
      </c>
      <c r="J188" t="n">
        <v>1</v>
      </c>
      <c r="K188" t="n">
        <v>0</v>
      </c>
      <c r="L188" t="n">
        <v>2</v>
      </c>
      <c r="M188" t="n">
        <v>0</v>
      </c>
      <c r="N188" t="n">
        <v>0</v>
      </c>
      <c r="O188" t="n">
        <v>0</v>
      </c>
      <c r="P188" t="n">
        <v>0</v>
      </c>
      <c r="Q188" t="n">
        <v>2</v>
      </c>
      <c r="R188" t="n">
        <v>0</v>
      </c>
      <c r="S188" t="n">
        <v>3</v>
      </c>
      <c r="T188" t="n">
        <v>3</v>
      </c>
      <c r="U188" t="n">
        <v>0</v>
      </c>
      <c r="V188" s="2" t="inlineStr">
        <is>
          <t>Jungfrulin
Vanlig backsmörblomma
Gullviva</t>
        </is>
      </c>
      <c r="W188">
        <f>HYPERLINK("https://klasma.github.io/Logging_0428/artfynd/A 1826-2023 artfynd.xlsx", "A 1826-2023")</f>
        <v/>
      </c>
      <c r="X188">
        <f>HYPERLINK("https://klasma.github.io/Logging_0428/kartor/A 1826-2023 karta.png", "A 1826-2023")</f>
        <v/>
      </c>
      <c r="Y188">
        <f>HYPERLINK("https://klasma.github.io/Logging_0428/kartor_geotiff/A 1826-2023 georefererad karta.tif", "A 1826-2023")</f>
        <v/>
      </c>
      <c r="AA188">
        <f>HYPERLINK("https://klasma.github.io/Logging_0428/klagomål/A 1826-2023 FSC-klagomål.docx", "A 1826-2023")</f>
        <v/>
      </c>
      <c r="AB188">
        <f>HYPERLINK("https://klasma.github.io/Logging_0428/klagomålsmail/A 1826-2023 FSC-klagomål mail.docx", "A 1826-2023")</f>
        <v/>
      </c>
      <c r="AC188">
        <f>HYPERLINK("https://klasma.github.io/Logging_0428/tillsyn/A 1826-2023 tillsynsbegäran.docx", "A 1826-2023")</f>
        <v/>
      </c>
      <c r="AD188">
        <f>HYPERLINK("https://klasma.github.io/Logging_0428/tillsynsmail/A 1826-2023 tillsynsbegäran mail.docx", "A 1826-2023")</f>
        <v/>
      </c>
    </row>
    <row r="189" ht="15" customHeight="1">
      <c r="A189" t="inlineStr">
        <is>
          <t>A 62022-2022</t>
        </is>
      </c>
      <c r="B189" t="inlineStr">
        <is>
          <t>avverkningsanmälan</t>
        </is>
      </c>
      <c r="C189" t="inlineStr">
        <is>
          <t>Föryngringsavverkning</t>
        </is>
      </c>
      <c r="D189" s="1" t="n">
        <v>44918</v>
      </c>
      <c r="E189" s="1" t="n">
        <v>46313</v>
      </c>
      <c r="F189" t="inlineStr">
        <is>
          <t>SÖDERMANLANDS LÄN</t>
        </is>
      </c>
      <c r="G189" t="inlineStr">
        <is>
          <t>GNESTA</t>
        </is>
      </c>
      <c r="H189" t="inlineStr">
        <is>
          <t>Kommuner</t>
        </is>
      </c>
      <c r="I189" t="n">
        <v>0.8</v>
      </c>
      <c r="J189" t="n">
        <v>3</v>
      </c>
      <c r="K189" t="n">
        <v>0</v>
      </c>
      <c r="L189" t="n">
        <v>1</v>
      </c>
      <c r="M189" t="n">
        <v>1</v>
      </c>
      <c r="N189" t="n">
        <v>0</v>
      </c>
      <c r="O189" t="n">
        <v>0</v>
      </c>
      <c r="P189" t="n">
        <v>0</v>
      </c>
      <c r="Q189" t="n">
        <v>2</v>
      </c>
      <c r="R189" t="n">
        <v>1</v>
      </c>
      <c r="S189" t="n">
        <v>3</v>
      </c>
      <c r="T189" t="n">
        <v>3</v>
      </c>
      <c r="U189" t="n">
        <v>3</v>
      </c>
      <c r="V189" s="2" t="inlineStr">
        <is>
          <t>Grönfink
Järnsparv
Svartvit flugsnappare</t>
        </is>
      </c>
      <c r="W189">
        <f>HYPERLINK("https://klasma.github.io/Logging_0461/artfynd/A 62022-2022 artfynd.xlsx", "A 62022-2022")</f>
        <v/>
      </c>
      <c r="X189">
        <f>HYPERLINK("https://klasma.github.io/Logging_0461/kartor/A 62022-2022 karta.png", "A 62022-2022")</f>
        <v/>
      </c>
      <c r="Y189">
        <f>HYPERLINK("https://klasma.github.io/Logging_0461/kartor_geotiff/A 62022-2022 georefererad karta.tif", "A 62022-2022")</f>
        <v/>
      </c>
      <c r="AA189">
        <f>HYPERLINK("https://klasma.github.io/Logging_0461/klagomål/A 62022-2022 FSC-klagomål.docx", "A 62022-2022")</f>
        <v/>
      </c>
      <c r="AB189">
        <f>HYPERLINK("https://klasma.github.io/Logging_0461/klagomålsmail/A 62022-2022 FSC-klagomål mail.docx", "A 62022-2022")</f>
        <v/>
      </c>
      <c r="AC189">
        <f>HYPERLINK("https://klasma.github.io/Logging_0461/tillsyn/A 62022-2022 tillsynsbegäran.docx", "A 62022-2022")</f>
        <v/>
      </c>
      <c r="AD189">
        <f>HYPERLINK("https://klasma.github.io/Logging_0461/tillsynsmail/A 62022-2022 tillsynsbegäran mail.docx", "A 62022-2022")</f>
        <v/>
      </c>
      <c r="AE189">
        <f>HYPERLINK("https://klasma.github.io/Logging_0461/fåglar/A 62022-2022 prioriterade fågelarter.docx", "A 62022-2022")</f>
        <v/>
      </c>
    </row>
    <row r="190" ht="15" customHeight="1">
      <c r="A190" t="inlineStr">
        <is>
          <t>A 30575-2022</t>
        </is>
      </c>
      <c r="B190" t="inlineStr">
        <is>
          <t>avverkningsanmälan</t>
        </is>
      </c>
      <c r="C190" t="inlineStr">
        <is>
          <t>Föryngringsavverkning</t>
        </is>
      </c>
      <c r="D190" s="1" t="n">
        <v>44762</v>
      </c>
      <c r="E190" s="1" t="n">
        <v>46313</v>
      </c>
      <c r="F190" t="inlineStr">
        <is>
          <t>SÖDERMANLANDS LÄN</t>
        </is>
      </c>
      <c r="G190" t="inlineStr">
        <is>
          <t>VINGÅKER</t>
        </is>
      </c>
      <c r="H190" t="inlineStr">
        <is>
          <t>Övriga Aktiebolag</t>
        </is>
      </c>
      <c r="I190" t="n">
        <v>10.5</v>
      </c>
      <c r="J190" t="n">
        <v>2</v>
      </c>
      <c r="K190" t="n">
        <v>1</v>
      </c>
      <c r="L190" t="n">
        <v>0</v>
      </c>
      <c r="M190" t="n">
        <v>1</v>
      </c>
      <c r="N190" t="n">
        <v>0</v>
      </c>
      <c r="O190" t="n">
        <v>0</v>
      </c>
      <c r="P190" t="n">
        <v>0</v>
      </c>
      <c r="Q190" t="n">
        <v>1</v>
      </c>
      <c r="R190" t="n">
        <v>1</v>
      </c>
      <c r="S190" t="n">
        <v>3</v>
      </c>
      <c r="T190" t="n">
        <v>3</v>
      </c>
      <c r="U190" t="n">
        <v>1</v>
      </c>
      <c r="V190" s="2" t="inlineStr">
        <is>
          <t>Igelkott
Skogsknipprot
Blåsippa</t>
        </is>
      </c>
      <c r="W190">
        <f>HYPERLINK("https://klasma.github.io/Logging_0428/artfynd/A 30575-2022 artfynd.xlsx", "A 30575-2022")</f>
        <v/>
      </c>
      <c r="X190">
        <f>HYPERLINK("https://klasma.github.io/Logging_0428/kartor/A 30575-2022 karta.png", "A 30575-2022")</f>
        <v/>
      </c>
      <c r="Y190">
        <f>HYPERLINK("https://klasma.github.io/Logging_0428/kartor_geotiff/A 30575-2022 georefererad karta.tif", "A 30575-2022")</f>
        <v/>
      </c>
      <c r="AA190">
        <f>HYPERLINK("https://klasma.github.io/Logging_0428/klagomål/A 30575-2022 FSC-klagomål.docx", "A 30575-2022")</f>
        <v/>
      </c>
      <c r="AB190">
        <f>HYPERLINK("https://klasma.github.io/Logging_0428/klagomålsmail/A 30575-2022 FSC-klagomål mail.docx", "A 30575-2022")</f>
        <v/>
      </c>
      <c r="AC190">
        <f>HYPERLINK("https://klasma.github.io/Logging_0428/tillsyn/A 30575-2022 tillsynsbegäran.docx", "A 30575-2022")</f>
        <v/>
      </c>
      <c r="AD190">
        <f>HYPERLINK("https://klasma.github.io/Logging_0428/tillsynsmail/A 30575-2022 tillsynsbegäran mail.docx", "A 30575-2022")</f>
        <v/>
      </c>
    </row>
    <row r="191" ht="15" customHeight="1">
      <c r="A191" t="inlineStr">
        <is>
          <t>A 29895-2026</t>
        </is>
      </c>
      <c r="B191" t="inlineStr">
        <is>
          <t>avverkningsanmälan</t>
        </is>
      </c>
      <c r="C191" t="inlineStr">
        <is>
          <t>Föryngringsavverkning</t>
        </is>
      </c>
      <c r="D191" s="1" t="n">
        <v>46205</v>
      </c>
      <c r="E191" s="1" t="n">
        <v>46313</v>
      </c>
      <c r="F191" t="inlineStr">
        <is>
          <t>SÖDERMANLANDS LÄN</t>
        </is>
      </c>
      <c r="G191" t="inlineStr">
        <is>
          <t>FLEN</t>
        </is>
      </c>
      <c r="I191" t="n">
        <v>0.7</v>
      </c>
      <c r="J191" t="n">
        <v>1</v>
      </c>
      <c r="K191" t="n">
        <v>0</v>
      </c>
      <c r="L191" t="n">
        <v>2</v>
      </c>
      <c r="M191" t="n">
        <v>0</v>
      </c>
      <c r="N191" t="n">
        <v>0</v>
      </c>
      <c r="O191" t="n">
        <v>0</v>
      </c>
      <c r="P191" t="n">
        <v>0</v>
      </c>
      <c r="Q191" t="n">
        <v>2</v>
      </c>
      <c r="R191" t="n">
        <v>0</v>
      </c>
      <c r="S191" t="n">
        <v>3</v>
      </c>
      <c r="T191" t="n">
        <v>3</v>
      </c>
      <c r="U191" t="n">
        <v>0</v>
      </c>
      <c r="V191" s="2" t="inlineStr">
        <is>
          <t>Gullklöver
Svinrot
Revlummer</t>
        </is>
      </c>
      <c r="W191">
        <f>HYPERLINK("https://klasma.github.io/Logging_0482/artfynd/A 29895-2026 artfynd.xlsx", "A 29895-2026")</f>
        <v/>
      </c>
      <c r="X191">
        <f>HYPERLINK("https://klasma.github.io/Logging_0482/kartor/A 29895-2026 karta.png", "A 29895-2026")</f>
        <v/>
      </c>
      <c r="Y191">
        <f>HYPERLINK("https://klasma.github.io/Logging_0482/kartor_geotiff/A 29895-2026 georefererad karta.tif", "A 29895-2026")</f>
        <v/>
      </c>
      <c r="AA191">
        <f>HYPERLINK("https://klasma.github.io/Logging_0482/klagomål/A 29895-2026 FSC-klagomål.docx", "A 29895-2026")</f>
        <v/>
      </c>
      <c r="AB191">
        <f>HYPERLINK("https://klasma.github.io/Logging_0482/klagomålsmail/A 29895-2026 FSC-klagomål mail.docx", "A 29895-2026")</f>
        <v/>
      </c>
      <c r="AC191">
        <f>HYPERLINK("https://klasma.github.io/Logging_0482/tillsyn/A 29895-2026 tillsynsbegäran.docx", "A 29895-2026")</f>
        <v/>
      </c>
      <c r="AD191">
        <f>HYPERLINK("https://klasma.github.io/Logging_0482/tillsynsmail/A 29895-2026 tillsynsbegäran mail.docx", "A 29895-2026")</f>
        <v/>
      </c>
    </row>
    <row r="192" ht="15" customHeight="1">
      <c r="A192" t="inlineStr">
        <is>
          <t>A 53063-2023</t>
        </is>
      </c>
      <c r="B192" t="inlineStr">
        <is>
          <t>avverkningsanmälan</t>
        </is>
      </c>
      <c r="C192" t="inlineStr">
        <is>
          <t>Föryngringsavverkning</t>
        </is>
      </c>
      <c r="D192" s="1" t="n">
        <v>45227</v>
      </c>
      <c r="E192" s="1" t="n">
        <v>46313</v>
      </c>
      <c r="F192" t="inlineStr">
        <is>
          <t>SÖDERMANLANDS LÄN</t>
        </is>
      </c>
      <c r="G192" t="inlineStr">
        <is>
          <t>GNESTA</t>
        </is>
      </c>
      <c r="H192" t="inlineStr">
        <is>
          <t>Allmännings- och besparingsskogar</t>
        </is>
      </c>
      <c r="I192" t="n">
        <v>2.9</v>
      </c>
      <c r="J192" t="n">
        <v>0</v>
      </c>
      <c r="K192" t="n">
        <v>0</v>
      </c>
      <c r="L192" t="n">
        <v>2</v>
      </c>
      <c r="M192" t="n">
        <v>0</v>
      </c>
      <c r="N192" t="n">
        <v>1</v>
      </c>
      <c r="O192" t="n">
        <v>0</v>
      </c>
      <c r="P192" t="n">
        <v>0</v>
      </c>
      <c r="Q192" t="n">
        <v>3</v>
      </c>
      <c r="R192" t="n">
        <v>1</v>
      </c>
      <c r="S192" t="n">
        <v>3</v>
      </c>
      <c r="T192" t="n">
        <v>4</v>
      </c>
      <c r="U192" t="n">
        <v>4</v>
      </c>
      <c r="V192" s="2" t="inlineStr">
        <is>
          <t>Brandnäva
Gullklöver
Svedjenäva</t>
        </is>
      </c>
      <c r="W192">
        <f>HYPERLINK("https://klasma.github.io/Logging_0461/artfynd/A 53063-2023 artfynd.xlsx", "A 53063-2023")</f>
        <v/>
      </c>
      <c r="X192">
        <f>HYPERLINK("https://klasma.github.io/Logging_0461/kartor/A 53063-2023 karta.png", "A 53063-2023")</f>
        <v/>
      </c>
      <c r="Y192">
        <f>HYPERLINK("https://klasma.github.io/Logging_0461/kartor_geotiff/A 53063-2023 georefererad karta.tif", "A 53063-2023")</f>
        <v/>
      </c>
      <c r="AA192">
        <f>HYPERLINK("https://klasma.github.io/Logging_0461/klagomål/A 53063-2023 FSC-klagomål.docx", "A 53063-2023")</f>
        <v/>
      </c>
      <c r="AB192">
        <f>HYPERLINK("https://klasma.github.io/Logging_0461/klagomålsmail/A 53063-2023 FSC-klagomål mail.docx", "A 53063-2023")</f>
        <v/>
      </c>
      <c r="AC192">
        <f>HYPERLINK("https://klasma.github.io/Logging_0461/tillsyn/A 53063-2023 tillsynsbegäran.docx", "A 53063-2023")</f>
        <v/>
      </c>
      <c r="AD192">
        <f>HYPERLINK("https://klasma.github.io/Logging_0461/tillsynsmail/A 53063-2023 tillsynsbegäran mail.docx", "A 53063-2023")</f>
        <v/>
      </c>
    </row>
    <row r="193" ht="15" customHeight="1">
      <c r="A193" t="inlineStr">
        <is>
          <t>A 1149-2025</t>
        </is>
      </c>
      <c r="B193" t="inlineStr">
        <is>
          <t>avverkningsanmälan</t>
        </is>
      </c>
      <c r="C193" t="inlineStr">
        <is>
          <t>Föryngringsavverkning</t>
        </is>
      </c>
      <c r="D193" s="1" t="n">
        <v>45666</v>
      </c>
      <c r="E193" s="1" t="n">
        <v>46313</v>
      </c>
      <c r="F193" t="inlineStr">
        <is>
          <t>SÖDERMANLANDS LÄN</t>
        </is>
      </c>
      <c r="G193" t="inlineStr">
        <is>
          <t>FLEN</t>
        </is>
      </c>
      <c r="H193" t="inlineStr">
        <is>
          <t>Övriga statliga verk och myndigheter</t>
        </is>
      </c>
      <c r="I193" t="n">
        <v>5.1</v>
      </c>
      <c r="J193" t="n">
        <v>0</v>
      </c>
      <c r="K193" t="n">
        <v>2</v>
      </c>
      <c r="L193" t="n">
        <v>1</v>
      </c>
      <c r="M193" t="n">
        <v>0</v>
      </c>
      <c r="N193" t="n">
        <v>0</v>
      </c>
      <c r="O193" t="n">
        <v>0</v>
      </c>
      <c r="P193" t="n">
        <v>0</v>
      </c>
      <c r="Q193" t="n">
        <v>1</v>
      </c>
      <c r="R193" t="n">
        <v>0</v>
      </c>
      <c r="S193" t="n">
        <v>3</v>
      </c>
      <c r="T193" t="n">
        <v>4</v>
      </c>
      <c r="U193" t="n">
        <v>4</v>
      </c>
      <c r="V193" s="2" t="inlineStr">
        <is>
          <t>Tallkötticka
Grönpyrola
Kamjordstjärna</t>
        </is>
      </c>
      <c r="W193">
        <f>HYPERLINK("https://klasma.github.io/Logging_0482/artfynd/A 1149-2025 artfynd.xlsx", "A 1149-2025")</f>
        <v/>
      </c>
      <c r="X193">
        <f>HYPERLINK("https://klasma.github.io/Logging_0482/kartor/A 1149-2025 karta.png", "A 1149-2025")</f>
        <v/>
      </c>
      <c r="Y193">
        <f>HYPERLINK("https://klasma.github.io/Logging_0482/kartor_geotiff/A 1149-2025 georefererad karta.tif", "A 1149-2025")</f>
        <v/>
      </c>
      <c r="AA193">
        <f>HYPERLINK("https://klasma.github.io/Logging_0482/klagomål/A 1149-2025 FSC-klagomål.docx", "A 1149-2025")</f>
        <v/>
      </c>
      <c r="AB193">
        <f>HYPERLINK("https://klasma.github.io/Logging_0482/klagomålsmail/A 1149-2025 FSC-klagomål mail.docx", "A 1149-2025")</f>
        <v/>
      </c>
      <c r="AC193">
        <f>HYPERLINK("https://klasma.github.io/Logging_0482/tillsyn/A 1149-2025 tillsynsbegäran.docx", "A 1149-2025")</f>
        <v/>
      </c>
      <c r="AD193">
        <f>HYPERLINK("https://klasma.github.io/Logging_0482/tillsynsmail/A 1149-2025 tillsynsbegäran mail.docx", "A 1149-2025")</f>
        <v/>
      </c>
    </row>
    <row r="194" ht="15" customHeight="1">
      <c r="A194" t="inlineStr">
        <is>
          <t>A 2699-2023</t>
        </is>
      </c>
      <c r="B194" t="inlineStr">
        <is>
          <t>avverkningsanmälan</t>
        </is>
      </c>
      <c r="C194" t="inlineStr">
        <is>
          <t>Föryngringsavverkning</t>
        </is>
      </c>
      <c r="D194" s="1" t="n">
        <v>44944</v>
      </c>
      <c r="E194" s="1" t="n">
        <v>46313</v>
      </c>
      <c r="F194" t="inlineStr">
        <is>
          <t>SÖDERMANLANDS LÄN</t>
        </is>
      </c>
      <c r="G194" t="inlineStr">
        <is>
          <t>TROSA</t>
        </is>
      </c>
      <c r="I194" t="n">
        <v>4.7</v>
      </c>
      <c r="J194" t="n">
        <v>2</v>
      </c>
      <c r="K194" t="n">
        <v>1</v>
      </c>
      <c r="L194" t="n">
        <v>1</v>
      </c>
      <c r="M194" t="n">
        <v>0</v>
      </c>
      <c r="N194" t="n">
        <v>0</v>
      </c>
      <c r="O194" t="n">
        <v>0</v>
      </c>
      <c r="P194" t="n">
        <v>0</v>
      </c>
      <c r="Q194" t="n">
        <v>1</v>
      </c>
      <c r="R194" t="n">
        <v>0</v>
      </c>
      <c r="S194" t="n">
        <v>3</v>
      </c>
      <c r="T194" t="n">
        <v>3</v>
      </c>
      <c r="U194" t="n">
        <v>3</v>
      </c>
      <c r="V194" s="2" t="inlineStr">
        <is>
          <t>Järnsparv
Svart trolldruva
Trana</t>
        </is>
      </c>
      <c r="W194">
        <f>HYPERLINK("https://klasma.github.io/Logging_0488/artfynd/A 2699-2023 artfynd.xlsx", "A 2699-2023")</f>
        <v/>
      </c>
      <c r="X194">
        <f>HYPERLINK("https://klasma.github.io/Logging_0488/kartor/A 2699-2023 karta.png", "A 2699-2023")</f>
        <v/>
      </c>
      <c r="Y194">
        <f>HYPERLINK("https://klasma.github.io/Logging_0488/kartor_geotiff/A 2699-2023 georefererad karta.tif", "A 2699-2023")</f>
        <v/>
      </c>
      <c r="AA194">
        <f>HYPERLINK("https://klasma.github.io/Logging_0488/klagomål/A 2699-2023 FSC-klagomål.docx", "A 2699-2023")</f>
        <v/>
      </c>
      <c r="AB194">
        <f>HYPERLINK("https://klasma.github.io/Logging_0488/klagomålsmail/A 2699-2023 FSC-klagomål mail.docx", "A 2699-2023")</f>
        <v/>
      </c>
      <c r="AC194">
        <f>HYPERLINK("https://klasma.github.io/Logging_0488/tillsyn/A 2699-2023 tillsynsbegäran.docx", "A 2699-2023")</f>
        <v/>
      </c>
      <c r="AD194">
        <f>HYPERLINK("https://klasma.github.io/Logging_0488/tillsynsmail/A 2699-2023 tillsynsbegäran mail.docx", "A 2699-2023")</f>
        <v/>
      </c>
      <c r="AE194">
        <f>HYPERLINK("https://klasma.github.io/Logging_0488/fåglar/A 2699-2023 prioriterade fågelarter.docx", "A 2699-2023")</f>
        <v/>
      </c>
    </row>
    <row r="195" ht="15" customHeight="1">
      <c r="A195" t="inlineStr">
        <is>
          <t>A 32253-2026</t>
        </is>
      </c>
      <c r="B195" t="inlineStr">
        <is>
          <t>avverkningsanmälan</t>
        </is>
      </c>
      <c r="C195" t="inlineStr">
        <is>
          <t>Föryngringsavverkning</t>
        </is>
      </c>
      <c r="D195" s="1" t="n">
        <v>46237</v>
      </c>
      <c r="E195" s="1" t="n">
        <v>46313</v>
      </c>
      <c r="F195" t="inlineStr">
        <is>
          <t>SÖDERMANLANDS LÄN</t>
        </is>
      </c>
      <c r="G195" t="inlineStr">
        <is>
          <t>ESKILSTUNA</t>
        </is>
      </c>
      <c r="H195" t="inlineStr">
        <is>
          <t>Sveaskog</t>
        </is>
      </c>
      <c r="I195" t="n">
        <v>0.6</v>
      </c>
      <c r="J195" t="n">
        <v>1</v>
      </c>
      <c r="K195" t="n">
        <v>1</v>
      </c>
      <c r="L195" t="n">
        <v>1</v>
      </c>
      <c r="M195" t="n">
        <v>0</v>
      </c>
      <c r="N195" t="n">
        <v>0</v>
      </c>
      <c r="O195" t="n">
        <v>0</v>
      </c>
      <c r="P195" t="n">
        <v>0</v>
      </c>
      <c r="Q195" t="n">
        <v>1</v>
      </c>
      <c r="R195" t="n">
        <v>0</v>
      </c>
      <c r="S195" t="n">
        <v>3</v>
      </c>
      <c r="T195" t="n">
        <v>4</v>
      </c>
      <c r="U195" t="n">
        <v>0</v>
      </c>
      <c r="V195" s="2" t="inlineStr">
        <is>
          <t>Svinrot
Tibast
Blåsippa</t>
        </is>
      </c>
      <c r="W195">
        <f>HYPERLINK("https://klasma.github.io/Logging_0484/artfynd/A 32253-2026 artfynd.xlsx", "A 32253-2026")</f>
        <v/>
      </c>
      <c r="X195">
        <f>HYPERLINK("https://klasma.github.io/Logging_0484/kartor/A 32253-2026 karta.png", "A 32253-2026")</f>
        <v/>
      </c>
      <c r="Y195">
        <f>HYPERLINK("https://klasma.github.io/Logging_0484/kartor_geotiff/A 32253-2026 georefererad karta.tif", "A 32253-2026")</f>
        <v/>
      </c>
      <c r="AA195">
        <f>HYPERLINK("https://klasma.github.io/Logging_0484/klagomål/A 32253-2026 FSC-klagomål.docx", "A 32253-2026")</f>
        <v/>
      </c>
      <c r="AB195">
        <f>HYPERLINK("https://klasma.github.io/Logging_0484/klagomålsmail/A 32253-2026 FSC-klagomål mail.docx", "A 32253-2026")</f>
        <v/>
      </c>
      <c r="AC195">
        <f>HYPERLINK("https://klasma.github.io/Logging_0484/tillsyn/A 32253-2026 tillsynsbegäran.docx", "A 32253-2026")</f>
        <v/>
      </c>
      <c r="AD195">
        <f>HYPERLINK("https://klasma.github.io/Logging_0484/tillsynsmail/A 32253-2026 tillsynsbegäran mail.docx", "A 32253-2026")</f>
        <v/>
      </c>
    </row>
    <row r="196" ht="15" customHeight="1">
      <c r="A196" t="inlineStr">
        <is>
          <t>A 38967-2026</t>
        </is>
      </c>
      <c r="B196" t="inlineStr">
        <is>
          <t>avverkningsanmälan</t>
        </is>
      </c>
      <c r="C196" t="inlineStr">
        <is>
          <t>Föryngringsavverkning</t>
        </is>
      </c>
      <c r="D196" s="1" t="n">
        <v>46286</v>
      </c>
      <c r="E196" s="1" t="n">
        <v>46313</v>
      </c>
      <c r="F196" t="inlineStr">
        <is>
          <t>SÖDERMANLANDS LÄN</t>
        </is>
      </c>
      <c r="G196" t="inlineStr">
        <is>
          <t>ESKILSTUNA</t>
        </is>
      </c>
      <c r="I196" t="n">
        <v>9.5</v>
      </c>
      <c r="J196" t="n">
        <v>1</v>
      </c>
      <c r="K196" t="n">
        <v>1</v>
      </c>
      <c r="L196" t="n">
        <v>1</v>
      </c>
      <c r="M196" t="n">
        <v>0</v>
      </c>
      <c r="N196" t="n">
        <v>0</v>
      </c>
      <c r="O196" t="n">
        <v>0</v>
      </c>
      <c r="P196" t="n">
        <v>0</v>
      </c>
      <c r="Q196" t="n">
        <v>1</v>
      </c>
      <c r="R196" t="n">
        <v>0</v>
      </c>
      <c r="S196" t="n">
        <v>3</v>
      </c>
      <c r="T196" t="n">
        <v>3</v>
      </c>
      <c r="U196" t="n">
        <v>0</v>
      </c>
      <c r="V196" s="2" t="inlineStr">
        <is>
          <t>Älg
Grönpyrola
Revlummer</t>
        </is>
      </c>
      <c r="W196">
        <f>HYPERLINK("https://klasma.github.io/Logging_0484/artfynd/A 38967-2026 artfynd.xlsx", "A 38967-2026")</f>
        <v/>
      </c>
      <c r="X196">
        <f>HYPERLINK("https://klasma.github.io/Logging_0484/kartor/A 38967-2026 karta.png", "A 38967-2026")</f>
        <v/>
      </c>
      <c r="Y196">
        <f>HYPERLINK("https://klasma.github.io/Logging_0484/kartor_geotiff/A 38967-2026 georefererad karta.tif", "A 38967-2026")</f>
        <v/>
      </c>
      <c r="AA196">
        <f>HYPERLINK("https://klasma.github.io/Logging_0484/klagomål/A 38967-2026 FSC-klagomål.docx", "A 38967-2026")</f>
        <v/>
      </c>
      <c r="AB196">
        <f>HYPERLINK("https://klasma.github.io/Logging_0484/klagomålsmail/A 38967-2026 FSC-klagomål mail.docx", "A 38967-2026")</f>
        <v/>
      </c>
      <c r="AC196">
        <f>HYPERLINK("https://klasma.github.io/Logging_0484/tillsyn/A 38967-2026 tillsynsbegäran.docx", "A 38967-2026")</f>
        <v/>
      </c>
      <c r="AD196">
        <f>HYPERLINK("https://klasma.github.io/Logging_0484/tillsynsmail/A 38967-2026 tillsynsbegäran mail.docx", "A 38967-2026")</f>
        <v/>
      </c>
    </row>
    <row r="197" ht="15" customHeight="1">
      <c r="A197" t="inlineStr">
        <is>
          <t>A 12929-2023</t>
        </is>
      </c>
      <c r="B197" t="inlineStr">
        <is>
          <t>avverkningsanmälan</t>
        </is>
      </c>
      <c r="C197" t="inlineStr">
        <is>
          <t>Föryngringsavverkning</t>
        </is>
      </c>
      <c r="D197" s="1" t="n">
        <v>45001</v>
      </c>
      <c r="E197" s="1" t="n">
        <v>46313</v>
      </c>
      <c r="F197" t="inlineStr">
        <is>
          <t>SÖDERMANLANDS LÄN</t>
        </is>
      </c>
      <c r="G197" t="inlineStr">
        <is>
          <t>KATRINEHOLM</t>
        </is>
      </c>
      <c r="I197" t="n">
        <v>3.1</v>
      </c>
      <c r="J197" t="n">
        <v>2</v>
      </c>
      <c r="K197" t="n">
        <v>0</v>
      </c>
      <c r="L197" t="n">
        <v>1</v>
      </c>
      <c r="M197" t="n">
        <v>0</v>
      </c>
      <c r="N197" t="n">
        <v>0</v>
      </c>
      <c r="O197" t="n">
        <v>0</v>
      </c>
      <c r="P197" t="n">
        <v>0</v>
      </c>
      <c r="Q197" t="n">
        <v>1</v>
      </c>
      <c r="R197" t="n">
        <v>0</v>
      </c>
      <c r="S197" t="n">
        <v>3</v>
      </c>
      <c r="T197" t="n">
        <v>4</v>
      </c>
      <c r="U197" t="n">
        <v>4</v>
      </c>
      <c r="V197" s="2" t="inlineStr">
        <is>
          <t>Vårstarr
Fläcknycklar
Gullviva</t>
        </is>
      </c>
      <c r="W197">
        <f>HYPERLINK("https://klasma.github.io/Logging_0483/artfynd/A 12929-2023 artfynd.xlsx", "A 12929-2023")</f>
        <v/>
      </c>
      <c r="X197">
        <f>HYPERLINK("https://klasma.github.io/Logging_0483/kartor/A 12929-2023 karta.png", "A 12929-2023")</f>
        <v/>
      </c>
      <c r="Y197">
        <f>HYPERLINK("https://klasma.github.io/Logging_0483/kartor_geotiff/A 12929-2023 georefererad karta.tif", "A 12929-2023")</f>
        <v/>
      </c>
      <c r="AA197">
        <f>HYPERLINK("https://klasma.github.io/Logging_0483/klagomål/A 12929-2023 FSC-klagomål.docx", "A 12929-2023")</f>
        <v/>
      </c>
      <c r="AB197">
        <f>HYPERLINK("https://klasma.github.io/Logging_0483/klagomålsmail/A 12929-2023 FSC-klagomål mail.docx", "A 12929-2023")</f>
        <v/>
      </c>
      <c r="AC197">
        <f>HYPERLINK("https://klasma.github.io/Logging_0483/tillsyn/A 12929-2023 tillsynsbegäran.docx", "A 12929-2023")</f>
        <v/>
      </c>
      <c r="AD197">
        <f>HYPERLINK("https://klasma.github.io/Logging_0483/tillsynsmail/A 12929-2023 tillsynsbegäran mail.docx", "A 12929-2023")</f>
        <v/>
      </c>
    </row>
    <row r="198" ht="15" customHeight="1">
      <c r="A198" t="inlineStr">
        <is>
          <t>A 33853-2022</t>
        </is>
      </c>
      <c r="B198" t="inlineStr">
        <is>
          <t>avverkningsanmälan</t>
        </is>
      </c>
      <c r="C198" t="inlineStr">
        <is>
          <t>Föryngringsavverkning</t>
        </is>
      </c>
      <c r="D198" s="1" t="n">
        <v>44790</v>
      </c>
      <c r="E198" s="1" t="n">
        <v>46313</v>
      </c>
      <c r="F198" t="inlineStr">
        <is>
          <t>SÖDERMANLANDS LÄN</t>
        </is>
      </c>
      <c r="G198" t="inlineStr">
        <is>
          <t>FLEN</t>
        </is>
      </c>
      <c r="H198" t="inlineStr">
        <is>
          <t>Övriga statliga verk och myndigheter</t>
        </is>
      </c>
      <c r="I198" t="n">
        <v>1.9</v>
      </c>
      <c r="J198" t="n">
        <v>1</v>
      </c>
      <c r="K198" t="n">
        <v>1</v>
      </c>
      <c r="L198" t="n">
        <v>2</v>
      </c>
      <c r="M198" t="n">
        <v>0</v>
      </c>
      <c r="N198" t="n">
        <v>0</v>
      </c>
      <c r="O198" t="n">
        <v>0</v>
      </c>
      <c r="P198" t="n">
        <v>0</v>
      </c>
      <c r="Q198" t="n">
        <v>2</v>
      </c>
      <c r="R198" t="n">
        <v>0</v>
      </c>
      <c r="S198" t="n">
        <v>3</v>
      </c>
      <c r="T198" t="n">
        <v>3</v>
      </c>
      <c r="U198" t="n">
        <v>1</v>
      </c>
      <c r="V198" s="2" t="inlineStr">
        <is>
          <t>Gullklöver
Sädesärla
Svart trolldruva</t>
        </is>
      </c>
      <c r="W198">
        <f>HYPERLINK("https://klasma.github.io/Logging_0482/artfynd/A 33853-2022 artfynd.xlsx", "A 33853-2022")</f>
        <v/>
      </c>
      <c r="X198">
        <f>HYPERLINK("https://klasma.github.io/Logging_0482/kartor/A 33853-2022 karta.png", "A 33853-2022")</f>
        <v/>
      </c>
      <c r="Y198">
        <f>HYPERLINK("https://klasma.github.io/Logging_0482/kartor_geotiff/A 33853-2022 georefererad karta.tif", "A 33853-2022")</f>
        <v/>
      </c>
      <c r="AA198">
        <f>HYPERLINK("https://klasma.github.io/Logging_0482/klagomål/A 33853-2022 FSC-klagomål.docx", "A 33853-2022")</f>
        <v/>
      </c>
      <c r="AB198">
        <f>HYPERLINK("https://klasma.github.io/Logging_0482/klagomålsmail/A 33853-2022 FSC-klagomål mail.docx", "A 33853-2022")</f>
        <v/>
      </c>
      <c r="AC198">
        <f>HYPERLINK("https://klasma.github.io/Logging_0482/tillsyn/A 33853-2022 tillsynsbegäran.docx", "A 33853-2022")</f>
        <v/>
      </c>
      <c r="AD198">
        <f>HYPERLINK("https://klasma.github.io/Logging_0482/tillsynsmail/A 33853-2022 tillsynsbegäran mail.docx", "A 33853-2022")</f>
        <v/>
      </c>
      <c r="AE198">
        <f>HYPERLINK("https://klasma.github.io/Logging_0482/fåglar/A 33853-2022 prioriterade fågelarter.docx", "A 33853-2022")</f>
        <v/>
      </c>
    </row>
    <row r="199" ht="15" customHeight="1">
      <c r="A199" t="inlineStr">
        <is>
          <t>A 45530-2023</t>
        </is>
      </c>
      <c r="B199" t="inlineStr">
        <is>
          <t>avverkningsanmälan</t>
        </is>
      </c>
      <c r="C199" t="inlineStr">
        <is>
          <t>Föryngringsavverkning</t>
        </is>
      </c>
      <c r="D199" s="1" t="n">
        <v>45188</v>
      </c>
      <c r="E199" s="1" t="n">
        <v>46313</v>
      </c>
      <c r="F199" t="inlineStr">
        <is>
          <t>SÖDERMANLANDS LÄN</t>
        </is>
      </c>
      <c r="G199" t="inlineStr">
        <is>
          <t>KATRINEHOLM</t>
        </is>
      </c>
      <c r="H199" t="inlineStr">
        <is>
          <t>Allmännings- och besparingsskogar</t>
        </is>
      </c>
      <c r="I199" t="n">
        <v>37</v>
      </c>
      <c r="J199" t="n">
        <v>2</v>
      </c>
      <c r="K199" t="n">
        <v>1</v>
      </c>
      <c r="L199" t="n">
        <v>0</v>
      </c>
      <c r="M199" t="n">
        <v>0</v>
      </c>
      <c r="N199" t="n">
        <v>0</v>
      </c>
      <c r="O199" t="n">
        <v>0</v>
      </c>
      <c r="P199" t="n">
        <v>0</v>
      </c>
      <c r="Q199" t="n">
        <v>0</v>
      </c>
      <c r="R199" t="n">
        <v>0</v>
      </c>
      <c r="S199" t="n">
        <v>3</v>
      </c>
      <c r="T199" t="n">
        <v>3</v>
      </c>
      <c r="U199" t="n">
        <v>2</v>
      </c>
      <c r="V199" s="2" t="inlineStr">
        <is>
          <t>Björksplintborre
Mattlummer
Fläcknycklar</t>
        </is>
      </c>
      <c r="W199">
        <f>HYPERLINK("https://klasma.github.io/Logging_0483/artfynd/A 45530-2023 artfynd.xlsx", "A 45530-2023")</f>
        <v/>
      </c>
      <c r="X199">
        <f>HYPERLINK("https://klasma.github.io/Logging_0483/kartor/A 45530-2023 karta.png", "A 45530-2023")</f>
        <v/>
      </c>
      <c r="Y199">
        <f>HYPERLINK("https://klasma.github.io/Logging_0483/kartor_geotiff/A 45530-2023 georefererad karta.tif", "A 45530-2023")</f>
        <v/>
      </c>
      <c r="AA199">
        <f>HYPERLINK("https://klasma.github.io/Logging_0483/klagomål/A 45530-2023 FSC-klagomål.docx", "A 45530-2023")</f>
        <v/>
      </c>
      <c r="AB199">
        <f>HYPERLINK("https://klasma.github.io/Logging_0483/klagomålsmail/A 45530-2023 FSC-klagomål mail.docx", "A 45530-2023")</f>
        <v/>
      </c>
      <c r="AC199">
        <f>HYPERLINK("https://klasma.github.io/Logging_0483/tillsyn/A 45530-2023 tillsynsbegäran.docx", "A 45530-2023")</f>
        <v/>
      </c>
      <c r="AD199">
        <f>HYPERLINK("https://klasma.github.io/Logging_0483/tillsynsmail/A 45530-2023 tillsynsbegäran mail.docx", "A 45530-2023")</f>
        <v/>
      </c>
    </row>
    <row r="200" ht="15" customHeight="1">
      <c r="A200" t="inlineStr">
        <is>
          <t>A 34985-2023</t>
        </is>
      </c>
      <c r="B200" t="inlineStr">
        <is>
          <t>avverkningsanmälan</t>
        </is>
      </c>
      <c r="C200" t="inlineStr">
        <is>
          <t>Föryngringsavverkning</t>
        </is>
      </c>
      <c r="D200" s="1" t="n">
        <v>45142</v>
      </c>
      <c r="E200" s="1" t="n">
        <v>46313</v>
      </c>
      <c r="F200" t="inlineStr">
        <is>
          <t>SÖDERMANLANDS LÄN</t>
        </is>
      </c>
      <c r="G200" t="inlineStr">
        <is>
          <t>FLEN</t>
        </is>
      </c>
      <c r="H200" t="inlineStr">
        <is>
          <t>Övriga statliga verk och myndigheter</t>
        </is>
      </c>
      <c r="I200" t="n">
        <v>2.8</v>
      </c>
      <c r="J200" t="n">
        <v>2</v>
      </c>
      <c r="K200" t="n">
        <v>1</v>
      </c>
      <c r="L200" t="n">
        <v>0</v>
      </c>
      <c r="M200" t="n">
        <v>1</v>
      </c>
      <c r="N200" t="n">
        <v>0</v>
      </c>
      <c r="O200" t="n">
        <v>0</v>
      </c>
      <c r="P200" t="n">
        <v>0</v>
      </c>
      <c r="Q200" t="n">
        <v>1</v>
      </c>
      <c r="R200" t="n">
        <v>1</v>
      </c>
      <c r="S200" t="n">
        <v>3</v>
      </c>
      <c r="T200" t="n">
        <v>3</v>
      </c>
      <c r="U200" t="n">
        <v>0</v>
      </c>
      <c r="V200" s="2" t="inlineStr">
        <is>
          <t>Knärot
Grönpyrola
Revlummer</t>
        </is>
      </c>
      <c r="W200">
        <f>HYPERLINK("https://klasma.github.io/Logging_0482/artfynd/A 34985-2023 artfynd.xlsx", "A 34985-2023")</f>
        <v/>
      </c>
      <c r="X200">
        <f>HYPERLINK("https://klasma.github.io/Logging_0482/kartor/A 34985-2023 karta.png", "A 34985-2023")</f>
        <v/>
      </c>
      <c r="Y200">
        <f>HYPERLINK("https://klasma.github.io/Logging_0482/kartor_geotiff/A 34985-2023 georefererad karta.tif", "A 34985-2023")</f>
        <v/>
      </c>
      <c r="Z200">
        <f>HYPERLINK("https://klasma.github.io/Logging_0482/knärot/A 34985-2023 karta knärot.png", "A 34985-2023")</f>
        <v/>
      </c>
      <c r="AA200">
        <f>HYPERLINK("https://klasma.github.io/Logging_0482/klagomål/A 34985-2023 FSC-klagomål.docx", "A 34985-2023")</f>
        <v/>
      </c>
      <c r="AB200">
        <f>HYPERLINK("https://klasma.github.io/Logging_0482/klagomålsmail/A 34985-2023 FSC-klagomål mail.docx", "A 34985-2023")</f>
        <v/>
      </c>
      <c r="AC200">
        <f>HYPERLINK("https://klasma.github.io/Logging_0482/tillsyn/A 34985-2023 tillsynsbegäran.docx", "A 34985-2023")</f>
        <v/>
      </c>
      <c r="AD200">
        <f>HYPERLINK("https://klasma.github.io/Logging_0482/tillsynsmail/A 34985-2023 tillsynsbegäran mail.docx", "A 34985-2023")</f>
        <v/>
      </c>
    </row>
    <row r="201" ht="15" customHeight="1">
      <c r="A201" t="inlineStr">
        <is>
          <t>A 23568-2023</t>
        </is>
      </c>
      <c r="B201" t="inlineStr">
        <is>
          <t>avverkningsanmälan</t>
        </is>
      </c>
      <c r="C201" t="inlineStr">
        <is>
          <t>Föryngringsavverkning</t>
        </is>
      </c>
      <c r="D201" s="1" t="n">
        <v>45077</v>
      </c>
      <c r="E201" s="1" t="n">
        <v>46313</v>
      </c>
      <c r="F201" t="inlineStr">
        <is>
          <t>SÖDERMANLANDS LÄN</t>
        </is>
      </c>
      <c r="G201" t="inlineStr">
        <is>
          <t>KATRINEHOLM</t>
        </is>
      </c>
      <c r="H201" t="inlineStr">
        <is>
          <t>Kommuner</t>
        </is>
      </c>
      <c r="I201" t="n">
        <v>1.4</v>
      </c>
      <c r="J201" t="n">
        <v>0</v>
      </c>
      <c r="K201" t="n">
        <v>1</v>
      </c>
      <c r="L201" t="n">
        <v>2</v>
      </c>
      <c r="M201" t="n">
        <v>0</v>
      </c>
      <c r="N201" t="n">
        <v>0</v>
      </c>
      <c r="O201" t="n">
        <v>0</v>
      </c>
      <c r="P201" t="n">
        <v>0</v>
      </c>
      <c r="Q201" t="n">
        <v>2</v>
      </c>
      <c r="R201" t="n">
        <v>0</v>
      </c>
      <c r="S201" t="n">
        <v>3</v>
      </c>
      <c r="T201" t="n">
        <v>3</v>
      </c>
      <c r="U201" t="n">
        <v>1</v>
      </c>
      <c r="V201" s="2" t="inlineStr">
        <is>
          <t>Fyrflikig jordstjärna
Svinrot
Grönpyrola</t>
        </is>
      </c>
      <c r="W201">
        <f>HYPERLINK("https://klasma.github.io/Logging_0483/artfynd/A 23568-2023 artfynd.xlsx", "A 23568-2023")</f>
        <v/>
      </c>
      <c r="X201">
        <f>HYPERLINK("https://klasma.github.io/Logging_0483/kartor/A 23568-2023 karta.png", "A 23568-2023")</f>
        <v/>
      </c>
      <c r="Y201">
        <f>HYPERLINK("https://klasma.github.io/Logging_0483/kartor_geotiff/A 23568-2023 georefererad karta.tif", "A 23568-2023")</f>
        <v/>
      </c>
      <c r="AA201">
        <f>HYPERLINK("https://klasma.github.io/Logging_0483/klagomål/A 23568-2023 FSC-klagomål.docx", "A 23568-2023")</f>
        <v/>
      </c>
      <c r="AB201">
        <f>HYPERLINK("https://klasma.github.io/Logging_0483/klagomålsmail/A 23568-2023 FSC-klagomål mail.docx", "A 23568-2023")</f>
        <v/>
      </c>
      <c r="AC201">
        <f>HYPERLINK("https://klasma.github.io/Logging_0483/tillsyn/A 23568-2023 tillsynsbegäran.docx", "A 23568-2023")</f>
        <v/>
      </c>
      <c r="AD201">
        <f>HYPERLINK("https://klasma.github.io/Logging_0483/tillsynsmail/A 23568-2023 tillsynsbegäran mail.docx", "A 23568-2023")</f>
        <v/>
      </c>
    </row>
    <row r="202" ht="15" customHeight="1">
      <c r="A202" t="inlineStr">
        <is>
          <t>A 40844-2026</t>
        </is>
      </c>
      <c r="B202" t="inlineStr">
        <is>
          <t>avverkningsanmälan</t>
        </is>
      </c>
      <c r="C202" t="inlineStr">
        <is>
          <t>Föryngringsavverkning</t>
        </is>
      </c>
      <c r="D202" s="1" t="n">
        <v>46296</v>
      </c>
      <c r="E202" s="1" t="n">
        <v>46313</v>
      </c>
      <c r="F202" t="inlineStr">
        <is>
          <t>SÖDERMANLANDS LÄN</t>
        </is>
      </c>
      <c r="G202" t="inlineStr">
        <is>
          <t>ESKILSTUNA</t>
        </is>
      </c>
      <c r="H202" t="inlineStr">
        <is>
          <t>Sveaskog</t>
        </is>
      </c>
      <c r="I202" t="n">
        <v>2.1</v>
      </c>
      <c r="J202" t="n">
        <v>1</v>
      </c>
      <c r="K202" t="n">
        <v>1</v>
      </c>
      <c r="L202" t="n">
        <v>1</v>
      </c>
      <c r="M202" t="n">
        <v>0</v>
      </c>
      <c r="N202" t="n">
        <v>0</v>
      </c>
      <c r="O202" t="n">
        <v>0</v>
      </c>
      <c r="P202" t="n">
        <v>0</v>
      </c>
      <c r="Q202" t="n">
        <v>1</v>
      </c>
      <c r="R202" t="n">
        <v>0</v>
      </c>
      <c r="S202" t="n">
        <v>3</v>
      </c>
      <c r="T202" t="n">
        <v>5</v>
      </c>
      <c r="U202" t="n">
        <v>0</v>
      </c>
      <c r="V202" s="2" t="inlineStr">
        <is>
          <t>Gullpudra
Tibast
Blåsippa</t>
        </is>
      </c>
      <c r="W202">
        <f>HYPERLINK("https://klasma.github.io/Logging_0484/artfynd/A 40844-2026 artfynd.xlsx", "A 40844-2026")</f>
        <v/>
      </c>
      <c r="X202">
        <f>HYPERLINK("https://klasma.github.io/Logging_0484/kartor/A 40844-2026 karta.png", "A 40844-2026")</f>
        <v/>
      </c>
      <c r="Y202">
        <f>HYPERLINK("https://klasma.github.io/Logging_0484/kartor_geotiff/A 40844-2026 georefererad karta.tif", "A 40844-2026")</f>
        <v/>
      </c>
      <c r="AA202">
        <f>HYPERLINK("https://klasma.github.io/Logging_0484/klagomål/A 40844-2026 FSC-klagomål.docx", "A 40844-2026")</f>
        <v/>
      </c>
      <c r="AB202">
        <f>HYPERLINK("https://klasma.github.io/Logging_0484/klagomålsmail/A 40844-2026 FSC-klagomål mail.docx", "A 40844-2026")</f>
        <v/>
      </c>
      <c r="AC202">
        <f>HYPERLINK("https://klasma.github.io/Logging_0484/tillsyn/A 40844-2026 tillsynsbegäran.docx", "A 40844-2026")</f>
        <v/>
      </c>
      <c r="AD202">
        <f>HYPERLINK("https://klasma.github.io/Logging_0484/tillsynsmail/A 40844-2026 tillsynsbegäran mail.docx", "A 40844-2026")</f>
        <v/>
      </c>
    </row>
    <row r="203" ht="15" customHeight="1">
      <c r="A203" t="inlineStr">
        <is>
          <t>A 24539-2025</t>
        </is>
      </c>
      <c r="B203" t="inlineStr">
        <is>
          <t>avverkningsanmälan</t>
        </is>
      </c>
      <c r="C203" t="inlineStr">
        <is>
          <t>Avverkning för att bevara och utveckla /försöksver</t>
        </is>
      </c>
      <c r="D203" s="1" t="n">
        <v>45798</v>
      </c>
      <c r="E203" s="1" t="n">
        <v>46313</v>
      </c>
      <c r="F203" t="inlineStr">
        <is>
          <t>SÖDERMANLANDS LÄN</t>
        </is>
      </c>
      <c r="G203" t="inlineStr">
        <is>
          <t>ESKILSTUNA</t>
        </is>
      </c>
      <c r="H203" t="inlineStr">
        <is>
          <t>Sveaskog</t>
        </is>
      </c>
      <c r="I203" t="n">
        <v>4.8</v>
      </c>
      <c r="J203" t="n">
        <v>1</v>
      </c>
      <c r="K203" t="n">
        <v>1</v>
      </c>
      <c r="L203" t="n">
        <v>1</v>
      </c>
      <c r="M203" t="n">
        <v>0</v>
      </c>
      <c r="N203" t="n">
        <v>0</v>
      </c>
      <c r="O203" t="n">
        <v>0</v>
      </c>
      <c r="P203" t="n">
        <v>0</v>
      </c>
      <c r="Q203" t="n">
        <v>1</v>
      </c>
      <c r="R203" t="n">
        <v>0</v>
      </c>
      <c r="S203" t="n">
        <v>3</v>
      </c>
      <c r="T203" t="n">
        <v>7</v>
      </c>
      <c r="U203" t="n">
        <v>0</v>
      </c>
      <c r="V203" s="2" t="inlineStr">
        <is>
          <t>Ängsskära
Svart trolldruva
Blåsippa</t>
        </is>
      </c>
      <c r="W203">
        <f>HYPERLINK("https://klasma.github.io/Logging_0484/artfynd/A 24539-2025 artfynd.xlsx", "A 24539-2025")</f>
        <v/>
      </c>
      <c r="X203">
        <f>HYPERLINK("https://klasma.github.io/Logging_0484/kartor/A 24539-2025 karta.png", "A 24539-2025")</f>
        <v/>
      </c>
      <c r="Y203">
        <f>HYPERLINK("https://klasma.github.io/Logging_0484/kartor_geotiff/A 24539-2025 georefererad karta.tif", "A 24539-2025")</f>
        <v/>
      </c>
      <c r="AA203">
        <f>HYPERLINK("https://klasma.github.io/Logging_0484/klagomål/A 24539-2025 FSC-klagomål.docx", "A 24539-2025")</f>
        <v/>
      </c>
      <c r="AB203">
        <f>HYPERLINK("https://klasma.github.io/Logging_0484/klagomålsmail/A 24539-2025 FSC-klagomål mail.docx", "A 24539-2025")</f>
        <v/>
      </c>
      <c r="AC203">
        <f>HYPERLINK("https://klasma.github.io/Logging_0484/tillsyn/A 24539-2025 tillsynsbegäran.docx", "A 24539-2025")</f>
        <v/>
      </c>
      <c r="AD203">
        <f>HYPERLINK("https://klasma.github.io/Logging_0484/tillsynsmail/A 24539-2025 tillsynsbegäran mail.docx", "A 24539-2025")</f>
        <v/>
      </c>
    </row>
    <row r="204" ht="15" customHeight="1">
      <c r="A204" t="inlineStr">
        <is>
          <t>A 24543-2025</t>
        </is>
      </c>
      <c r="B204" t="inlineStr">
        <is>
          <t>avverkningsanmälan</t>
        </is>
      </c>
      <c r="C204" t="inlineStr">
        <is>
          <t>Avverkning för att bevara och utveckla /försöksver</t>
        </is>
      </c>
      <c r="D204" s="1" t="n">
        <v>45798</v>
      </c>
      <c r="E204" s="1" t="n">
        <v>46313</v>
      </c>
      <c r="F204" t="inlineStr">
        <is>
          <t>SÖDERMANLANDS LÄN</t>
        </is>
      </c>
      <c r="G204" t="inlineStr">
        <is>
          <t>ESKILSTUNA</t>
        </is>
      </c>
      <c r="H204" t="inlineStr">
        <is>
          <t>Sveaskog</t>
        </is>
      </c>
      <c r="I204" t="n">
        <v>0.4</v>
      </c>
      <c r="J204" t="n">
        <v>1</v>
      </c>
      <c r="K204" t="n">
        <v>1</v>
      </c>
      <c r="L204" t="n">
        <v>1</v>
      </c>
      <c r="M204" t="n">
        <v>0</v>
      </c>
      <c r="N204" t="n">
        <v>0</v>
      </c>
      <c r="O204" t="n">
        <v>0</v>
      </c>
      <c r="P204" t="n">
        <v>0</v>
      </c>
      <c r="Q204" t="n">
        <v>1</v>
      </c>
      <c r="R204" t="n">
        <v>0</v>
      </c>
      <c r="S204" t="n">
        <v>3</v>
      </c>
      <c r="T204" t="n">
        <v>6</v>
      </c>
      <c r="U204" t="n">
        <v>0</v>
      </c>
      <c r="V204" s="2" t="inlineStr">
        <is>
          <t>Ängsskära
Svart trolldruva
Blåsippa</t>
        </is>
      </c>
      <c r="W204">
        <f>HYPERLINK("https://klasma.github.io/Logging_0484/artfynd/A 24543-2025 artfynd.xlsx", "A 24543-2025")</f>
        <v/>
      </c>
      <c r="X204">
        <f>HYPERLINK("https://klasma.github.io/Logging_0484/kartor/A 24543-2025 karta.png", "A 24543-2025")</f>
        <v/>
      </c>
      <c r="Y204">
        <f>HYPERLINK("https://klasma.github.io/Logging_0484/kartor_geotiff/A 24543-2025 georefererad karta.tif", "A 24543-2025")</f>
        <v/>
      </c>
      <c r="AA204">
        <f>HYPERLINK("https://klasma.github.io/Logging_0484/klagomål/A 24543-2025 FSC-klagomål.docx", "A 24543-2025")</f>
        <v/>
      </c>
      <c r="AB204">
        <f>HYPERLINK("https://klasma.github.io/Logging_0484/klagomålsmail/A 24543-2025 FSC-klagomål mail.docx", "A 24543-2025")</f>
        <v/>
      </c>
      <c r="AC204">
        <f>HYPERLINK("https://klasma.github.io/Logging_0484/tillsyn/A 24543-2025 tillsynsbegäran.docx", "A 24543-2025")</f>
        <v/>
      </c>
      <c r="AD204">
        <f>HYPERLINK("https://klasma.github.io/Logging_0484/tillsynsmail/A 24543-2025 tillsynsbegäran mail.docx", "A 24543-2025")</f>
        <v/>
      </c>
    </row>
    <row r="205" ht="15" customHeight="1">
      <c r="A205" t="inlineStr">
        <is>
          <t>A 36799-2025</t>
        </is>
      </c>
      <c r="B205" t="inlineStr">
        <is>
          <t>avverkningsanmälan</t>
        </is>
      </c>
      <c r="C205" t="inlineStr">
        <is>
          <t>Föryngringsavverkning</t>
        </is>
      </c>
      <c r="D205" s="1" t="n">
        <v>45873</v>
      </c>
      <c r="E205" s="1" t="n">
        <v>46313</v>
      </c>
      <c r="F205" t="inlineStr">
        <is>
          <t>SÖDERMANLANDS LÄN</t>
        </is>
      </c>
      <c r="G205" t="inlineStr">
        <is>
          <t>STRÄNGNÄS</t>
        </is>
      </c>
      <c r="I205" t="n">
        <v>2.3</v>
      </c>
      <c r="J205" t="n">
        <v>1</v>
      </c>
      <c r="K205" t="n">
        <v>1</v>
      </c>
      <c r="L205" t="n">
        <v>1</v>
      </c>
      <c r="M205" t="n">
        <v>0</v>
      </c>
      <c r="N205" t="n">
        <v>0</v>
      </c>
      <c r="O205" t="n">
        <v>0</v>
      </c>
      <c r="P205" t="n">
        <v>0</v>
      </c>
      <c r="Q205" t="n">
        <v>1</v>
      </c>
      <c r="R205" t="n">
        <v>0</v>
      </c>
      <c r="S205" t="n">
        <v>3</v>
      </c>
      <c r="T205" t="n">
        <v>3</v>
      </c>
      <c r="U205" t="n">
        <v>2</v>
      </c>
      <c r="V205" s="2" t="inlineStr">
        <is>
          <t>Jungfrulin
Blomkålssvamp
Större vattensalamander</t>
        </is>
      </c>
      <c r="W205">
        <f>HYPERLINK("https://klasma.github.io/Logging_0486/artfynd/A 36799-2025 artfynd.xlsx", "A 36799-2025")</f>
        <v/>
      </c>
      <c r="X205">
        <f>HYPERLINK("https://klasma.github.io/Logging_0486/kartor/A 36799-2025 karta.png", "A 36799-2025")</f>
        <v/>
      </c>
      <c r="Y205">
        <f>HYPERLINK("https://klasma.github.io/Logging_0486/kartor_geotiff/A 36799-2025 georefererad karta.tif", "A 36799-2025")</f>
        <v/>
      </c>
      <c r="AA205">
        <f>HYPERLINK("https://klasma.github.io/Logging_0486/klagomål/A 36799-2025 FSC-klagomål.docx", "A 36799-2025")</f>
        <v/>
      </c>
      <c r="AB205">
        <f>HYPERLINK("https://klasma.github.io/Logging_0486/klagomålsmail/A 36799-2025 FSC-klagomål mail.docx", "A 36799-2025")</f>
        <v/>
      </c>
      <c r="AC205">
        <f>HYPERLINK("https://klasma.github.io/Logging_0486/tillsyn/A 36799-2025 tillsynsbegäran.docx", "A 36799-2025")</f>
        <v/>
      </c>
      <c r="AD205">
        <f>HYPERLINK("https://klasma.github.io/Logging_0486/tillsynsmail/A 36799-2025 tillsynsbegäran mail.docx", "A 36799-2025")</f>
        <v/>
      </c>
    </row>
    <row r="206" ht="15" customHeight="1">
      <c r="A206" t="inlineStr">
        <is>
          <t>S 4520-2023</t>
        </is>
      </c>
      <c r="B206" t="inlineStr">
        <is>
          <t>samrådsanmälan</t>
        </is>
      </c>
      <c r="C206" t="inlineStr">
        <is>
          <t>Skogsgödsling</t>
        </is>
      </c>
      <c r="D206" s="1" t="n">
        <v>45275</v>
      </c>
      <c r="E206" s="1" t="n">
        <v>46313</v>
      </c>
      <c r="F206" t="inlineStr">
        <is>
          <t>SÖDERMANLANDS LÄN</t>
        </is>
      </c>
      <c r="G206" t="inlineStr">
        <is>
          <t>FLEN</t>
        </is>
      </c>
      <c r="H206" t="inlineStr">
        <is>
          <t>Holmen skog AB</t>
        </is>
      </c>
      <c r="I206" t="n">
        <v>61.5</v>
      </c>
      <c r="J206" t="n">
        <v>0</v>
      </c>
      <c r="K206" t="n">
        <v>1</v>
      </c>
      <c r="L206" t="n">
        <v>2</v>
      </c>
      <c r="M206" t="n">
        <v>0</v>
      </c>
      <c r="N206" t="n">
        <v>0</v>
      </c>
      <c r="O206" t="n">
        <v>0</v>
      </c>
      <c r="P206" t="n">
        <v>0</v>
      </c>
      <c r="Q206" t="n">
        <v>2</v>
      </c>
      <c r="R206" t="n">
        <v>0</v>
      </c>
      <c r="S206" t="n">
        <v>3</v>
      </c>
      <c r="T206" t="n">
        <v>4</v>
      </c>
      <c r="U206" t="n">
        <v>0</v>
      </c>
      <c r="V206" s="2" t="inlineStr">
        <is>
          <t>Motaggsvamp
Vedskivlav
Åttafläckig praktbagge</t>
        </is>
      </c>
      <c r="W206">
        <f>HYPERLINK("https://klasma.github.io/Logging_0482/artfynd/S 4520-2023 artfynd.xlsx", "S 4520-2023")</f>
        <v/>
      </c>
      <c r="X206">
        <f>HYPERLINK("https://klasma.github.io/Logging_0482/kartor/S 4520-2023 karta.png", "S 4520-2023")</f>
        <v/>
      </c>
      <c r="Y206">
        <f>HYPERLINK("https://klasma.github.io/Logging_0482/kartor_geotiff/S 4520-2023 georefererad karta.tif", "S 4520-2023")</f>
        <v/>
      </c>
      <c r="Z206">
        <f>HYPERLINK("https://klasma.github.io/Logging_0482/knärot/S 4520-2023 karta knärot.png", "S 4520-2023")</f>
        <v/>
      </c>
      <c r="AA206">
        <f>HYPERLINK("https://klasma.github.io/Logging_0482/klagomål/S 4520-2023 FSC-klagomål.docx", "S 4520-2023")</f>
        <v/>
      </c>
      <c r="AB206">
        <f>HYPERLINK("https://klasma.github.io/Logging_0482/klagomålsmail/S 4520-2023 FSC-klagomål mail.docx", "S 4520-2023")</f>
        <v/>
      </c>
      <c r="AC206">
        <f>HYPERLINK("https://klasma.github.io/Logging_0482/tillsyn/S 4520-2023 tillsynsbegäran.docx", "S 4520-2023")</f>
        <v/>
      </c>
      <c r="AD206">
        <f>HYPERLINK("https://klasma.github.io/Logging_0482/tillsynsmail/S 4520-2023 tillsynsbegäran mail.docx", "S 4520-2023")</f>
        <v/>
      </c>
    </row>
    <row r="207" ht="15" customHeight="1">
      <c r="A207" t="inlineStr">
        <is>
          <t>S 5380-2022</t>
        </is>
      </c>
      <c r="B207" t="inlineStr">
        <is>
          <t>samrådsanmälan</t>
        </is>
      </c>
      <c r="C207" t="inlineStr">
        <is>
          <t>Åtgärd i nyckelbiotop</t>
        </is>
      </c>
      <c r="D207" s="1" t="n">
        <v>44830</v>
      </c>
      <c r="E207" s="1" t="n">
        <v>46313</v>
      </c>
      <c r="F207" t="inlineStr">
        <is>
          <t>SÖDERMANLANDS LÄN</t>
        </is>
      </c>
      <c r="G207" t="inlineStr">
        <is>
          <t>FLEN</t>
        </is>
      </c>
      <c r="I207" t="n">
        <v>9.300000000000001</v>
      </c>
      <c r="J207" t="n">
        <v>1</v>
      </c>
      <c r="K207" t="n">
        <v>0</v>
      </c>
      <c r="L207" t="n">
        <v>2</v>
      </c>
      <c r="M207" t="n">
        <v>0</v>
      </c>
      <c r="N207" t="n">
        <v>0</v>
      </c>
      <c r="O207" t="n">
        <v>0</v>
      </c>
      <c r="P207" t="n">
        <v>0</v>
      </c>
      <c r="Q207" t="n">
        <v>2</v>
      </c>
      <c r="R207" t="n">
        <v>0</v>
      </c>
      <c r="S207" t="n">
        <v>3</v>
      </c>
      <c r="T207" t="n">
        <v>5</v>
      </c>
      <c r="U207" t="n">
        <v>3</v>
      </c>
      <c r="V207" s="2" t="inlineStr">
        <is>
          <t>Lunglav
Svinrot
Blåsippa</t>
        </is>
      </c>
      <c r="W207">
        <f>HYPERLINK("https://klasma.github.io/Logging_0482/artfynd/S 5380-2022 artfynd.xlsx", "S 5380-2022")</f>
        <v/>
      </c>
      <c r="X207">
        <f>HYPERLINK("https://klasma.github.io/Logging_0482/kartor/S 5380-2022 karta.png", "S 5380-2022")</f>
        <v/>
      </c>
      <c r="Y207">
        <f>HYPERLINK("https://klasma.github.io/Logging_0482/kartor_geotiff/S 5380-2022 georefererad karta.tif", "S 5380-2022")</f>
        <v/>
      </c>
      <c r="AA207">
        <f>HYPERLINK("https://klasma.github.io/Logging_0482/klagomål/S 5380-2022 FSC-klagomål.docx", "S 5380-2022")</f>
        <v/>
      </c>
      <c r="AB207">
        <f>HYPERLINK("https://klasma.github.io/Logging_0482/klagomålsmail/S 5380-2022 FSC-klagomål mail.docx", "S 5380-2022")</f>
        <v/>
      </c>
      <c r="AC207">
        <f>HYPERLINK("https://klasma.github.io/Logging_0482/tillsyn/S 5380-2022 tillsynsbegäran.docx", "S 5380-2022")</f>
        <v/>
      </c>
      <c r="AD207">
        <f>HYPERLINK("https://klasma.github.io/Logging_0482/tillsynsmail/S 5380-2022 tillsynsbegäran mail.docx", "S 5380-2022")</f>
        <v/>
      </c>
    </row>
    <row r="208" ht="15" customHeight="1">
      <c r="A208" t="inlineStr">
        <is>
          <t>S 5673-2022</t>
        </is>
      </c>
      <c r="B208" t="inlineStr">
        <is>
          <t>samrådsanmälan</t>
        </is>
      </c>
      <c r="C208" t="inlineStr">
        <is>
          <t>Annan skogsbruksåtgärd</t>
        </is>
      </c>
      <c r="D208" s="1" t="n">
        <v>44841</v>
      </c>
      <c r="E208" s="1" t="n">
        <v>46313</v>
      </c>
      <c r="F208" t="inlineStr">
        <is>
          <t>SÖDERMANLANDS LÄN</t>
        </is>
      </c>
      <c r="G208" t="inlineStr">
        <is>
          <t>STRÄNGNÄS</t>
        </is>
      </c>
      <c r="I208" t="n">
        <v>2</v>
      </c>
      <c r="J208" t="n">
        <v>0</v>
      </c>
      <c r="K208" t="n">
        <v>1</v>
      </c>
      <c r="L208" t="n">
        <v>1</v>
      </c>
      <c r="M208" t="n">
        <v>1</v>
      </c>
      <c r="N208" t="n">
        <v>0</v>
      </c>
      <c r="O208" t="n">
        <v>0</v>
      </c>
      <c r="P208" t="n">
        <v>0</v>
      </c>
      <c r="Q208" t="n">
        <v>2</v>
      </c>
      <c r="R208" t="n">
        <v>1</v>
      </c>
      <c r="S208" t="n">
        <v>3</v>
      </c>
      <c r="T208" t="n">
        <v>3</v>
      </c>
      <c r="U208" t="n">
        <v>0</v>
      </c>
      <c r="V208" s="2" t="inlineStr">
        <is>
          <t>Trubbig brosklav
Rödbrun blekspik
Sotlav</t>
        </is>
      </c>
      <c r="W208">
        <f>HYPERLINK("https://klasma.github.io/Logging_0486/artfynd/S 5673-2022 artfynd.xlsx", "S 5673-2022")</f>
        <v/>
      </c>
      <c r="X208">
        <f>HYPERLINK("https://klasma.github.io/Logging_0486/kartor/S 5673-2022 karta.png", "S 5673-2022")</f>
        <v/>
      </c>
      <c r="Y208">
        <f>HYPERLINK("https://klasma.github.io/Logging_0486/kartor_geotiff/S 5673-2022 georefererad karta.tif", "S 5673-2022")</f>
        <v/>
      </c>
      <c r="AA208">
        <f>HYPERLINK("https://klasma.github.io/Logging_0486/klagomål/S 5673-2022 FSC-klagomål.docx", "S 5673-2022")</f>
        <v/>
      </c>
      <c r="AB208">
        <f>HYPERLINK("https://klasma.github.io/Logging_0486/klagomålsmail/S 5673-2022 FSC-klagomål mail.docx", "S 5673-2022")</f>
        <v/>
      </c>
      <c r="AC208">
        <f>HYPERLINK("https://klasma.github.io/Logging_0486/tillsyn/S 5673-2022 tillsynsbegäran.docx", "S 5673-2022")</f>
        <v/>
      </c>
      <c r="AD208">
        <f>HYPERLINK("https://klasma.github.io/Logging_0486/tillsynsmail/S 5673-2022 tillsynsbegäran mail.docx", "S 5673-2022")</f>
        <v/>
      </c>
    </row>
    <row r="209" ht="15" customHeight="1">
      <c r="A209" t="inlineStr">
        <is>
          <t>S 4519-2023</t>
        </is>
      </c>
      <c r="B209" t="inlineStr">
        <is>
          <t>samrådsanmälan</t>
        </is>
      </c>
      <c r="C209" t="inlineStr">
        <is>
          <t>Skogsgödsling</t>
        </is>
      </c>
      <c r="D209" s="1" t="n">
        <v>45275</v>
      </c>
      <c r="E209" s="1" t="n">
        <v>46313</v>
      </c>
      <c r="F209" t="inlineStr">
        <is>
          <t>SÖDERMANLANDS LÄN</t>
        </is>
      </c>
      <c r="G209" t="inlineStr">
        <is>
          <t>TROSA</t>
        </is>
      </c>
      <c r="H209" t="inlineStr">
        <is>
          <t>Holmen skog AB</t>
        </is>
      </c>
      <c r="I209" t="n">
        <v>187.3</v>
      </c>
      <c r="J209" t="n">
        <v>1</v>
      </c>
      <c r="K209" t="n">
        <v>0</v>
      </c>
      <c r="L209" t="n">
        <v>3</v>
      </c>
      <c r="M209" t="n">
        <v>0</v>
      </c>
      <c r="N209" t="n">
        <v>0</v>
      </c>
      <c r="O209" t="n">
        <v>0</v>
      </c>
      <c r="P209" t="n">
        <v>0</v>
      </c>
      <c r="Q209" t="n">
        <v>3</v>
      </c>
      <c r="R209" t="n">
        <v>0</v>
      </c>
      <c r="S209" t="n">
        <v>3</v>
      </c>
      <c r="T209" t="n">
        <v>3</v>
      </c>
      <c r="U209" t="n">
        <v>2</v>
      </c>
      <c r="V209" s="2" t="inlineStr">
        <is>
          <t>Tallticka
Talltita
Älg</t>
        </is>
      </c>
      <c r="W209">
        <f>HYPERLINK("https://klasma.github.io/Logging_0488/artfynd/S 4519-2023 artfynd.xlsx", "S 4519-2023")</f>
        <v/>
      </c>
      <c r="X209">
        <f>HYPERLINK("https://klasma.github.io/Logging_0488/kartor/S 4519-2023 karta.png", "S 4519-2023")</f>
        <v/>
      </c>
      <c r="Y209">
        <f>HYPERLINK("https://klasma.github.io/Logging_0488/kartor_geotiff/S 4519-2023 georefererad karta.tif", "S 4519-2023")</f>
        <v/>
      </c>
      <c r="AA209">
        <f>HYPERLINK("https://klasma.github.io/Logging_0488/klagomål/S 4519-2023 FSC-klagomål.docx", "S 4519-2023")</f>
        <v/>
      </c>
      <c r="AB209">
        <f>HYPERLINK("https://klasma.github.io/Logging_0488/klagomålsmail/S 4519-2023 FSC-klagomål mail.docx", "S 4519-2023")</f>
        <v/>
      </c>
      <c r="AC209">
        <f>HYPERLINK("https://klasma.github.io/Logging_0488/tillsyn/S 4519-2023 tillsynsbegäran.docx", "S 4519-2023")</f>
        <v/>
      </c>
      <c r="AD209">
        <f>HYPERLINK("https://klasma.github.io/Logging_0488/tillsynsmail/S 4519-2023 tillsynsbegäran mail.docx", "S 4519-2023")</f>
        <v/>
      </c>
      <c r="AE209">
        <f>HYPERLINK("https://klasma.github.io/Logging_0488/fåglar/S 4519-2023 prioriterade fågelarter.docx", "S 4519-2023")</f>
        <v/>
      </c>
    </row>
    <row r="210" ht="15" customHeight="1">
      <c r="A210" t="inlineStr">
        <is>
          <t>S 2352-2022</t>
        </is>
      </c>
      <c r="B210" t="inlineStr">
        <is>
          <t>samrådsanmälan</t>
        </is>
      </c>
      <c r="C210" t="inlineStr">
        <is>
          <t>Åtgärd i nyckelbiotop</t>
        </is>
      </c>
      <c r="D210" s="1" t="n">
        <v>44686</v>
      </c>
      <c r="E210" s="1" t="n">
        <v>46313</v>
      </c>
      <c r="F210" t="inlineStr">
        <is>
          <t>SÖDERMANLANDS LÄN</t>
        </is>
      </c>
      <c r="G210" t="inlineStr">
        <is>
          <t>VINGÅKER</t>
        </is>
      </c>
      <c r="I210" t="n">
        <v>4.2</v>
      </c>
      <c r="J210" t="n">
        <v>0</v>
      </c>
      <c r="K210" t="n">
        <v>3</v>
      </c>
      <c r="L210" t="n">
        <v>0</v>
      </c>
      <c r="M210" t="n">
        <v>0</v>
      </c>
      <c r="N210" t="n">
        <v>0</v>
      </c>
      <c r="O210" t="n">
        <v>0</v>
      </c>
      <c r="P210" t="n">
        <v>0</v>
      </c>
      <c r="Q210" t="n">
        <v>0</v>
      </c>
      <c r="R210" t="n">
        <v>0</v>
      </c>
      <c r="S210" t="n">
        <v>3</v>
      </c>
      <c r="T210" t="n">
        <v>3</v>
      </c>
      <c r="U210" t="n">
        <v>0</v>
      </c>
      <c r="V210" s="2" t="inlineStr">
        <is>
          <t>Bronshjon
Jättesvampmal
Vågbandad barkbock</t>
        </is>
      </c>
      <c r="W210">
        <f>HYPERLINK("https://klasma.github.io/Logging_0428/artfynd/S 2352-2022 artfynd.xlsx", "S 2352-2022")</f>
        <v/>
      </c>
      <c r="X210">
        <f>HYPERLINK("https://klasma.github.io/Logging_0428/kartor/S 2352-2022 karta.png", "S 2352-2022")</f>
        <v/>
      </c>
      <c r="Y210">
        <f>HYPERLINK("https://klasma.github.io/Logging_0428/kartor_geotiff/S 2352-2022 georefererad karta.tif", "S 2352-2022")</f>
        <v/>
      </c>
      <c r="AA210">
        <f>HYPERLINK("https://klasma.github.io/Logging_0428/klagomål/S 2352-2022 FSC-klagomål.docx", "S 2352-2022")</f>
        <v/>
      </c>
      <c r="AB210">
        <f>HYPERLINK("https://klasma.github.io/Logging_0428/klagomålsmail/S 2352-2022 FSC-klagomål mail.docx", "S 2352-2022")</f>
        <v/>
      </c>
      <c r="AC210">
        <f>HYPERLINK("https://klasma.github.io/Logging_0428/tillsyn/S 2352-2022 tillsynsbegäran.docx", "S 2352-2022")</f>
        <v/>
      </c>
      <c r="AD210">
        <f>HYPERLINK("https://klasma.github.io/Logging_0428/tillsynsmail/S 2352-2022 tillsynsbegäran mail.docx", "S 2352-2022")</f>
        <v/>
      </c>
    </row>
    <row r="211" ht="15" customHeight="1">
      <c r="A211" t="inlineStr">
        <is>
          <t>S 1604-2025</t>
        </is>
      </c>
      <c r="B211" t="inlineStr">
        <is>
          <t>samrådsanmälan</t>
        </is>
      </c>
      <c r="C211" t="inlineStr">
        <is>
          <t>Annan skogsbruksåtgärd</t>
        </is>
      </c>
      <c r="D211" s="1" t="n">
        <v>45798</v>
      </c>
      <c r="E211" s="1" t="n">
        <v>46313</v>
      </c>
      <c r="F211" t="inlineStr">
        <is>
          <t>SÖDERMANLANDS LÄN</t>
        </is>
      </c>
      <c r="G211" t="inlineStr">
        <is>
          <t>ESKILSTUNA</t>
        </is>
      </c>
      <c r="H211" t="inlineStr">
        <is>
          <t>Sveaskog</t>
        </is>
      </c>
      <c r="I211" t="n">
        <v>0.4</v>
      </c>
      <c r="J211" t="n">
        <v>1</v>
      </c>
      <c r="K211" t="n">
        <v>1</v>
      </c>
      <c r="L211" t="n">
        <v>1</v>
      </c>
      <c r="M211" t="n">
        <v>0</v>
      </c>
      <c r="N211" t="n">
        <v>0</v>
      </c>
      <c r="O211" t="n">
        <v>0</v>
      </c>
      <c r="P211" t="n">
        <v>0</v>
      </c>
      <c r="Q211" t="n">
        <v>1</v>
      </c>
      <c r="R211" t="n">
        <v>0</v>
      </c>
      <c r="S211" t="n">
        <v>3</v>
      </c>
      <c r="T211" t="n">
        <v>6</v>
      </c>
      <c r="U211" t="n">
        <v>0</v>
      </c>
      <c r="V211" s="2" t="inlineStr">
        <is>
          <t>Ängsskära
Svart trolldruva
Blåsippa</t>
        </is>
      </c>
      <c r="W211">
        <f>HYPERLINK("https://klasma.github.io/Logging_0484/artfynd/S 1604-2025 artfynd.xlsx", "S 1604-2025")</f>
        <v/>
      </c>
      <c r="X211">
        <f>HYPERLINK("https://klasma.github.io/Logging_0484/kartor/S 1604-2025 karta.png", "S 1604-2025")</f>
        <v/>
      </c>
      <c r="Y211">
        <f>HYPERLINK("https://klasma.github.io/Logging_0484/kartor_geotiff/S 1604-2025 georefererad karta.tif", "S 1604-2025")</f>
        <v/>
      </c>
      <c r="AA211">
        <f>HYPERLINK("https://klasma.github.io/Logging_0484/klagomål/S 1604-2025 FSC-klagomål.docx", "S 1604-2025")</f>
        <v/>
      </c>
      <c r="AB211">
        <f>HYPERLINK("https://klasma.github.io/Logging_0484/klagomålsmail/S 1604-2025 FSC-klagomål mail.docx", "S 1604-2025")</f>
        <v/>
      </c>
      <c r="AC211">
        <f>HYPERLINK("https://klasma.github.io/Logging_0484/tillsyn/S 1604-2025 tillsynsbegäran.docx", "S 1604-2025")</f>
        <v/>
      </c>
      <c r="AD211">
        <f>HYPERLINK("https://klasma.github.io/Logging_0484/tillsynsmail/S 1604-2025 tillsynsbegäran mail.docx", "S 1604-2025")</f>
        <v/>
      </c>
    </row>
    <row r="212" ht="15" customHeight="1">
      <c r="A212" t="inlineStr">
        <is>
          <t>S 1603-2025</t>
        </is>
      </c>
      <c r="B212" t="inlineStr">
        <is>
          <t>samrådsanmälan</t>
        </is>
      </c>
      <c r="C212" t="inlineStr">
        <is>
          <t>Annan skogsbruksåtgärd</t>
        </is>
      </c>
      <c r="D212" s="1" t="n">
        <v>45798</v>
      </c>
      <c r="E212" s="1" t="n">
        <v>46313</v>
      </c>
      <c r="F212" t="inlineStr">
        <is>
          <t>SÖDERMANLANDS LÄN</t>
        </is>
      </c>
      <c r="G212" t="inlineStr">
        <is>
          <t>ESKILSTUNA</t>
        </is>
      </c>
      <c r="H212" t="inlineStr">
        <is>
          <t>Sveaskog</t>
        </is>
      </c>
      <c r="I212" t="n">
        <v>4.8</v>
      </c>
      <c r="J212" t="n">
        <v>1</v>
      </c>
      <c r="K212" t="n">
        <v>1</v>
      </c>
      <c r="L212" t="n">
        <v>1</v>
      </c>
      <c r="M212" t="n">
        <v>0</v>
      </c>
      <c r="N212" t="n">
        <v>0</v>
      </c>
      <c r="O212" t="n">
        <v>0</v>
      </c>
      <c r="P212" t="n">
        <v>0</v>
      </c>
      <c r="Q212" t="n">
        <v>1</v>
      </c>
      <c r="R212" t="n">
        <v>0</v>
      </c>
      <c r="S212" t="n">
        <v>3</v>
      </c>
      <c r="T212" t="n">
        <v>7</v>
      </c>
      <c r="U212" t="n">
        <v>0</v>
      </c>
      <c r="V212" s="2" t="inlineStr">
        <is>
          <t>Ängsskära
Svart trolldruva
Blåsippa</t>
        </is>
      </c>
      <c r="W212">
        <f>HYPERLINK("https://klasma.github.io/Logging_0484/artfynd/S 1603-2025 artfynd.xlsx", "S 1603-2025")</f>
        <v/>
      </c>
      <c r="X212">
        <f>HYPERLINK("https://klasma.github.io/Logging_0484/kartor/S 1603-2025 karta.png", "S 1603-2025")</f>
        <v/>
      </c>
      <c r="Y212">
        <f>HYPERLINK("https://klasma.github.io/Logging_0484/kartor_geotiff/S 1603-2025 georefererad karta.tif", "S 1603-2025")</f>
        <v/>
      </c>
      <c r="AA212">
        <f>HYPERLINK("https://klasma.github.io/Logging_0484/klagomål/S 1603-2025 FSC-klagomål.docx", "S 1603-2025")</f>
        <v/>
      </c>
      <c r="AB212">
        <f>HYPERLINK("https://klasma.github.io/Logging_0484/klagomålsmail/S 1603-2025 FSC-klagomål mail.docx", "S 1603-2025")</f>
        <v/>
      </c>
      <c r="AC212">
        <f>HYPERLINK("https://klasma.github.io/Logging_0484/tillsyn/S 1603-2025 tillsynsbegäran.docx", "S 1603-2025")</f>
        <v/>
      </c>
      <c r="AD212">
        <f>HYPERLINK("https://klasma.github.io/Logging_0484/tillsynsmail/S 1603-2025 tillsynsbegäran mail.docx", "S 1603-2025")</f>
        <v/>
      </c>
    </row>
    <row r="213" ht="15" customHeight="1">
      <c r="A213" t="inlineStr">
        <is>
          <t>S 3319-2024</t>
        </is>
      </c>
      <c r="B213" t="inlineStr">
        <is>
          <t>samrådsanmälan</t>
        </is>
      </c>
      <c r="C213" t="inlineStr">
        <is>
          <t>Annan skogsbruksåtgärd</t>
        </is>
      </c>
      <c r="D213" s="1" t="n">
        <v>45530</v>
      </c>
      <c r="E213" s="1" t="n">
        <v>46313</v>
      </c>
      <c r="F213" t="inlineStr">
        <is>
          <t>SÖDERMANLANDS LÄN</t>
        </is>
      </c>
      <c r="G213" t="inlineStr">
        <is>
          <t>FLEN</t>
        </is>
      </c>
      <c r="I213" t="n">
        <v>0.2</v>
      </c>
      <c r="J213" t="n">
        <v>1</v>
      </c>
      <c r="K213" t="n">
        <v>0</v>
      </c>
      <c r="L213" t="n">
        <v>2</v>
      </c>
      <c r="M213" t="n">
        <v>0</v>
      </c>
      <c r="N213" t="n">
        <v>0</v>
      </c>
      <c r="O213" t="n">
        <v>0</v>
      </c>
      <c r="P213" t="n">
        <v>0</v>
      </c>
      <c r="Q213" t="n">
        <v>2</v>
      </c>
      <c r="R213" t="n">
        <v>0</v>
      </c>
      <c r="S213" t="n">
        <v>3</v>
      </c>
      <c r="T213" t="n">
        <v>3</v>
      </c>
      <c r="U213" t="n">
        <v>1</v>
      </c>
      <c r="V213" s="2" t="inlineStr">
        <is>
          <t>Skogsklocka
Svinrot
Blåsippa</t>
        </is>
      </c>
      <c r="W213">
        <f>HYPERLINK("https://klasma.github.io/Logging_0482/artfynd/S 3319-2024 artfynd.xlsx", "S 3319-2024")</f>
        <v/>
      </c>
      <c r="X213">
        <f>HYPERLINK("https://klasma.github.io/Logging_0482/kartor/S 3319-2024 karta.png", "S 3319-2024")</f>
        <v/>
      </c>
      <c r="Y213">
        <f>HYPERLINK("https://klasma.github.io/Logging_0482/kartor_geotiff/S 3319-2024 georefererad karta.tif", "S 3319-2024")</f>
        <v/>
      </c>
      <c r="AA213">
        <f>HYPERLINK("https://klasma.github.io/Logging_0482/klagomål/S 3319-2024 FSC-klagomål.docx", "S 3319-2024")</f>
        <v/>
      </c>
      <c r="AB213">
        <f>HYPERLINK("https://klasma.github.io/Logging_0482/klagomålsmail/S 3319-2024 FSC-klagomål mail.docx", "S 3319-2024")</f>
        <v/>
      </c>
      <c r="AC213">
        <f>HYPERLINK("https://klasma.github.io/Logging_0482/tillsyn/S 3319-2024 tillsynsbegäran.docx", "S 3319-2024")</f>
        <v/>
      </c>
      <c r="AD213">
        <f>HYPERLINK("https://klasma.github.io/Logging_0482/tillsynsmail/S 3319-2024 tillsynsbegäran mail.docx", "S 3319-2024")</f>
        <v/>
      </c>
    </row>
    <row r="214" ht="15" customHeight="1">
      <c r="A214" t="inlineStr">
        <is>
          <t>A 44717-2022</t>
        </is>
      </c>
      <c r="B214" t="inlineStr">
        <is>
          <t>avverkningsanmälan</t>
        </is>
      </c>
      <c r="C214" t="inlineStr">
        <is>
          <t>Föryngringsavverkning</t>
        </is>
      </c>
      <c r="D214" s="1" t="n">
        <v>44840</v>
      </c>
      <c r="E214" s="1" t="n">
        <v>46313</v>
      </c>
      <c r="F214" t="inlineStr">
        <is>
          <t>SÖDERMANLANDS LÄN</t>
        </is>
      </c>
      <c r="G214" t="inlineStr">
        <is>
          <t>STRÄNGNÄS</t>
        </is>
      </c>
      <c r="I214" t="n">
        <v>9.5</v>
      </c>
      <c r="J214" t="n">
        <v>2</v>
      </c>
      <c r="K214" t="n">
        <v>0</v>
      </c>
      <c r="L214" t="n">
        <v>1</v>
      </c>
      <c r="M214" t="n">
        <v>1</v>
      </c>
      <c r="N214" t="n">
        <v>0</v>
      </c>
      <c r="O214" t="n">
        <v>0</v>
      </c>
      <c r="P214" t="n">
        <v>0</v>
      </c>
      <c r="Q214" t="n">
        <v>2</v>
      </c>
      <c r="R214" t="n">
        <v>1</v>
      </c>
      <c r="S214" t="n">
        <v>2</v>
      </c>
      <c r="T214" t="n">
        <v>2</v>
      </c>
      <c r="U214" t="n">
        <v>0</v>
      </c>
      <c r="V214" s="2" t="inlineStr">
        <is>
          <t>Stare
Grönsångare</t>
        </is>
      </c>
      <c r="W214">
        <f>HYPERLINK("https://klasma.github.io/Logging_0486/artfynd/A 44717-2022 artfynd.xlsx", "A 44717-2022")</f>
        <v/>
      </c>
      <c r="X214">
        <f>HYPERLINK("https://klasma.github.io/Logging_0486/kartor/A 44717-2022 karta.png", "A 44717-2022")</f>
        <v/>
      </c>
      <c r="Y214">
        <f>HYPERLINK("https://klasma.github.io/Logging_0486/kartor_geotiff/A 44717-2022 georefererad karta.tif", "A 44717-2022")</f>
        <v/>
      </c>
      <c r="AA214">
        <f>HYPERLINK("https://klasma.github.io/Logging_0486/klagomål/A 44717-2022 FSC-klagomål.docx", "A 44717-2022")</f>
        <v/>
      </c>
      <c r="AB214">
        <f>HYPERLINK("https://klasma.github.io/Logging_0486/klagomålsmail/A 44717-2022 FSC-klagomål mail.docx", "A 44717-2022")</f>
        <v/>
      </c>
      <c r="AC214">
        <f>HYPERLINK("https://klasma.github.io/Logging_0486/tillsyn/A 44717-2022 tillsynsbegäran.docx", "A 44717-2022")</f>
        <v/>
      </c>
      <c r="AD214">
        <f>HYPERLINK("https://klasma.github.io/Logging_0486/tillsynsmail/A 44717-2022 tillsynsbegäran mail.docx", "A 44717-2022")</f>
        <v/>
      </c>
      <c r="AE214">
        <f>HYPERLINK("https://klasma.github.io/Logging_0486/fåglar/A 44717-2022 prioriterade fågelarter.docx", "A 44717-2022")</f>
        <v/>
      </c>
    </row>
    <row r="215" ht="15" customHeight="1">
      <c r="A215" t="inlineStr">
        <is>
          <t>A 65184-2021</t>
        </is>
      </c>
      <c r="B215" t="inlineStr">
        <is>
          <t>avverkningsanmälan</t>
        </is>
      </c>
      <c r="C215" t="inlineStr">
        <is>
          <t>Föryngringsavverkning</t>
        </is>
      </c>
      <c r="D215" s="1" t="n">
        <v>44512</v>
      </c>
      <c r="E215" s="1" t="n">
        <v>46313</v>
      </c>
      <c r="F215" t="inlineStr">
        <is>
          <t>SÖDERMANLANDS LÄN</t>
        </is>
      </c>
      <c r="G215" t="inlineStr">
        <is>
          <t>KATRINEHOLM</t>
        </is>
      </c>
      <c r="I215" t="n">
        <v>1.8</v>
      </c>
      <c r="J215" t="n">
        <v>2</v>
      </c>
      <c r="K215" t="n">
        <v>0</v>
      </c>
      <c r="L215" t="n">
        <v>1</v>
      </c>
      <c r="M215" t="n">
        <v>1</v>
      </c>
      <c r="N215" t="n">
        <v>0</v>
      </c>
      <c r="O215" t="n">
        <v>0</v>
      </c>
      <c r="P215" t="n">
        <v>0</v>
      </c>
      <c r="Q215" t="n">
        <v>2</v>
      </c>
      <c r="R215" t="n">
        <v>1</v>
      </c>
      <c r="S215" t="n">
        <v>2</v>
      </c>
      <c r="T215" t="n">
        <v>2</v>
      </c>
      <c r="U215" t="n">
        <v>0</v>
      </c>
      <c r="V215" s="2" t="inlineStr">
        <is>
          <t>Stare
Gulsparv</t>
        </is>
      </c>
      <c r="W215">
        <f>HYPERLINK("https://klasma.github.io/Logging_0483/artfynd/A 65184-2021 artfynd.xlsx", "A 65184-2021")</f>
        <v/>
      </c>
      <c r="X215">
        <f>HYPERLINK("https://klasma.github.io/Logging_0483/kartor/A 65184-2021 karta.png", "A 65184-2021")</f>
        <v/>
      </c>
      <c r="Y215">
        <f>HYPERLINK("https://klasma.github.io/Logging_0483/kartor_geotiff/A 65184-2021 georefererad karta.tif", "A 65184-2021")</f>
        <v/>
      </c>
      <c r="AA215">
        <f>HYPERLINK("https://klasma.github.io/Logging_0483/klagomål/A 65184-2021 FSC-klagomål.docx", "A 65184-2021")</f>
        <v/>
      </c>
      <c r="AB215">
        <f>HYPERLINK("https://klasma.github.io/Logging_0483/klagomålsmail/A 65184-2021 FSC-klagomål mail.docx", "A 65184-2021")</f>
        <v/>
      </c>
      <c r="AC215">
        <f>HYPERLINK("https://klasma.github.io/Logging_0483/tillsyn/A 65184-2021 tillsynsbegäran.docx", "A 65184-2021")</f>
        <v/>
      </c>
      <c r="AD215">
        <f>HYPERLINK("https://klasma.github.io/Logging_0483/tillsynsmail/A 65184-2021 tillsynsbegäran mail.docx", "A 65184-2021")</f>
        <v/>
      </c>
      <c r="AE215">
        <f>HYPERLINK("https://klasma.github.io/Logging_0483/fåglar/A 65184-2021 prioriterade fågelarter.docx", "A 65184-2021")</f>
        <v/>
      </c>
    </row>
    <row r="216" ht="15" customHeight="1">
      <c r="A216" t="inlineStr">
        <is>
          <t>A 12303-2022</t>
        </is>
      </c>
      <c r="B216" t="inlineStr">
        <is>
          <t>avverkningsanmälan</t>
        </is>
      </c>
      <c r="C216" t="inlineStr">
        <is>
          <t>Föryngringsavverkning</t>
        </is>
      </c>
      <c r="D216" s="1" t="n">
        <v>44637</v>
      </c>
      <c r="E216" s="1" t="n">
        <v>46313</v>
      </c>
      <c r="F216" t="inlineStr">
        <is>
          <t>SÖDERMANLANDS LÄN</t>
        </is>
      </c>
      <c r="G216" t="inlineStr">
        <is>
          <t>FLEN</t>
        </is>
      </c>
      <c r="I216" t="n">
        <v>1.4</v>
      </c>
      <c r="J216" t="n">
        <v>2</v>
      </c>
      <c r="K216" t="n">
        <v>0</v>
      </c>
      <c r="L216" t="n">
        <v>0</v>
      </c>
      <c r="M216" t="n">
        <v>0</v>
      </c>
      <c r="N216" t="n">
        <v>0</v>
      </c>
      <c r="O216" t="n">
        <v>0</v>
      </c>
      <c r="P216" t="n">
        <v>0</v>
      </c>
      <c r="Q216" t="n">
        <v>0</v>
      </c>
      <c r="R216" t="n">
        <v>0</v>
      </c>
      <c r="S216" t="n">
        <v>2</v>
      </c>
      <c r="T216" t="n">
        <v>2</v>
      </c>
      <c r="U216" t="n">
        <v>2</v>
      </c>
      <c r="V216" s="2" t="inlineStr">
        <is>
          <t>Röd glada
Trädlärka</t>
        </is>
      </c>
      <c r="W216">
        <f>HYPERLINK("https://klasma.github.io/Logging_0482/artfynd/A 12303-2022 artfynd.xlsx", "A 12303-2022")</f>
        <v/>
      </c>
      <c r="X216">
        <f>HYPERLINK("https://klasma.github.io/Logging_0482/kartor/A 12303-2022 karta.png", "A 12303-2022")</f>
        <v/>
      </c>
      <c r="Y216">
        <f>HYPERLINK("https://klasma.github.io/Logging_0482/kartor_geotiff/A 12303-2022 georefererad karta.tif", "A 12303-2022")</f>
        <v/>
      </c>
      <c r="AA216">
        <f>HYPERLINK("https://klasma.github.io/Logging_0482/klagomål/A 12303-2022 FSC-klagomål.docx", "A 12303-2022")</f>
        <v/>
      </c>
      <c r="AB216">
        <f>HYPERLINK("https://klasma.github.io/Logging_0482/klagomålsmail/A 12303-2022 FSC-klagomål mail.docx", "A 12303-2022")</f>
        <v/>
      </c>
      <c r="AC216">
        <f>HYPERLINK("https://klasma.github.io/Logging_0482/tillsyn/A 12303-2022 tillsynsbegäran.docx", "A 12303-2022")</f>
        <v/>
      </c>
      <c r="AD216">
        <f>HYPERLINK("https://klasma.github.io/Logging_0482/tillsynsmail/A 12303-2022 tillsynsbegäran mail.docx", "A 12303-2022")</f>
        <v/>
      </c>
      <c r="AE216">
        <f>HYPERLINK("https://klasma.github.io/Logging_0482/fåglar/A 12303-2022 prioriterade fågelarter.docx", "A 12303-2022")</f>
        <v/>
      </c>
    </row>
    <row r="217" ht="15" customHeight="1">
      <c r="A217" t="inlineStr">
        <is>
          <t>A 25724-2022</t>
        </is>
      </c>
      <c r="B217" t="inlineStr">
        <is>
          <t>avverkningsanmälan</t>
        </is>
      </c>
      <c r="C217" t="inlineStr">
        <is>
          <t>Föryngringsavverkning</t>
        </is>
      </c>
      <c r="D217" s="1" t="n">
        <v>44733</v>
      </c>
      <c r="E217" s="1" t="n">
        <v>46313</v>
      </c>
      <c r="F217" t="inlineStr">
        <is>
          <t>SÖDERMANLANDS LÄN</t>
        </is>
      </c>
      <c r="G217" t="inlineStr">
        <is>
          <t>KATRINEHOLM</t>
        </is>
      </c>
      <c r="I217" t="n">
        <v>0.8</v>
      </c>
      <c r="J217" t="n">
        <v>1</v>
      </c>
      <c r="K217" t="n">
        <v>1</v>
      </c>
      <c r="L217" t="n">
        <v>0</v>
      </c>
      <c r="M217" t="n">
        <v>0</v>
      </c>
      <c r="N217" t="n">
        <v>1</v>
      </c>
      <c r="O217" t="n">
        <v>0</v>
      </c>
      <c r="P217" t="n">
        <v>0</v>
      </c>
      <c r="Q217" t="n">
        <v>1</v>
      </c>
      <c r="R217" t="n">
        <v>1</v>
      </c>
      <c r="S217" t="n">
        <v>2</v>
      </c>
      <c r="T217" t="n">
        <v>2</v>
      </c>
      <c r="U217" t="n">
        <v>0</v>
      </c>
      <c r="V217" s="2" t="inlineStr">
        <is>
          <t>Bombmurkla
Kamjordstjärna</t>
        </is>
      </c>
      <c r="W217">
        <f>HYPERLINK("https://klasma.github.io/Logging_0483/artfynd/A 25724-2022 artfynd.xlsx", "A 25724-2022")</f>
        <v/>
      </c>
      <c r="X217">
        <f>HYPERLINK("https://klasma.github.io/Logging_0483/kartor/A 25724-2022 karta.png", "A 25724-2022")</f>
        <v/>
      </c>
      <c r="Y217">
        <f>HYPERLINK("https://klasma.github.io/Logging_0483/kartor_geotiff/A 25724-2022 georefererad karta.tif", "A 25724-2022")</f>
        <v/>
      </c>
      <c r="AA217">
        <f>HYPERLINK("https://klasma.github.io/Logging_0483/klagomål/A 25724-2022 FSC-klagomål.docx", "A 25724-2022")</f>
        <v/>
      </c>
      <c r="AB217">
        <f>HYPERLINK("https://klasma.github.io/Logging_0483/klagomålsmail/A 25724-2022 FSC-klagomål mail.docx", "A 25724-2022")</f>
        <v/>
      </c>
      <c r="AC217">
        <f>HYPERLINK("https://klasma.github.io/Logging_0483/tillsyn/A 25724-2022 tillsynsbegäran.docx", "A 25724-2022")</f>
        <v/>
      </c>
      <c r="AD217">
        <f>HYPERLINK("https://klasma.github.io/Logging_0483/tillsynsmail/A 25724-2022 tillsynsbegäran mail.docx", "A 25724-2022")</f>
        <v/>
      </c>
    </row>
    <row r="218" ht="15" customHeight="1">
      <c r="A218" t="inlineStr">
        <is>
          <t>A 10789-2022</t>
        </is>
      </c>
      <c r="B218" t="inlineStr">
        <is>
          <t>avverkningsanmälan</t>
        </is>
      </c>
      <c r="C218" t="inlineStr">
        <is>
          <t>Föryngringsavverkning</t>
        </is>
      </c>
      <c r="D218" s="1" t="n">
        <v>44624</v>
      </c>
      <c r="E218" s="1" t="n">
        <v>46313</v>
      </c>
      <c r="F218" t="inlineStr">
        <is>
          <t>SÖDERMANLANDS LÄN</t>
        </is>
      </c>
      <c r="G218" t="inlineStr">
        <is>
          <t>FLEN</t>
        </is>
      </c>
      <c r="I218" t="n">
        <v>1.1</v>
      </c>
      <c r="J218" t="n">
        <v>1</v>
      </c>
      <c r="K218" t="n">
        <v>1</v>
      </c>
      <c r="L218" t="n">
        <v>0</v>
      </c>
      <c r="M218" t="n">
        <v>0</v>
      </c>
      <c r="N218" t="n">
        <v>1</v>
      </c>
      <c r="O218" t="n">
        <v>0</v>
      </c>
      <c r="P218" t="n">
        <v>0</v>
      </c>
      <c r="Q218" t="n">
        <v>1</v>
      </c>
      <c r="R218" t="n">
        <v>1</v>
      </c>
      <c r="S218" t="n">
        <v>2</v>
      </c>
      <c r="T218" t="n">
        <v>2</v>
      </c>
      <c r="U218" t="n">
        <v>1</v>
      </c>
      <c r="V218" s="2" t="inlineStr">
        <is>
          <t>Bombmurkla
Blåmossa</t>
        </is>
      </c>
      <c r="W218">
        <f>HYPERLINK("https://klasma.github.io/Logging_0482/artfynd/A 10789-2022 artfynd.xlsx", "A 10789-2022")</f>
        <v/>
      </c>
      <c r="X218">
        <f>HYPERLINK("https://klasma.github.io/Logging_0482/kartor/A 10789-2022 karta.png", "A 10789-2022")</f>
        <v/>
      </c>
      <c r="Y218">
        <f>HYPERLINK("https://klasma.github.io/Logging_0482/kartor_geotiff/A 10789-2022 georefererad karta.tif", "A 10789-2022")</f>
        <v/>
      </c>
      <c r="AA218">
        <f>HYPERLINK("https://klasma.github.io/Logging_0482/klagomål/A 10789-2022 FSC-klagomål.docx", "A 10789-2022")</f>
        <v/>
      </c>
      <c r="AB218">
        <f>HYPERLINK("https://klasma.github.io/Logging_0482/klagomålsmail/A 10789-2022 FSC-klagomål mail.docx", "A 10789-2022")</f>
        <v/>
      </c>
      <c r="AC218">
        <f>HYPERLINK("https://klasma.github.io/Logging_0482/tillsyn/A 10789-2022 tillsynsbegäran.docx", "A 10789-2022")</f>
        <v/>
      </c>
      <c r="AD218">
        <f>HYPERLINK("https://klasma.github.io/Logging_0482/tillsynsmail/A 10789-2022 tillsynsbegäran mail.docx", "A 10789-2022")</f>
        <v/>
      </c>
    </row>
    <row r="219" ht="15" customHeight="1">
      <c r="A219" t="inlineStr">
        <is>
          <t>A 32252-2022</t>
        </is>
      </c>
      <c r="B219" t="inlineStr">
        <is>
          <t>avverkningsanmälan</t>
        </is>
      </c>
      <c r="C219" t="inlineStr">
        <is>
          <t>Föryngringsavverkning</t>
        </is>
      </c>
      <c r="D219" s="1" t="n">
        <v>44781</v>
      </c>
      <c r="E219" s="1" t="n">
        <v>46313</v>
      </c>
      <c r="F219" t="inlineStr">
        <is>
          <t>SÖDERMANLANDS LÄN</t>
        </is>
      </c>
      <c r="G219" t="inlineStr">
        <is>
          <t>GNESTA</t>
        </is>
      </c>
      <c r="I219" t="n">
        <v>17</v>
      </c>
      <c r="J219" t="n">
        <v>0</v>
      </c>
      <c r="K219" t="n">
        <v>1</v>
      </c>
      <c r="L219" t="n">
        <v>1</v>
      </c>
      <c r="M219" t="n">
        <v>0</v>
      </c>
      <c r="N219" t="n">
        <v>0</v>
      </c>
      <c r="O219" t="n">
        <v>0</v>
      </c>
      <c r="P219" t="n">
        <v>0</v>
      </c>
      <c r="Q219" t="n">
        <v>1</v>
      </c>
      <c r="R219" t="n">
        <v>0</v>
      </c>
      <c r="S219" t="n">
        <v>2</v>
      </c>
      <c r="T219" t="n">
        <v>2</v>
      </c>
      <c r="U219" t="n">
        <v>0</v>
      </c>
      <c r="V219" s="2" t="inlineStr">
        <is>
          <t>Vedtrappmossa
Svavelriska</t>
        </is>
      </c>
      <c r="W219">
        <f>HYPERLINK("https://klasma.github.io/Logging_0461/artfynd/A 32252-2022 artfynd.xlsx", "A 32252-2022")</f>
        <v/>
      </c>
      <c r="X219">
        <f>HYPERLINK("https://klasma.github.io/Logging_0461/kartor/A 32252-2022 karta.png", "A 32252-2022")</f>
        <v/>
      </c>
      <c r="Y219">
        <f>HYPERLINK("https://klasma.github.io/Logging_0461/kartor_geotiff/A 32252-2022 georefererad karta.tif", "A 32252-2022")</f>
        <v/>
      </c>
      <c r="AA219">
        <f>HYPERLINK("https://klasma.github.io/Logging_0461/klagomål/A 32252-2022 FSC-klagomål.docx", "A 32252-2022")</f>
        <v/>
      </c>
      <c r="AB219">
        <f>HYPERLINK("https://klasma.github.io/Logging_0461/klagomålsmail/A 32252-2022 FSC-klagomål mail.docx", "A 32252-2022")</f>
        <v/>
      </c>
      <c r="AC219">
        <f>HYPERLINK("https://klasma.github.io/Logging_0461/tillsyn/A 32252-2022 tillsynsbegäran.docx", "A 32252-2022")</f>
        <v/>
      </c>
      <c r="AD219">
        <f>HYPERLINK("https://klasma.github.io/Logging_0461/tillsynsmail/A 32252-2022 tillsynsbegäran mail.docx", "A 32252-2022")</f>
        <v/>
      </c>
    </row>
    <row r="220" ht="15" customHeight="1">
      <c r="A220" t="inlineStr">
        <is>
          <t>A 44262-2022</t>
        </is>
      </c>
      <c r="B220" t="inlineStr">
        <is>
          <t>avverkningsanmälan</t>
        </is>
      </c>
      <c r="C220" t="inlineStr">
        <is>
          <t>Föryngringsavverkning</t>
        </is>
      </c>
      <c r="D220" s="1" t="n">
        <v>44839</v>
      </c>
      <c r="E220" s="1" t="n">
        <v>46313</v>
      </c>
      <c r="F220" t="inlineStr">
        <is>
          <t>SÖDERMANLANDS LÄN</t>
        </is>
      </c>
      <c r="G220" t="inlineStr">
        <is>
          <t>KATRINEHOLM</t>
        </is>
      </c>
      <c r="I220" t="n">
        <v>0.1</v>
      </c>
      <c r="J220" t="n">
        <v>2</v>
      </c>
      <c r="K220" t="n">
        <v>0</v>
      </c>
      <c r="L220" t="n">
        <v>0</v>
      </c>
      <c r="M220" t="n">
        <v>0</v>
      </c>
      <c r="N220" t="n">
        <v>1</v>
      </c>
      <c r="O220" t="n">
        <v>0</v>
      </c>
      <c r="P220" t="n">
        <v>0</v>
      </c>
      <c r="Q220" t="n">
        <v>1</v>
      </c>
      <c r="R220" t="n">
        <v>1</v>
      </c>
      <c r="S220" t="n">
        <v>2</v>
      </c>
      <c r="T220" t="n">
        <v>3</v>
      </c>
      <c r="U220" t="n">
        <v>1</v>
      </c>
      <c r="V220" s="2" t="inlineStr">
        <is>
          <t>Bombmurkla
Revlummer</t>
        </is>
      </c>
      <c r="W220">
        <f>HYPERLINK("https://klasma.github.io/Logging_0483/artfynd/A 44262-2022 artfynd.xlsx", "A 44262-2022")</f>
        <v/>
      </c>
      <c r="X220">
        <f>HYPERLINK("https://klasma.github.io/Logging_0483/kartor/A 44262-2022 karta.png", "A 44262-2022")</f>
        <v/>
      </c>
      <c r="Y220">
        <f>HYPERLINK("https://klasma.github.io/Logging_0483/kartor_geotiff/A 44262-2022 georefererad karta.tif", "A 44262-2022")</f>
        <v/>
      </c>
      <c r="AA220">
        <f>HYPERLINK("https://klasma.github.io/Logging_0483/klagomål/A 44262-2022 FSC-klagomål.docx", "A 44262-2022")</f>
        <v/>
      </c>
      <c r="AB220">
        <f>HYPERLINK("https://klasma.github.io/Logging_0483/klagomålsmail/A 44262-2022 FSC-klagomål mail.docx", "A 44262-2022")</f>
        <v/>
      </c>
      <c r="AC220">
        <f>HYPERLINK("https://klasma.github.io/Logging_0483/tillsyn/A 44262-2022 tillsynsbegäran.docx", "A 44262-2022")</f>
        <v/>
      </c>
      <c r="AD220">
        <f>HYPERLINK("https://klasma.github.io/Logging_0483/tillsynsmail/A 44262-2022 tillsynsbegäran mail.docx", "A 44262-2022")</f>
        <v/>
      </c>
    </row>
    <row r="221" ht="15" customHeight="1">
      <c r="A221" t="inlineStr">
        <is>
          <t>A 62141-2021</t>
        </is>
      </c>
      <c r="B221" t="inlineStr">
        <is>
          <t>avverkningsanmälan</t>
        </is>
      </c>
      <c r="C221" t="inlineStr">
        <is>
          <t>Föryngringsavverkning</t>
        </is>
      </c>
      <c r="D221" s="1" t="n">
        <v>44502</v>
      </c>
      <c r="E221" s="1" t="n">
        <v>46313</v>
      </c>
      <c r="F221" t="inlineStr">
        <is>
          <t>SÖDERMANLANDS LÄN</t>
        </is>
      </c>
      <c r="G221" t="inlineStr">
        <is>
          <t>ESKILSTUNA</t>
        </is>
      </c>
      <c r="H221" t="inlineStr">
        <is>
          <t>Kyrkan</t>
        </is>
      </c>
      <c r="I221" t="n">
        <v>13.7</v>
      </c>
      <c r="J221" t="n">
        <v>1</v>
      </c>
      <c r="K221" t="n">
        <v>0</v>
      </c>
      <c r="L221" t="n">
        <v>1</v>
      </c>
      <c r="M221" t="n">
        <v>0</v>
      </c>
      <c r="N221" t="n">
        <v>0</v>
      </c>
      <c r="O221" t="n">
        <v>0</v>
      </c>
      <c r="P221" t="n">
        <v>0</v>
      </c>
      <c r="Q221" t="n">
        <v>1</v>
      </c>
      <c r="R221" t="n">
        <v>0</v>
      </c>
      <c r="S221" t="n">
        <v>2</v>
      </c>
      <c r="T221" t="n">
        <v>2</v>
      </c>
      <c r="U221" t="n">
        <v>0</v>
      </c>
      <c r="V221" s="2" t="inlineStr">
        <is>
          <t>Gullpudra
Mattlummer</t>
        </is>
      </c>
      <c r="W221">
        <f>HYPERLINK("https://klasma.github.io/Logging_0484/artfynd/A 62141-2021 artfynd.xlsx", "A 62141-2021")</f>
        <v/>
      </c>
      <c r="X221">
        <f>HYPERLINK("https://klasma.github.io/Logging_0484/kartor/A 62141-2021 karta.png", "A 62141-2021")</f>
        <v/>
      </c>
      <c r="Y221">
        <f>HYPERLINK("https://klasma.github.io/Logging_0484/kartor_geotiff/A 62141-2021 georefererad karta.tif", "A 62141-2021")</f>
        <v/>
      </c>
      <c r="AA221">
        <f>HYPERLINK("https://klasma.github.io/Logging_0484/klagomål/A 62141-2021 FSC-klagomål.docx", "A 62141-2021")</f>
        <v/>
      </c>
      <c r="AB221">
        <f>HYPERLINK("https://klasma.github.io/Logging_0484/klagomålsmail/A 62141-2021 FSC-klagomål mail.docx", "A 62141-2021")</f>
        <v/>
      </c>
      <c r="AC221">
        <f>HYPERLINK("https://klasma.github.io/Logging_0484/tillsyn/A 62141-2021 tillsynsbegäran.docx", "A 62141-2021")</f>
        <v/>
      </c>
      <c r="AD221">
        <f>HYPERLINK("https://klasma.github.io/Logging_0484/tillsynsmail/A 62141-2021 tillsynsbegäran mail.docx", "A 62141-2021")</f>
        <v/>
      </c>
    </row>
    <row r="222" ht="15" customHeight="1">
      <c r="A222" t="inlineStr">
        <is>
          <t>A 22883-2022</t>
        </is>
      </c>
      <c r="B222" t="inlineStr">
        <is>
          <t>avverkningsanmälan</t>
        </is>
      </c>
      <c r="C222" t="inlineStr">
        <is>
          <t>Föryngringsavverkning</t>
        </is>
      </c>
      <c r="D222" s="1" t="n">
        <v>44715</v>
      </c>
      <c r="E222" s="1" t="n">
        <v>46313</v>
      </c>
      <c r="F222" t="inlineStr">
        <is>
          <t>SÖDERMANLANDS LÄN</t>
        </is>
      </c>
      <c r="G222" t="inlineStr">
        <is>
          <t>FLEN</t>
        </is>
      </c>
      <c r="H222" t="inlineStr">
        <is>
          <t>Holmen skog AB</t>
        </is>
      </c>
      <c r="I222" t="n">
        <v>2.7</v>
      </c>
      <c r="J222" t="n">
        <v>0</v>
      </c>
      <c r="K222" t="n">
        <v>0</v>
      </c>
      <c r="L222" t="n">
        <v>2</v>
      </c>
      <c r="M222" t="n">
        <v>0</v>
      </c>
      <c r="N222" t="n">
        <v>0</v>
      </c>
      <c r="O222" t="n">
        <v>0</v>
      </c>
      <c r="P222" t="n">
        <v>0</v>
      </c>
      <c r="Q222" t="n">
        <v>2</v>
      </c>
      <c r="R222" t="n">
        <v>0</v>
      </c>
      <c r="S222" t="n">
        <v>2</v>
      </c>
      <c r="T222" t="n">
        <v>3</v>
      </c>
      <c r="U222" t="n">
        <v>0</v>
      </c>
      <c r="V222" s="2" t="inlineStr">
        <is>
          <t>Gullklöver
Vippärt</t>
        </is>
      </c>
      <c r="W222">
        <f>HYPERLINK("https://klasma.github.io/Logging_0482/artfynd/A 22883-2022 artfynd.xlsx", "A 22883-2022")</f>
        <v/>
      </c>
      <c r="X222">
        <f>HYPERLINK("https://klasma.github.io/Logging_0482/kartor/A 22883-2022 karta.png", "A 22883-2022")</f>
        <v/>
      </c>
      <c r="Y222">
        <f>HYPERLINK("https://klasma.github.io/Logging_0482/kartor_geotiff/A 22883-2022 georefererad karta.tif", "A 22883-2022")</f>
        <v/>
      </c>
      <c r="AA222">
        <f>HYPERLINK("https://klasma.github.io/Logging_0482/klagomål/A 22883-2022 FSC-klagomål.docx", "A 22883-2022")</f>
        <v/>
      </c>
      <c r="AB222">
        <f>HYPERLINK("https://klasma.github.io/Logging_0482/klagomålsmail/A 22883-2022 FSC-klagomål mail.docx", "A 22883-2022")</f>
        <v/>
      </c>
      <c r="AC222">
        <f>HYPERLINK("https://klasma.github.io/Logging_0482/tillsyn/A 22883-2022 tillsynsbegäran.docx", "A 22883-2022")</f>
        <v/>
      </c>
      <c r="AD222">
        <f>HYPERLINK("https://klasma.github.io/Logging_0482/tillsynsmail/A 22883-2022 tillsynsbegäran mail.docx", "A 22883-2022")</f>
        <v/>
      </c>
    </row>
    <row r="223" ht="15" customHeight="1">
      <c r="A223" t="inlineStr">
        <is>
          <t>A 61384-2021</t>
        </is>
      </c>
      <c r="B223" t="inlineStr">
        <is>
          <t>avverkningsanmälan</t>
        </is>
      </c>
      <c r="C223" t="inlineStr">
        <is>
          <t>Föryngringsavverkning</t>
        </is>
      </c>
      <c r="D223" s="1" t="n">
        <v>44500</v>
      </c>
      <c r="E223" s="1" t="n">
        <v>46313</v>
      </c>
      <c r="F223" t="inlineStr">
        <is>
          <t>SÖDERMANLANDS LÄN</t>
        </is>
      </c>
      <c r="G223" t="inlineStr">
        <is>
          <t>KATRINEHOLM</t>
        </is>
      </c>
      <c r="I223" t="n">
        <v>5</v>
      </c>
      <c r="J223" t="n">
        <v>1</v>
      </c>
      <c r="K223" t="n">
        <v>0</v>
      </c>
      <c r="L223" t="n">
        <v>1</v>
      </c>
      <c r="M223" t="n">
        <v>1</v>
      </c>
      <c r="N223" t="n">
        <v>0</v>
      </c>
      <c r="O223" t="n">
        <v>0</v>
      </c>
      <c r="P223" t="n">
        <v>0</v>
      </c>
      <c r="Q223" t="n">
        <v>2</v>
      </c>
      <c r="R223" t="n">
        <v>1</v>
      </c>
      <c r="S223" t="n">
        <v>2</v>
      </c>
      <c r="T223" t="n">
        <v>5</v>
      </c>
      <c r="U223" t="n">
        <v>0</v>
      </c>
      <c r="V223" s="2" t="inlineStr">
        <is>
          <t>Knärot
Kungsspindling</t>
        </is>
      </c>
      <c r="W223">
        <f>HYPERLINK("https://klasma.github.io/Logging_0483/artfynd/A 61384-2021 artfynd.xlsx", "A 61384-2021")</f>
        <v/>
      </c>
      <c r="X223">
        <f>HYPERLINK("https://klasma.github.io/Logging_0483/kartor/A 61384-2021 karta.png", "A 61384-2021")</f>
        <v/>
      </c>
      <c r="Y223">
        <f>HYPERLINK("https://klasma.github.io/Logging_0483/kartor_geotiff/A 61384-2021 georefererad karta.tif", "A 61384-2021")</f>
        <v/>
      </c>
      <c r="Z223">
        <f>HYPERLINK("https://klasma.github.io/Logging_0483/knärot/A 61384-2021 karta knärot.png", "A 61384-2021")</f>
        <v/>
      </c>
      <c r="AA223">
        <f>HYPERLINK("https://klasma.github.io/Logging_0483/klagomål/A 61384-2021 FSC-klagomål.docx", "A 61384-2021")</f>
        <v/>
      </c>
      <c r="AB223">
        <f>HYPERLINK("https://klasma.github.io/Logging_0483/klagomålsmail/A 61384-2021 FSC-klagomål mail.docx", "A 61384-2021")</f>
        <v/>
      </c>
      <c r="AC223">
        <f>HYPERLINK("https://klasma.github.io/Logging_0483/tillsyn/A 61384-2021 tillsynsbegäran.docx", "A 61384-2021")</f>
        <v/>
      </c>
      <c r="AD223">
        <f>HYPERLINK("https://klasma.github.io/Logging_0483/tillsynsmail/A 61384-2021 tillsynsbegäran mail.docx", "A 61384-2021")</f>
        <v/>
      </c>
    </row>
    <row r="224" ht="15" customHeight="1">
      <c r="A224" t="inlineStr">
        <is>
          <t>A 29758-2022</t>
        </is>
      </c>
      <c r="B224" t="inlineStr">
        <is>
          <t>avverkningsanmälan</t>
        </is>
      </c>
      <c r="C224" t="inlineStr">
        <is>
          <t>Föryngringsavverkning</t>
        </is>
      </c>
      <c r="D224" s="1" t="n">
        <v>44755</v>
      </c>
      <c r="E224" s="1" t="n">
        <v>46313</v>
      </c>
      <c r="F224" t="inlineStr">
        <is>
          <t>SÖDERMANLANDS LÄN</t>
        </is>
      </c>
      <c r="G224" t="inlineStr">
        <is>
          <t>GNESTA</t>
        </is>
      </c>
      <c r="I224" t="n">
        <v>1.1</v>
      </c>
      <c r="J224" t="n">
        <v>2</v>
      </c>
      <c r="K224" t="n">
        <v>0</v>
      </c>
      <c r="L224" t="n">
        <v>0</v>
      </c>
      <c r="M224" t="n">
        <v>1</v>
      </c>
      <c r="N224" t="n">
        <v>0</v>
      </c>
      <c r="O224" t="n">
        <v>0</v>
      </c>
      <c r="P224" t="n">
        <v>0</v>
      </c>
      <c r="Q224" t="n">
        <v>1</v>
      </c>
      <c r="R224" t="n">
        <v>1</v>
      </c>
      <c r="S224" t="n">
        <v>2</v>
      </c>
      <c r="T224" t="n">
        <v>4</v>
      </c>
      <c r="U224" t="n">
        <v>3</v>
      </c>
      <c r="V224" s="2" t="inlineStr">
        <is>
          <t>Tjockskalig målarmussla
Vanlig groda</t>
        </is>
      </c>
      <c r="W224">
        <f>HYPERLINK("https://klasma.github.io/Logging_0461/artfynd/A 29758-2022 artfynd.xlsx", "A 29758-2022")</f>
        <v/>
      </c>
      <c r="X224">
        <f>HYPERLINK("https://klasma.github.io/Logging_0461/kartor/A 29758-2022 karta.png", "A 29758-2022")</f>
        <v/>
      </c>
      <c r="Y224">
        <f>HYPERLINK("https://klasma.github.io/Logging_0461/kartor_geotiff/A 29758-2022 georefererad karta.tif", "A 29758-2022")</f>
        <v/>
      </c>
      <c r="AA224">
        <f>HYPERLINK("https://klasma.github.io/Logging_0461/klagomål/A 29758-2022 FSC-klagomål.docx", "A 29758-2022")</f>
        <v/>
      </c>
      <c r="AB224">
        <f>HYPERLINK("https://klasma.github.io/Logging_0461/klagomålsmail/A 29758-2022 FSC-klagomål mail.docx", "A 29758-2022")</f>
        <v/>
      </c>
      <c r="AC224">
        <f>HYPERLINK("https://klasma.github.io/Logging_0461/tillsyn/A 29758-2022 tillsynsbegäran.docx", "A 29758-2022")</f>
        <v/>
      </c>
      <c r="AD224">
        <f>HYPERLINK("https://klasma.github.io/Logging_0461/tillsynsmail/A 29758-2022 tillsynsbegäran mail.docx", "A 29758-2022")</f>
        <v/>
      </c>
    </row>
    <row r="225" ht="15" customHeight="1">
      <c r="A225" t="inlineStr">
        <is>
          <t>A 69068-2021</t>
        </is>
      </c>
      <c r="B225" t="inlineStr">
        <is>
          <t>avverkningsanmälan</t>
        </is>
      </c>
      <c r="C225" t="inlineStr">
        <is>
          <t>Föryngringsavverkning</t>
        </is>
      </c>
      <c r="D225" s="1" t="n">
        <v>44530</v>
      </c>
      <c r="E225" s="1" t="n">
        <v>46313</v>
      </c>
      <c r="F225" t="inlineStr">
        <is>
          <t>SÖDERMANLANDS LÄN</t>
        </is>
      </c>
      <c r="G225" t="inlineStr">
        <is>
          <t>ESKILSTUNA</t>
        </is>
      </c>
      <c r="I225" t="n">
        <v>3.9</v>
      </c>
      <c r="J225" t="n">
        <v>0</v>
      </c>
      <c r="K225" t="n">
        <v>1</v>
      </c>
      <c r="L225" t="n">
        <v>1</v>
      </c>
      <c r="M225" t="n">
        <v>0</v>
      </c>
      <c r="N225" t="n">
        <v>0</v>
      </c>
      <c r="O225" t="n">
        <v>0</v>
      </c>
      <c r="P225" t="n">
        <v>0</v>
      </c>
      <c r="Q225" t="n">
        <v>1</v>
      </c>
      <c r="R225" t="n">
        <v>0</v>
      </c>
      <c r="S225" t="n">
        <v>2</v>
      </c>
      <c r="T225" t="n">
        <v>2</v>
      </c>
      <c r="U225" t="n">
        <v>2</v>
      </c>
      <c r="V225" s="2" t="inlineStr">
        <is>
          <t>Tallticka
Mindre märgborre</t>
        </is>
      </c>
      <c r="W225">
        <f>HYPERLINK("https://klasma.github.io/Logging_0484/artfynd/A 69068-2021 artfynd.xlsx", "A 69068-2021")</f>
        <v/>
      </c>
      <c r="X225">
        <f>HYPERLINK("https://klasma.github.io/Logging_0484/kartor/A 69068-2021 karta.png", "A 69068-2021")</f>
        <v/>
      </c>
      <c r="Y225">
        <f>HYPERLINK("https://klasma.github.io/Logging_0484/kartor_geotiff/A 69068-2021 georefererad karta.tif", "A 69068-2021")</f>
        <v/>
      </c>
      <c r="AA225">
        <f>HYPERLINK("https://klasma.github.io/Logging_0484/klagomål/A 69068-2021 FSC-klagomål.docx", "A 69068-2021")</f>
        <v/>
      </c>
      <c r="AB225">
        <f>HYPERLINK("https://klasma.github.io/Logging_0484/klagomålsmail/A 69068-2021 FSC-klagomål mail.docx", "A 69068-2021")</f>
        <v/>
      </c>
      <c r="AC225">
        <f>HYPERLINK("https://klasma.github.io/Logging_0484/tillsyn/A 69068-2021 tillsynsbegäran.docx", "A 69068-2021")</f>
        <v/>
      </c>
      <c r="AD225">
        <f>HYPERLINK("https://klasma.github.io/Logging_0484/tillsynsmail/A 69068-2021 tillsynsbegäran mail.docx", "A 69068-2021")</f>
        <v/>
      </c>
    </row>
    <row r="226" ht="15" customHeight="1">
      <c r="A226" t="inlineStr">
        <is>
          <t>A 40393-2022</t>
        </is>
      </c>
      <c r="B226" t="inlineStr">
        <is>
          <t>avverkningsanmälan</t>
        </is>
      </c>
      <c r="C226" t="inlineStr">
        <is>
          <t>Föryngringsavverkning</t>
        </is>
      </c>
      <c r="D226" s="1" t="n">
        <v>44823</v>
      </c>
      <c r="E226" s="1" t="n">
        <v>46313</v>
      </c>
      <c r="F226" t="inlineStr">
        <is>
          <t>SÖDERMANLANDS LÄN</t>
        </is>
      </c>
      <c r="G226" t="inlineStr">
        <is>
          <t>KATRINEHOLM</t>
        </is>
      </c>
      <c r="I226" t="n">
        <v>1.3</v>
      </c>
      <c r="J226" t="n">
        <v>0</v>
      </c>
      <c r="K226" t="n">
        <v>1</v>
      </c>
      <c r="L226" t="n">
        <v>1</v>
      </c>
      <c r="M226" t="n">
        <v>0</v>
      </c>
      <c r="N226" t="n">
        <v>0</v>
      </c>
      <c r="O226" t="n">
        <v>0</v>
      </c>
      <c r="P226" t="n">
        <v>0</v>
      </c>
      <c r="Q226" t="n">
        <v>1</v>
      </c>
      <c r="R226" t="n">
        <v>0</v>
      </c>
      <c r="S226" t="n">
        <v>2</v>
      </c>
      <c r="T226" t="n">
        <v>2</v>
      </c>
      <c r="U226" t="n">
        <v>0</v>
      </c>
      <c r="V226" s="2" t="inlineStr">
        <is>
          <t>Aspstumpbagge
Spindelbock</t>
        </is>
      </c>
      <c r="W226">
        <f>HYPERLINK("https://klasma.github.io/Logging_0483/artfynd/A 40393-2022 artfynd.xlsx", "A 40393-2022")</f>
        <v/>
      </c>
      <c r="X226">
        <f>HYPERLINK("https://klasma.github.io/Logging_0483/kartor/A 40393-2022 karta.png", "A 40393-2022")</f>
        <v/>
      </c>
      <c r="Y226">
        <f>HYPERLINK("https://klasma.github.io/Logging_0483/kartor_geotiff/A 40393-2022 georefererad karta.tif", "A 40393-2022")</f>
        <v/>
      </c>
      <c r="AA226">
        <f>HYPERLINK("https://klasma.github.io/Logging_0483/klagomål/A 40393-2022 FSC-klagomål.docx", "A 40393-2022")</f>
        <v/>
      </c>
      <c r="AB226">
        <f>HYPERLINK("https://klasma.github.io/Logging_0483/klagomålsmail/A 40393-2022 FSC-klagomål mail.docx", "A 40393-2022")</f>
        <v/>
      </c>
      <c r="AC226">
        <f>HYPERLINK("https://klasma.github.io/Logging_0483/tillsyn/A 40393-2022 tillsynsbegäran.docx", "A 40393-2022")</f>
        <v/>
      </c>
      <c r="AD226">
        <f>HYPERLINK("https://klasma.github.io/Logging_0483/tillsynsmail/A 40393-2022 tillsynsbegäran mail.docx", "A 40393-2022")</f>
        <v/>
      </c>
    </row>
    <row r="227" ht="15" customHeight="1">
      <c r="A227" t="inlineStr">
        <is>
          <t>A 16458-2022</t>
        </is>
      </c>
      <c r="B227" t="inlineStr">
        <is>
          <t>avverkningsanmälan</t>
        </is>
      </c>
      <c r="C227" t="inlineStr">
        <is>
          <t>Föryngringsavverkning</t>
        </is>
      </c>
      <c r="D227" s="1" t="n">
        <v>44671</v>
      </c>
      <c r="E227" s="1" t="n">
        <v>46313</v>
      </c>
      <c r="F227" t="inlineStr">
        <is>
          <t>SÖDERMANLANDS LÄN</t>
        </is>
      </c>
      <c r="G227" t="inlineStr">
        <is>
          <t>KATRINEHOLM</t>
        </is>
      </c>
      <c r="I227" t="n">
        <v>16.4</v>
      </c>
      <c r="J227" t="n">
        <v>2</v>
      </c>
      <c r="K227" t="n">
        <v>0</v>
      </c>
      <c r="L227" t="n">
        <v>1</v>
      </c>
      <c r="M227" t="n">
        <v>0</v>
      </c>
      <c r="N227" t="n">
        <v>0</v>
      </c>
      <c r="O227" t="n">
        <v>0</v>
      </c>
      <c r="P227" t="n">
        <v>0</v>
      </c>
      <c r="Q227" t="n">
        <v>1</v>
      </c>
      <c r="R227" t="n">
        <v>0</v>
      </c>
      <c r="S227" t="n">
        <v>2</v>
      </c>
      <c r="T227" t="n">
        <v>2</v>
      </c>
      <c r="U227" t="n">
        <v>2</v>
      </c>
      <c r="V227" s="2" t="inlineStr">
        <is>
          <t>Duvhök
Gröngöling</t>
        </is>
      </c>
      <c r="W227">
        <f>HYPERLINK("https://klasma.github.io/Logging_0483/artfynd/A 16458-2022 artfynd.xlsx", "A 16458-2022")</f>
        <v/>
      </c>
      <c r="X227">
        <f>HYPERLINK("https://klasma.github.io/Logging_0483/kartor/A 16458-2022 karta.png", "A 16458-2022")</f>
        <v/>
      </c>
      <c r="Y227">
        <f>HYPERLINK("https://klasma.github.io/Logging_0483/kartor_geotiff/A 16458-2022 georefererad karta.tif", "A 16458-2022")</f>
        <v/>
      </c>
      <c r="AA227">
        <f>HYPERLINK("https://klasma.github.io/Logging_0483/klagomål/A 16458-2022 FSC-klagomål.docx", "A 16458-2022")</f>
        <v/>
      </c>
      <c r="AB227">
        <f>HYPERLINK("https://klasma.github.io/Logging_0483/klagomålsmail/A 16458-2022 FSC-klagomål mail.docx", "A 16458-2022")</f>
        <v/>
      </c>
      <c r="AC227">
        <f>HYPERLINK("https://klasma.github.io/Logging_0483/tillsyn/A 16458-2022 tillsynsbegäran.docx", "A 16458-2022")</f>
        <v/>
      </c>
      <c r="AD227">
        <f>HYPERLINK("https://klasma.github.io/Logging_0483/tillsynsmail/A 16458-2022 tillsynsbegäran mail.docx", "A 16458-2022")</f>
        <v/>
      </c>
      <c r="AE227">
        <f>HYPERLINK("https://klasma.github.io/Logging_0483/fåglar/A 16458-2022 prioriterade fågelarter.docx", "A 16458-2022")</f>
        <v/>
      </c>
    </row>
    <row r="228" ht="15" customHeight="1">
      <c r="A228" t="inlineStr">
        <is>
          <t>A 65380-2021</t>
        </is>
      </c>
      <c r="B228" t="inlineStr">
        <is>
          <t>avverkningsanmälan</t>
        </is>
      </c>
      <c r="C228" t="inlineStr">
        <is>
          <t>Föryngringsavverkning</t>
        </is>
      </c>
      <c r="D228" s="1" t="n">
        <v>44515</v>
      </c>
      <c r="E228" s="1" t="n">
        <v>46313</v>
      </c>
      <c r="F228" t="inlineStr">
        <is>
          <t>SÖDERMANLANDS LÄN</t>
        </is>
      </c>
      <c r="G228" t="inlineStr">
        <is>
          <t>ESKILSTUNA</t>
        </is>
      </c>
      <c r="H228" t="inlineStr">
        <is>
          <t>Kyrkan</t>
        </is>
      </c>
      <c r="I228" t="n">
        <v>5.4</v>
      </c>
      <c r="J228" t="n">
        <v>1</v>
      </c>
      <c r="K228" t="n">
        <v>0</v>
      </c>
      <c r="L228" t="n">
        <v>1</v>
      </c>
      <c r="M228" t="n">
        <v>0</v>
      </c>
      <c r="N228" t="n">
        <v>0</v>
      </c>
      <c r="O228" t="n">
        <v>0</v>
      </c>
      <c r="P228" t="n">
        <v>0</v>
      </c>
      <c r="Q228" t="n">
        <v>1</v>
      </c>
      <c r="R228" t="n">
        <v>0</v>
      </c>
      <c r="S228" t="n">
        <v>2</v>
      </c>
      <c r="T228" t="n">
        <v>2</v>
      </c>
      <c r="U228" t="n">
        <v>1</v>
      </c>
      <c r="V228" s="2" t="inlineStr">
        <is>
          <t>Älg
Blåsippa</t>
        </is>
      </c>
      <c r="W228">
        <f>HYPERLINK("https://klasma.github.io/Logging_0484/artfynd/A 65380-2021 artfynd.xlsx", "A 65380-2021")</f>
        <v/>
      </c>
      <c r="X228">
        <f>HYPERLINK("https://klasma.github.io/Logging_0484/kartor/A 65380-2021 karta.png", "A 65380-2021")</f>
        <v/>
      </c>
      <c r="Y228">
        <f>HYPERLINK("https://klasma.github.io/Logging_0484/kartor_geotiff/A 65380-2021 georefererad karta.tif", "A 65380-2021")</f>
        <v/>
      </c>
      <c r="AA228">
        <f>HYPERLINK("https://klasma.github.io/Logging_0484/klagomål/A 65380-2021 FSC-klagomål.docx", "A 65380-2021")</f>
        <v/>
      </c>
      <c r="AB228">
        <f>HYPERLINK("https://klasma.github.io/Logging_0484/klagomålsmail/A 65380-2021 FSC-klagomål mail.docx", "A 65380-2021")</f>
        <v/>
      </c>
      <c r="AC228">
        <f>HYPERLINK("https://klasma.github.io/Logging_0484/tillsyn/A 65380-2021 tillsynsbegäran.docx", "A 65380-2021")</f>
        <v/>
      </c>
      <c r="AD228">
        <f>HYPERLINK("https://klasma.github.io/Logging_0484/tillsynsmail/A 65380-2021 tillsynsbegäran mail.docx", "A 65380-2021")</f>
        <v/>
      </c>
    </row>
    <row r="229" ht="15" customHeight="1">
      <c r="A229" t="inlineStr">
        <is>
          <t>A 48153-2023</t>
        </is>
      </c>
      <c r="B229" t="inlineStr">
        <is>
          <t>avverkningsanmälan</t>
        </is>
      </c>
      <c r="C229" t="inlineStr">
        <is>
          <t>Föryngringsavverkning</t>
        </is>
      </c>
      <c r="D229" s="1" t="n">
        <v>45205</v>
      </c>
      <c r="E229" s="1" t="n">
        <v>46313</v>
      </c>
      <c r="F229" t="inlineStr">
        <is>
          <t>SÖDERMANLANDS LÄN</t>
        </is>
      </c>
      <c r="G229" t="inlineStr">
        <is>
          <t>NYKÖPING</t>
        </is>
      </c>
      <c r="H229" t="inlineStr">
        <is>
          <t>Holmen skog AB</t>
        </is>
      </c>
      <c r="I229" t="n">
        <v>2.7</v>
      </c>
      <c r="J229" t="n">
        <v>2</v>
      </c>
      <c r="K229" t="n">
        <v>0</v>
      </c>
      <c r="L229" t="n">
        <v>1</v>
      </c>
      <c r="M229" t="n">
        <v>0</v>
      </c>
      <c r="N229" t="n">
        <v>0</v>
      </c>
      <c r="O229" t="n">
        <v>0</v>
      </c>
      <c r="P229" t="n">
        <v>0</v>
      </c>
      <c r="Q229" t="n">
        <v>1</v>
      </c>
      <c r="R229" t="n">
        <v>0</v>
      </c>
      <c r="S229" t="n">
        <v>2</v>
      </c>
      <c r="T229" t="n">
        <v>2</v>
      </c>
      <c r="U229" t="n">
        <v>2</v>
      </c>
      <c r="V229" s="2" t="inlineStr">
        <is>
          <t>Nötkråka
Havsörn</t>
        </is>
      </c>
      <c r="W229">
        <f>HYPERLINK("https://klasma.github.io/Logging_0480/artfynd/A 48153-2023 artfynd.xlsx", "A 48153-2023")</f>
        <v/>
      </c>
      <c r="X229">
        <f>HYPERLINK("https://klasma.github.io/Logging_0480/kartor/A 48153-2023 karta.png", "A 48153-2023")</f>
        <v/>
      </c>
      <c r="Y229">
        <f>HYPERLINK("https://klasma.github.io/Logging_0480/kartor_geotiff/A 48153-2023 georefererad karta.tif", "A 48153-2023")</f>
        <v/>
      </c>
      <c r="AA229">
        <f>HYPERLINK("https://klasma.github.io/Logging_0480/klagomål/A 48153-2023 FSC-klagomål.docx", "A 48153-2023")</f>
        <v/>
      </c>
      <c r="AB229">
        <f>HYPERLINK("https://klasma.github.io/Logging_0480/klagomålsmail/A 48153-2023 FSC-klagomål mail.docx", "A 48153-2023")</f>
        <v/>
      </c>
      <c r="AC229">
        <f>HYPERLINK("https://klasma.github.io/Logging_0480/tillsyn/A 48153-2023 tillsynsbegäran.docx", "A 48153-2023")</f>
        <v/>
      </c>
      <c r="AD229">
        <f>HYPERLINK("https://klasma.github.io/Logging_0480/tillsynsmail/A 48153-2023 tillsynsbegäran mail.docx", "A 48153-2023")</f>
        <v/>
      </c>
      <c r="AE229">
        <f>HYPERLINK("https://klasma.github.io/Logging_0480/fåglar/A 48153-2023 prioriterade fågelarter.docx", "A 48153-2023")</f>
        <v/>
      </c>
    </row>
    <row r="230" ht="15" customHeight="1">
      <c r="A230" t="inlineStr">
        <is>
          <t>A 60143-2024</t>
        </is>
      </c>
      <c r="B230" t="inlineStr">
        <is>
          <t>avverkningsanmälan</t>
        </is>
      </c>
      <c r="C230" t="inlineStr">
        <is>
          <t>Avverkning för annat ändamål</t>
        </is>
      </c>
      <c r="D230" s="1" t="n">
        <v>45642</v>
      </c>
      <c r="E230" s="1" t="n">
        <v>46313</v>
      </c>
      <c r="F230" t="inlineStr">
        <is>
          <t>SÖDERMANLANDS LÄN</t>
        </is>
      </c>
      <c r="G230" t="inlineStr">
        <is>
          <t>STRÄNGNÄS</t>
        </is>
      </c>
      <c r="I230" t="n">
        <v>0.3</v>
      </c>
      <c r="J230" t="n">
        <v>1</v>
      </c>
      <c r="K230" t="n">
        <v>1</v>
      </c>
      <c r="L230" t="n">
        <v>0</v>
      </c>
      <c r="M230" t="n">
        <v>0</v>
      </c>
      <c r="N230" t="n">
        <v>0</v>
      </c>
      <c r="O230" t="n">
        <v>0</v>
      </c>
      <c r="P230" t="n">
        <v>0</v>
      </c>
      <c r="Q230" t="n">
        <v>0</v>
      </c>
      <c r="R230" t="n">
        <v>0</v>
      </c>
      <c r="S230" t="n">
        <v>2</v>
      </c>
      <c r="T230" t="n">
        <v>2</v>
      </c>
      <c r="U230" t="n">
        <v>2</v>
      </c>
      <c r="V230" s="2" t="inlineStr">
        <is>
          <t>Blåmossa
Spillkråka</t>
        </is>
      </c>
      <c r="W230">
        <f>HYPERLINK("https://klasma.github.io/Logging_0486/artfynd/A 60143-2024 artfynd.xlsx", "A 60143-2024")</f>
        <v/>
      </c>
      <c r="X230">
        <f>HYPERLINK("https://klasma.github.io/Logging_0486/kartor/A 60143-2024 karta.png", "A 60143-2024")</f>
        <v/>
      </c>
      <c r="Y230">
        <f>HYPERLINK("https://klasma.github.io/Logging_0486/kartor_geotiff/A 60143-2024 georefererad karta.tif", "A 60143-2024")</f>
        <v/>
      </c>
      <c r="AA230">
        <f>HYPERLINK("https://klasma.github.io/Logging_0486/klagomål/A 60143-2024 FSC-klagomål.docx", "A 60143-2024")</f>
        <v/>
      </c>
      <c r="AB230">
        <f>HYPERLINK("https://klasma.github.io/Logging_0486/klagomålsmail/A 60143-2024 FSC-klagomål mail.docx", "A 60143-2024")</f>
        <v/>
      </c>
      <c r="AC230">
        <f>HYPERLINK("https://klasma.github.io/Logging_0486/tillsyn/A 60143-2024 tillsynsbegäran.docx", "A 60143-2024")</f>
        <v/>
      </c>
      <c r="AD230">
        <f>HYPERLINK("https://klasma.github.io/Logging_0486/tillsynsmail/A 60143-2024 tillsynsbegäran mail.docx", "A 60143-2024")</f>
        <v/>
      </c>
      <c r="AE230">
        <f>HYPERLINK("https://klasma.github.io/Logging_0486/fåglar/A 60143-2024 prioriterade fågelarter.docx", "A 60143-2024")</f>
        <v/>
      </c>
    </row>
    <row r="231" ht="15" customHeight="1">
      <c r="A231" t="inlineStr">
        <is>
          <t>A 49442-2022</t>
        </is>
      </c>
      <c r="B231" t="inlineStr">
        <is>
          <t>avverkningsanmälan</t>
        </is>
      </c>
      <c r="C231" t="inlineStr">
        <is>
          <t>Föryngringsavverkning</t>
        </is>
      </c>
      <c r="D231" s="1" t="n">
        <v>44861</v>
      </c>
      <c r="E231" s="1" t="n">
        <v>46313</v>
      </c>
      <c r="F231" t="inlineStr">
        <is>
          <t>SÖDERMANLANDS LÄN</t>
        </is>
      </c>
      <c r="G231" t="inlineStr">
        <is>
          <t>GNESTA</t>
        </is>
      </c>
      <c r="I231" t="n">
        <v>3.6</v>
      </c>
      <c r="J231" t="n">
        <v>0</v>
      </c>
      <c r="K231" t="n">
        <v>0</v>
      </c>
      <c r="L231" t="n">
        <v>1</v>
      </c>
      <c r="M231" t="n">
        <v>0</v>
      </c>
      <c r="N231" t="n">
        <v>1</v>
      </c>
      <c r="O231" t="n">
        <v>0</v>
      </c>
      <c r="P231" t="n">
        <v>0</v>
      </c>
      <c r="Q231" t="n">
        <v>2</v>
      </c>
      <c r="R231" t="n">
        <v>1</v>
      </c>
      <c r="S231" t="n">
        <v>2</v>
      </c>
      <c r="T231" t="n">
        <v>2</v>
      </c>
      <c r="U231" t="n">
        <v>0</v>
      </c>
      <c r="V231" s="2" t="inlineStr">
        <is>
          <t>Streckvaxskivling
Bergjohannesört</t>
        </is>
      </c>
      <c r="W231">
        <f>HYPERLINK("https://klasma.github.io/Logging_0461/artfynd/A 49442-2022 artfynd.xlsx", "A 49442-2022")</f>
        <v/>
      </c>
      <c r="X231">
        <f>HYPERLINK("https://klasma.github.io/Logging_0461/kartor/A 49442-2022 karta.png", "A 49442-2022")</f>
        <v/>
      </c>
      <c r="Y231">
        <f>HYPERLINK("https://klasma.github.io/Logging_0461/kartor_geotiff/A 49442-2022 georefererad karta.tif", "A 49442-2022")</f>
        <v/>
      </c>
      <c r="AA231">
        <f>HYPERLINK("https://klasma.github.io/Logging_0461/klagomål/A 49442-2022 FSC-klagomål.docx", "A 49442-2022")</f>
        <v/>
      </c>
      <c r="AB231">
        <f>HYPERLINK("https://klasma.github.io/Logging_0461/klagomålsmail/A 49442-2022 FSC-klagomål mail.docx", "A 49442-2022")</f>
        <v/>
      </c>
      <c r="AC231">
        <f>HYPERLINK("https://klasma.github.io/Logging_0461/tillsyn/A 49442-2022 tillsynsbegäran.docx", "A 49442-2022")</f>
        <v/>
      </c>
      <c r="AD231">
        <f>HYPERLINK("https://klasma.github.io/Logging_0461/tillsynsmail/A 49442-2022 tillsynsbegäran mail.docx", "A 49442-2022")</f>
        <v/>
      </c>
    </row>
    <row r="232" ht="15" customHeight="1">
      <c r="A232" t="inlineStr">
        <is>
          <t>A 1150-2025</t>
        </is>
      </c>
      <c r="B232" t="inlineStr">
        <is>
          <t>avverkningsanmälan</t>
        </is>
      </c>
      <c r="C232" t="inlineStr">
        <is>
          <t>Föryngringsavverkning</t>
        </is>
      </c>
      <c r="D232" s="1" t="n">
        <v>45666</v>
      </c>
      <c r="E232" s="1" t="n">
        <v>46313</v>
      </c>
      <c r="F232" t="inlineStr">
        <is>
          <t>SÖDERMANLANDS LÄN</t>
        </is>
      </c>
      <c r="G232" t="inlineStr">
        <is>
          <t>KATRINEHOLM</t>
        </is>
      </c>
      <c r="I232" t="n">
        <v>8.9</v>
      </c>
      <c r="J232" t="n">
        <v>0</v>
      </c>
      <c r="K232" t="n">
        <v>1</v>
      </c>
      <c r="L232" t="n">
        <v>1</v>
      </c>
      <c r="M232" t="n">
        <v>0</v>
      </c>
      <c r="N232" t="n">
        <v>0</v>
      </c>
      <c r="O232" t="n">
        <v>0</v>
      </c>
      <c r="P232" t="n">
        <v>0</v>
      </c>
      <c r="Q232" t="n">
        <v>1</v>
      </c>
      <c r="R232" t="n">
        <v>0</v>
      </c>
      <c r="S232" t="n">
        <v>2</v>
      </c>
      <c r="T232" t="n">
        <v>2</v>
      </c>
      <c r="U232" t="n">
        <v>2</v>
      </c>
      <c r="V232" s="2" t="inlineStr">
        <is>
          <t>Motaggsvamp
Grovticka</t>
        </is>
      </c>
      <c r="W232">
        <f>HYPERLINK("https://klasma.github.io/Logging_0483/artfynd/A 1150-2025 artfynd.xlsx", "A 1150-2025")</f>
        <v/>
      </c>
      <c r="X232">
        <f>HYPERLINK("https://klasma.github.io/Logging_0483/kartor/A 1150-2025 karta.png", "A 1150-2025")</f>
        <v/>
      </c>
      <c r="Y232">
        <f>HYPERLINK("https://klasma.github.io/Logging_0483/kartor_geotiff/A 1150-2025 georefererad karta.tif", "A 1150-2025")</f>
        <v/>
      </c>
      <c r="AA232">
        <f>HYPERLINK("https://klasma.github.io/Logging_0483/klagomål/A 1150-2025 FSC-klagomål.docx", "A 1150-2025")</f>
        <v/>
      </c>
      <c r="AB232">
        <f>HYPERLINK("https://klasma.github.io/Logging_0483/klagomålsmail/A 1150-2025 FSC-klagomål mail.docx", "A 1150-2025")</f>
        <v/>
      </c>
      <c r="AC232">
        <f>HYPERLINK("https://klasma.github.io/Logging_0483/tillsyn/A 1150-2025 tillsynsbegäran.docx", "A 1150-2025")</f>
        <v/>
      </c>
      <c r="AD232">
        <f>HYPERLINK("https://klasma.github.io/Logging_0483/tillsynsmail/A 1150-2025 tillsynsbegäran mail.docx", "A 1150-2025")</f>
        <v/>
      </c>
    </row>
    <row r="233" ht="15" customHeight="1">
      <c r="A233" t="inlineStr">
        <is>
          <t>A 5865-2024</t>
        </is>
      </c>
      <c r="B233" t="inlineStr">
        <is>
          <t>avverkningsanmälan</t>
        </is>
      </c>
      <c r="C233" t="inlineStr">
        <is>
          <t>Avverkning för annat ändamål</t>
        </is>
      </c>
      <c r="D233" s="1" t="n">
        <v>45335</v>
      </c>
      <c r="E233" s="1" t="n">
        <v>46313</v>
      </c>
      <c r="F233" t="inlineStr">
        <is>
          <t>SÖDERMANLANDS LÄN</t>
        </is>
      </c>
      <c r="G233" t="inlineStr">
        <is>
          <t>NYKÖPING</t>
        </is>
      </c>
      <c r="H233" t="inlineStr">
        <is>
          <t>Sveaskog</t>
        </is>
      </c>
      <c r="I233" t="n">
        <v>4.9</v>
      </c>
      <c r="J233" t="n">
        <v>2</v>
      </c>
      <c r="K233" t="n">
        <v>0</v>
      </c>
      <c r="L233" t="n">
        <v>1</v>
      </c>
      <c r="M233" t="n">
        <v>0</v>
      </c>
      <c r="N233" t="n">
        <v>0</v>
      </c>
      <c r="O233" t="n">
        <v>0</v>
      </c>
      <c r="P233" t="n">
        <v>0</v>
      </c>
      <c r="Q233" t="n">
        <v>1</v>
      </c>
      <c r="R233" t="n">
        <v>0</v>
      </c>
      <c r="S233" t="n">
        <v>2</v>
      </c>
      <c r="T233" t="n">
        <v>2</v>
      </c>
      <c r="U233" t="n">
        <v>1</v>
      </c>
      <c r="V233" s="2" t="inlineStr">
        <is>
          <t>Entita
Fläcknycklar</t>
        </is>
      </c>
      <c r="W233">
        <f>HYPERLINK("https://klasma.github.io/Logging_0480/artfynd/A 5865-2024 artfynd.xlsx", "A 5865-2024")</f>
        <v/>
      </c>
      <c r="X233">
        <f>HYPERLINK("https://klasma.github.io/Logging_0480/kartor/A 5865-2024 karta.png", "A 5865-2024")</f>
        <v/>
      </c>
      <c r="Y233">
        <f>HYPERLINK("https://klasma.github.io/Logging_0480/kartor_geotiff/A 5865-2024 georefererad karta.tif", "A 5865-2024")</f>
        <v/>
      </c>
      <c r="AA233">
        <f>HYPERLINK("https://klasma.github.io/Logging_0480/klagomål/A 5865-2024 FSC-klagomål.docx", "A 5865-2024")</f>
        <v/>
      </c>
      <c r="AB233">
        <f>HYPERLINK("https://klasma.github.io/Logging_0480/klagomålsmail/A 5865-2024 FSC-klagomål mail.docx", "A 5865-2024")</f>
        <v/>
      </c>
      <c r="AC233">
        <f>HYPERLINK("https://klasma.github.io/Logging_0480/tillsyn/A 5865-2024 tillsynsbegäran.docx", "A 5865-2024")</f>
        <v/>
      </c>
      <c r="AD233">
        <f>HYPERLINK("https://klasma.github.io/Logging_0480/tillsynsmail/A 5865-2024 tillsynsbegäran mail.docx", "A 5865-2024")</f>
        <v/>
      </c>
      <c r="AE233">
        <f>HYPERLINK("https://klasma.github.io/Logging_0480/fåglar/A 5865-2024 prioriterade fågelarter.docx", "A 5865-2024")</f>
        <v/>
      </c>
    </row>
    <row r="234" ht="15" customHeight="1">
      <c r="A234" t="inlineStr">
        <is>
          <t>A 16078-2023</t>
        </is>
      </c>
      <c r="B234" t="inlineStr">
        <is>
          <t>avverkningsanmälan</t>
        </is>
      </c>
      <c r="C234" t="inlineStr">
        <is>
          <t>Föryngringsavverkning</t>
        </is>
      </c>
      <c r="D234" s="1" t="n">
        <v>45027</v>
      </c>
      <c r="E234" s="1" t="n">
        <v>46313</v>
      </c>
      <c r="F234" t="inlineStr">
        <is>
          <t>SÖDERMANLANDS LÄN</t>
        </is>
      </c>
      <c r="G234" t="inlineStr">
        <is>
          <t>NYKÖPING</t>
        </is>
      </c>
      <c r="I234" t="n">
        <v>0.9</v>
      </c>
      <c r="J234" t="n">
        <v>1</v>
      </c>
      <c r="K234" t="n">
        <v>0</v>
      </c>
      <c r="L234" t="n">
        <v>1</v>
      </c>
      <c r="M234" t="n">
        <v>0</v>
      </c>
      <c r="N234" t="n">
        <v>0</v>
      </c>
      <c r="O234" t="n">
        <v>0</v>
      </c>
      <c r="P234" t="n">
        <v>0</v>
      </c>
      <c r="Q234" t="n">
        <v>1</v>
      </c>
      <c r="R234" t="n">
        <v>0</v>
      </c>
      <c r="S234" t="n">
        <v>2</v>
      </c>
      <c r="T234" t="n">
        <v>3</v>
      </c>
      <c r="U234" t="n">
        <v>3</v>
      </c>
      <c r="V234" s="2" t="inlineStr">
        <is>
          <t>Rödlånke
Fläcknycklar</t>
        </is>
      </c>
      <c r="W234">
        <f>HYPERLINK("https://klasma.github.io/Logging_0480/artfynd/A 16078-2023 artfynd.xlsx", "A 16078-2023")</f>
        <v/>
      </c>
      <c r="X234">
        <f>HYPERLINK("https://klasma.github.io/Logging_0480/kartor/A 16078-2023 karta.png", "A 16078-2023")</f>
        <v/>
      </c>
      <c r="Y234">
        <f>HYPERLINK("https://klasma.github.io/Logging_0480/kartor_geotiff/A 16078-2023 georefererad karta.tif", "A 16078-2023")</f>
        <v/>
      </c>
      <c r="AA234">
        <f>HYPERLINK("https://klasma.github.io/Logging_0480/klagomål/A 16078-2023 FSC-klagomål.docx", "A 16078-2023")</f>
        <v/>
      </c>
      <c r="AB234">
        <f>HYPERLINK("https://klasma.github.io/Logging_0480/klagomålsmail/A 16078-2023 FSC-klagomål mail.docx", "A 16078-2023")</f>
        <v/>
      </c>
      <c r="AC234">
        <f>HYPERLINK("https://klasma.github.io/Logging_0480/tillsyn/A 16078-2023 tillsynsbegäran.docx", "A 16078-2023")</f>
        <v/>
      </c>
      <c r="AD234">
        <f>HYPERLINK("https://klasma.github.io/Logging_0480/tillsynsmail/A 16078-2023 tillsynsbegäran mail.docx", "A 16078-2023")</f>
        <v/>
      </c>
    </row>
    <row r="235" ht="15" customHeight="1">
      <c r="A235" t="inlineStr">
        <is>
          <t>A 37537-2022</t>
        </is>
      </c>
      <c r="B235" t="inlineStr">
        <is>
          <t>avverkningsanmälan</t>
        </is>
      </c>
      <c r="C235" t="inlineStr">
        <is>
          <t>Föryngringsavverkning</t>
        </is>
      </c>
      <c r="D235" s="1" t="n">
        <v>44809</v>
      </c>
      <c r="E235" s="1" t="n">
        <v>46313</v>
      </c>
      <c r="F235" t="inlineStr">
        <is>
          <t>SÖDERMANLANDS LÄN</t>
        </is>
      </c>
      <c r="G235" t="inlineStr">
        <is>
          <t>KATRINEHOLM</t>
        </is>
      </c>
      <c r="I235" t="n">
        <v>1.4</v>
      </c>
      <c r="J235" t="n">
        <v>0</v>
      </c>
      <c r="K235" t="n">
        <v>2</v>
      </c>
      <c r="L235" t="n">
        <v>0</v>
      </c>
      <c r="M235" t="n">
        <v>0</v>
      </c>
      <c r="N235" t="n">
        <v>0</v>
      </c>
      <c r="O235" t="n">
        <v>0</v>
      </c>
      <c r="P235" t="n">
        <v>0</v>
      </c>
      <c r="Q235" t="n">
        <v>0</v>
      </c>
      <c r="R235" t="n">
        <v>0</v>
      </c>
      <c r="S235" t="n">
        <v>2</v>
      </c>
      <c r="T235" t="n">
        <v>2</v>
      </c>
      <c r="U235" t="n">
        <v>0</v>
      </c>
      <c r="V235" s="2" t="inlineStr">
        <is>
          <t>Myskmadra
Svart trolldruva</t>
        </is>
      </c>
      <c r="W235">
        <f>HYPERLINK("https://klasma.github.io/Logging_0483/artfynd/A 37537-2022 artfynd.xlsx", "A 37537-2022")</f>
        <v/>
      </c>
      <c r="X235">
        <f>HYPERLINK("https://klasma.github.io/Logging_0483/kartor/A 37537-2022 karta.png", "A 37537-2022")</f>
        <v/>
      </c>
      <c r="Y235">
        <f>HYPERLINK("https://klasma.github.io/Logging_0483/kartor_geotiff/A 37537-2022 georefererad karta.tif", "A 37537-2022")</f>
        <v/>
      </c>
      <c r="AA235">
        <f>HYPERLINK("https://klasma.github.io/Logging_0483/klagomål/A 37537-2022 FSC-klagomål.docx", "A 37537-2022")</f>
        <v/>
      </c>
      <c r="AB235">
        <f>HYPERLINK("https://klasma.github.io/Logging_0483/klagomålsmail/A 37537-2022 FSC-klagomål mail.docx", "A 37537-2022")</f>
        <v/>
      </c>
      <c r="AC235">
        <f>HYPERLINK("https://klasma.github.io/Logging_0483/tillsyn/A 37537-2022 tillsynsbegäran.docx", "A 37537-2022")</f>
        <v/>
      </c>
      <c r="AD235">
        <f>HYPERLINK("https://klasma.github.io/Logging_0483/tillsynsmail/A 37537-2022 tillsynsbegäran mail.docx", "A 37537-2022")</f>
        <v/>
      </c>
    </row>
    <row r="236" ht="15" customHeight="1">
      <c r="A236" t="inlineStr">
        <is>
          <t>A 49231-2023</t>
        </is>
      </c>
      <c r="B236" t="inlineStr">
        <is>
          <t>avverkningsanmälan</t>
        </is>
      </c>
      <c r="C236" t="inlineStr">
        <is>
          <t>Föryngringsavverkning</t>
        </is>
      </c>
      <c r="D236" s="1" t="n">
        <v>45210</v>
      </c>
      <c r="E236" s="1" t="n">
        <v>46313</v>
      </c>
      <c r="F236" t="inlineStr">
        <is>
          <t>SÖDERMANLANDS LÄN</t>
        </is>
      </c>
      <c r="G236" t="inlineStr">
        <is>
          <t>NYKÖPING</t>
        </is>
      </c>
      <c r="I236" t="n">
        <v>0.5</v>
      </c>
      <c r="J236" t="n">
        <v>1</v>
      </c>
      <c r="K236" t="n">
        <v>1</v>
      </c>
      <c r="L236" t="n">
        <v>0</v>
      </c>
      <c r="M236" t="n">
        <v>0</v>
      </c>
      <c r="N236" t="n">
        <v>1</v>
      </c>
      <c r="O236" t="n">
        <v>0</v>
      </c>
      <c r="P236" t="n">
        <v>0</v>
      </c>
      <c r="Q236" t="n">
        <v>1</v>
      </c>
      <c r="R236" t="n">
        <v>1</v>
      </c>
      <c r="S236" t="n">
        <v>2</v>
      </c>
      <c r="T236" t="n">
        <v>2</v>
      </c>
      <c r="U236" t="n">
        <v>0</v>
      </c>
      <c r="V236" s="2" t="inlineStr">
        <is>
          <t>Bombmurkla
Blåmossa</t>
        </is>
      </c>
      <c r="W236">
        <f>HYPERLINK("https://klasma.github.io/Logging_0480/artfynd/A 49231-2023 artfynd.xlsx", "A 49231-2023")</f>
        <v/>
      </c>
      <c r="X236">
        <f>HYPERLINK("https://klasma.github.io/Logging_0480/kartor/A 49231-2023 karta.png", "A 49231-2023")</f>
        <v/>
      </c>
      <c r="Y236">
        <f>HYPERLINK("https://klasma.github.io/Logging_0480/kartor_geotiff/A 49231-2023 georefererad karta.tif", "A 49231-2023")</f>
        <v/>
      </c>
      <c r="AA236">
        <f>HYPERLINK("https://klasma.github.io/Logging_0480/klagomål/A 49231-2023 FSC-klagomål.docx", "A 49231-2023")</f>
        <v/>
      </c>
      <c r="AB236">
        <f>HYPERLINK("https://klasma.github.io/Logging_0480/klagomålsmail/A 49231-2023 FSC-klagomål mail.docx", "A 49231-2023")</f>
        <v/>
      </c>
      <c r="AC236">
        <f>HYPERLINK("https://klasma.github.io/Logging_0480/tillsyn/A 49231-2023 tillsynsbegäran.docx", "A 49231-2023")</f>
        <v/>
      </c>
      <c r="AD236">
        <f>HYPERLINK("https://klasma.github.io/Logging_0480/tillsynsmail/A 49231-2023 tillsynsbegäran mail.docx", "A 49231-2023")</f>
        <v/>
      </c>
    </row>
    <row r="237" ht="15" customHeight="1">
      <c r="A237" t="inlineStr">
        <is>
          <t>A 44664-2022</t>
        </is>
      </c>
      <c r="B237" t="inlineStr">
        <is>
          <t>avverkningsanmälan</t>
        </is>
      </c>
      <c r="C237" t="inlineStr">
        <is>
          <t>Föryngringsavverkning</t>
        </is>
      </c>
      <c r="D237" s="1" t="n">
        <v>44840</v>
      </c>
      <c r="E237" s="1" t="n">
        <v>46313</v>
      </c>
      <c r="F237" t="inlineStr">
        <is>
          <t>SÖDERMANLANDS LÄN</t>
        </is>
      </c>
      <c r="G237" t="inlineStr">
        <is>
          <t>ESKILSTUNA</t>
        </is>
      </c>
      <c r="I237" t="n">
        <v>20.8</v>
      </c>
      <c r="J237" t="n">
        <v>1</v>
      </c>
      <c r="K237" t="n">
        <v>1</v>
      </c>
      <c r="L237" t="n">
        <v>0</v>
      </c>
      <c r="M237" t="n">
        <v>1</v>
      </c>
      <c r="N237" t="n">
        <v>0</v>
      </c>
      <c r="O237" t="n">
        <v>0</v>
      </c>
      <c r="P237" t="n">
        <v>0</v>
      </c>
      <c r="Q237" t="n">
        <v>1</v>
      </c>
      <c r="R237" t="n">
        <v>1</v>
      </c>
      <c r="S237" t="n">
        <v>2</v>
      </c>
      <c r="T237" t="n">
        <v>5</v>
      </c>
      <c r="U237" t="n">
        <v>1</v>
      </c>
      <c r="V237" s="2" t="inlineStr">
        <is>
          <t>Knärot
Blåmossa</t>
        </is>
      </c>
      <c r="W237">
        <f>HYPERLINK("https://klasma.github.io/Logging_0484/artfynd/A 44664-2022 artfynd.xlsx", "A 44664-2022")</f>
        <v/>
      </c>
      <c r="X237">
        <f>HYPERLINK("https://klasma.github.io/Logging_0484/kartor/A 44664-2022 karta.png", "A 44664-2022")</f>
        <v/>
      </c>
      <c r="Y237">
        <f>HYPERLINK("https://klasma.github.io/Logging_0484/kartor_geotiff/A 44664-2022 georefererad karta.tif", "A 44664-2022")</f>
        <v/>
      </c>
      <c r="Z237">
        <f>HYPERLINK("https://klasma.github.io/Logging_0484/knärot/A 44664-2022 karta knärot.png", "A 44664-2022")</f>
        <v/>
      </c>
      <c r="AA237">
        <f>HYPERLINK("https://klasma.github.io/Logging_0484/klagomål/A 44664-2022 FSC-klagomål.docx", "A 44664-2022")</f>
        <v/>
      </c>
      <c r="AB237">
        <f>HYPERLINK("https://klasma.github.io/Logging_0484/klagomålsmail/A 44664-2022 FSC-klagomål mail.docx", "A 44664-2022")</f>
        <v/>
      </c>
      <c r="AC237">
        <f>HYPERLINK("https://klasma.github.io/Logging_0484/tillsyn/A 44664-2022 tillsynsbegäran.docx", "A 44664-2022")</f>
        <v/>
      </c>
      <c r="AD237">
        <f>HYPERLINK("https://klasma.github.io/Logging_0484/tillsynsmail/A 44664-2022 tillsynsbegäran mail.docx", "A 44664-2022")</f>
        <v/>
      </c>
    </row>
    <row r="238" ht="15" customHeight="1">
      <c r="A238" t="inlineStr">
        <is>
          <t>A 11736-2024</t>
        </is>
      </c>
      <c r="B238" t="inlineStr">
        <is>
          <t>avverkningsanmälan</t>
        </is>
      </c>
      <c r="C238" t="inlineStr">
        <is>
          <t>Föryngringsavverkning</t>
        </is>
      </c>
      <c r="D238" s="1" t="n">
        <v>45373</v>
      </c>
      <c r="E238" s="1" t="n">
        <v>46313</v>
      </c>
      <c r="F238" t="inlineStr">
        <is>
          <t>SÖDERMANLANDS LÄN</t>
        </is>
      </c>
      <c r="G238" t="inlineStr">
        <is>
          <t>TROSA</t>
        </is>
      </c>
      <c r="I238" t="n">
        <v>8</v>
      </c>
      <c r="J238" t="n">
        <v>2</v>
      </c>
      <c r="K238" t="n">
        <v>1</v>
      </c>
      <c r="L238" t="n">
        <v>1</v>
      </c>
      <c r="M238" t="n">
        <v>0</v>
      </c>
      <c r="N238" t="n">
        <v>0</v>
      </c>
      <c r="O238" t="n">
        <v>0</v>
      </c>
      <c r="P238" t="n">
        <v>0</v>
      </c>
      <c r="Q238" t="n">
        <v>1</v>
      </c>
      <c r="R238" t="n">
        <v>0</v>
      </c>
      <c r="S238" t="n">
        <v>2</v>
      </c>
      <c r="T238" t="n">
        <v>2</v>
      </c>
      <c r="U238" t="n">
        <v>0</v>
      </c>
      <c r="V238" s="2" t="inlineStr">
        <is>
          <t>Enkelbeckasin
Grön sköldmossa</t>
        </is>
      </c>
      <c r="W238">
        <f>HYPERLINK("https://klasma.github.io/Logging_0488/artfynd/A 11736-2024 artfynd.xlsx", "A 11736-2024")</f>
        <v/>
      </c>
      <c r="X238">
        <f>HYPERLINK("https://klasma.github.io/Logging_0488/kartor/A 11736-2024 karta.png", "A 11736-2024")</f>
        <v/>
      </c>
      <c r="Y238">
        <f>HYPERLINK("https://klasma.github.io/Logging_0488/kartor_geotiff/A 11736-2024 georefererad karta.tif", "A 11736-2024")</f>
        <v/>
      </c>
      <c r="AA238">
        <f>HYPERLINK("https://klasma.github.io/Logging_0488/klagomål/A 11736-2024 FSC-klagomål.docx", "A 11736-2024")</f>
        <v/>
      </c>
      <c r="AB238">
        <f>HYPERLINK("https://klasma.github.io/Logging_0488/klagomålsmail/A 11736-2024 FSC-klagomål mail.docx", "A 11736-2024")</f>
        <v/>
      </c>
      <c r="AC238">
        <f>HYPERLINK("https://klasma.github.io/Logging_0488/tillsyn/A 11736-2024 tillsynsbegäran.docx", "A 11736-2024")</f>
        <v/>
      </c>
      <c r="AD238">
        <f>HYPERLINK("https://klasma.github.io/Logging_0488/tillsynsmail/A 11736-2024 tillsynsbegäran mail.docx", "A 11736-2024")</f>
        <v/>
      </c>
      <c r="AE238">
        <f>HYPERLINK("https://klasma.github.io/Logging_0488/fåglar/A 11736-2024 prioriterade fågelarter.docx", "A 11736-2024")</f>
        <v/>
      </c>
    </row>
    <row r="239" ht="15" customHeight="1">
      <c r="A239" t="inlineStr">
        <is>
          <t>A 61987-2022</t>
        </is>
      </c>
      <c r="B239" t="inlineStr">
        <is>
          <t>avverkningsanmälan</t>
        </is>
      </c>
      <c r="C239" t="inlineStr">
        <is>
          <t>Föryngringsavverkning</t>
        </is>
      </c>
      <c r="D239" s="1" t="n">
        <v>44918</v>
      </c>
      <c r="E239" s="1" t="n">
        <v>46313</v>
      </c>
      <c r="F239" t="inlineStr">
        <is>
          <t>SÖDERMANLANDS LÄN</t>
        </is>
      </c>
      <c r="G239" t="inlineStr">
        <is>
          <t>ESKILSTUNA</t>
        </is>
      </c>
      <c r="I239" t="n">
        <v>4.3</v>
      </c>
      <c r="J239" t="n">
        <v>1</v>
      </c>
      <c r="K239" t="n">
        <v>0</v>
      </c>
      <c r="L239" t="n">
        <v>1</v>
      </c>
      <c r="M239" t="n">
        <v>0</v>
      </c>
      <c r="N239" t="n">
        <v>0</v>
      </c>
      <c r="O239" t="n">
        <v>0</v>
      </c>
      <c r="P239" t="n">
        <v>0</v>
      </c>
      <c r="Q239" t="n">
        <v>1</v>
      </c>
      <c r="R239" t="n">
        <v>0</v>
      </c>
      <c r="S239" t="n">
        <v>2</v>
      </c>
      <c r="T239" t="n">
        <v>2</v>
      </c>
      <c r="U239" t="n">
        <v>0</v>
      </c>
      <c r="V239" s="2" t="inlineStr">
        <is>
          <t>Svinrot
Mattlummer</t>
        </is>
      </c>
      <c r="W239">
        <f>HYPERLINK("https://klasma.github.io/Logging_0484/artfynd/A 61987-2022 artfynd.xlsx", "A 61987-2022")</f>
        <v/>
      </c>
      <c r="X239">
        <f>HYPERLINK("https://klasma.github.io/Logging_0484/kartor/A 61987-2022 karta.png", "A 61987-2022")</f>
        <v/>
      </c>
      <c r="Y239">
        <f>HYPERLINK("https://klasma.github.io/Logging_0484/kartor_geotiff/A 61987-2022 georefererad karta.tif", "A 61987-2022")</f>
        <v/>
      </c>
      <c r="AA239">
        <f>HYPERLINK("https://klasma.github.io/Logging_0484/klagomål/A 61987-2022 FSC-klagomål.docx", "A 61987-2022")</f>
        <v/>
      </c>
      <c r="AB239">
        <f>HYPERLINK("https://klasma.github.io/Logging_0484/klagomålsmail/A 61987-2022 FSC-klagomål mail.docx", "A 61987-2022")</f>
        <v/>
      </c>
      <c r="AC239">
        <f>HYPERLINK("https://klasma.github.io/Logging_0484/tillsyn/A 61987-2022 tillsynsbegäran.docx", "A 61987-2022")</f>
        <v/>
      </c>
      <c r="AD239">
        <f>HYPERLINK("https://klasma.github.io/Logging_0484/tillsynsmail/A 61987-2022 tillsynsbegäran mail.docx", "A 61987-2022")</f>
        <v/>
      </c>
    </row>
    <row r="240" ht="15" customHeight="1">
      <c r="A240" t="inlineStr">
        <is>
          <t>A 17362-2024</t>
        </is>
      </c>
      <c r="B240" t="inlineStr">
        <is>
          <t>avverkningsanmälan</t>
        </is>
      </c>
      <c r="C240" t="inlineStr">
        <is>
          <t>Avverkning för att bevara och utveckla /försöksver</t>
        </is>
      </c>
      <c r="D240" s="1" t="n">
        <v>45414</v>
      </c>
      <c r="E240" s="1" t="n">
        <v>46313</v>
      </c>
      <c r="F240" t="inlineStr">
        <is>
          <t>SÖDERMANLANDS LÄN</t>
        </is>
      </c>
      <c r="G240" t="inlineStr">
        <is>
          <t>ESKILSTUNA</t>
        </is>
      </c>
      <c r="H240" t="inlineStr">
        <is>
          <t>Sveaskog</t>
        </is>
      </c>
      <c r="I240" t="n">
        <v>3.4</v>
      </c>
      <c r="J240" t="n">
        <v>0</v>
      </c>
      <c r="K240" t="n">
        <v>1</v>
      </c>
      <c r="L240" t="n">
        <v>1</v>
      </c>
      <c r="M240" t="n">
        <v>0</v>
      </c>
      <c r="N240" t="n">
        <v>0</v>
      </c>
      <c r="O240" t="n">
        <v>0</v>
      </c>
      <c r="P240" t="n">
        <v>0</v>
      </c>
      <c r="Q240" t="n">
        <v>1</v>
      </c>
      <c r="R240" t="n">
        <v>0</v>
      </c>
      <c r="S240" t="n">
        <v>2</v>
      </c>
      <c r="T240" t="n">
        <v>2</v>
      </c>
      <c r="U240" t="n">
        <v>0</v>
      </c>
      <c r="V240" s="2" t="inlineStr">
        <is>
          <t>Gul dropplav
Sotlav</t>
        </is>
      </c>
      <c r="W240">
        <f>HYPERLINK("https://klasma.github.io/Logging_0484/artfynd/A 17362-2024 artfynd.xlsx", "A 17362-2024")</f>
        <v/>
      </c>
      <c r="X240">
        <f>HYPERLINK("https://klasma.github.io/Logging_0484/kartor/A 17362-2024 karta.png", "A 17362-2024")</f>
        <v/>
      </c>
      <c r="Y240">
        <f>HYPERLINK("https://klasma.github.io/Logging_0484/kartor_geotiff/A 17362-2024 georefererad karta.tif", "A 17362-2024")</f>
        <v/>
      </c>
      <c r="AA240">
        <f>HYPERLINK("https://klasma.github.io/Logging_0484/klagomål/A 17362-2024 FSC-klagomål.docx", "A 17362-2024")</f>
        <v/>
      </c>
      <c r="AB240">
        <f>HYPERLINK("https://klasma.github.io/Logging_0484/klagomålsmail/A 17362-2024 FSC-klagomål mail.docx", "A 17362-2024")</f>
        <v/>
      </c>
      <c r="AC240">
        <f>HYPERLINK("https://klasma.github.io/Logging_0484/tillsyn/A 17362-2024 tillsynsbegäran.docx", "A 17362-2024")</f>
        <v/>
      </c>
      <c r="AD240">
        <f>HYPERLINK("https://klasma.github.io/Logging_0484/tillsynsmail/A 17362-2024 tillsynsbegäran mail.docx", "A 17362-2024")</f>
        <v/>
      </c>
    </row>
    <row r="241" ht="15" customHeight="1">
      <c r="A241" t="inlineStr">
        <is>
          <t>A 19494-2024</t>
        </is>
      </c>
      <c r="B241" t="inlineStr">
        <is>
          <t>avverkningsanmälan</t>
        </is>
      </c>
      <c r="C241" t="inlineStr">
        <is>
          <t>Föryngringsavverkning</t>
        </is>
      </c>
      <c r="D241" s="1" t="n">
        <v>45429</v>
      </c>
      <c r="E241" s="1" t="n">
        <v>46313</v>
      </c>
      <c r="F241" t="inlineStr">
        <is>
          <t>SÖDERMANLANDS LÄN</t>
        </is>
      </c>
      <c r="G241" t="inlineStr">
        <is>
          <t>ESKILSTUNA</t>
        </is>
      </c>
      <c r="I241" t="n">
        <v>0.7</v>
      </c>
      <c r="J241" t="n">
        <v>1</v>
      </c>
      <c r="K241" t="n">
        <v>1</v>
      </c>
      <c r="L241" t="n">
        <v>0</v>
      </c>
      <c r="M241" t="n">
        <v>0</v>
      </c>
      <c r="N241" t="n">
        <v>0</v>
      </c>
      <c r="O241" t="n">
        <v>0</v>
      </c>
      <c r="P241" t="n">
        <v>0</v>
      </c>
      <c r="Q241" t="n">
        <v>0</v>
      </c>
      <c r="R241" t="n">
        <v>0</v>
      </c>
      <c r="S241" t="n">
        <v>2</v>
      </c>
      <c r="T241" t="n">
        <v>2</v>
      </c>
      <c r="U241" t="n">
        <v>0</v>
      </c>
      <c r="V241" s="2" t="inlineStr">
        <is>
          <t>Svart trolldruva
Blåsippa</t>
        </is>
      </c>
      <c r="W241">
        <f>HYPERLINK("https://klasma.github.io/Logging_0484/artfynd/A 19494-2024 artfynd.xlsx", "A 19494-2024")</f>
        <v/>
      </c>
      <c r="X241">
        <f>HYPERLINK("https://klasma.github.io/Logging_0484/kartor/A 19494-2024 karta.png", "A 19494-2024")</f>
        <v/>
      </c>
      <c r="Y241">
        <f>HYPERLINK("https://klasma.github.io/Logging_0484/kartor_geotiff/A 19494-2024 georefererad karta.tif", "A 19494-2024")</f>
        <v/>
      </c>
      <c r="AA241">
        <f>HYPERLINK("https://klasma.github.io/Logging_0484/klagomål/A 19494-2024 FSC-klagomål.docx", "A 19494-2024")</f>
        <v/>
      </c>
      <c r="AB241">
        <f>HYPERLINK("https://klasma.github.io/Logging_0484/klagomålsmail/A 19494-2024 FSC-klagomål mail.docx", "A 19494-2024")</f>
        <v/>
      </c>
      <c r="AC241">
        <f>HYPERLINK("https://klasma.github.io/Logging_0484/tillsyn/A 19494-2024 tillsynsbegäran.docx", "A 19494-2024")</f>
        <v/>
      </c>
      <c r="AD241">
        <f>HYPERLINK("https://klasma.github.io/Logging_0484/tillsynsmail/A 19494-2024 tillsynsbegäran mail.docx", "A 19494-2024")</f>
        <v/>
      </c>
    </row>
    <row r="242" ht="15" customHeight="1">
      <c r="A242" t="inlineStr">
        <is>
          <t>A 10977-2024</t>
        </is>
      </c>
      <c r="B242" t="inlineStr">
        <is>
          <t>avverkningsanmälan</t>
        </is>
      </c>
      <c r="C242" t="inlineStr">
        <is>
          <t>Föryngringsavverkning</t>
        </is>
      </c>
      <c r="D242" s="1" t="n">
        <v>45370</v>
      </c>
      <c r="E242" s="1" t="n">
        <v>46313</v>
      </c>
      <c r="F242" t="inlineStr">
        <is>
          <t>SÖDERMANLANDS LÄN</t>
        </is>
      </c>
      <c r="G242" t="inlineStr">
        <is>
          <t>NYKÖPING</t>
        </is>
      </c>
      <c r="H242" t="inlineStr">
        <is>
          <t>Kommuner</t>
        </is>
      </c>
      <c r="I242" t="n">
        <v>3.7</v>
      </c>
      <c r="J242" t="n">
        <v>0</v>
      </c>
      <c r="K242" t="n">
        <v>2</v>
      </c>
      <c r="L242" t="n">
        <v>0</v>
      </c>
      <c r="M242" t="n">
        <v>0</v>
      </c>
      <c r="N242" t="n">
        <v>0</v>
      </c>
      <c r="O242" t="n">
        <v>0</v>
      </c>
      <c r="P242" t="n">
        <v>0</v>
      </c>
      <c r="Q242" t="n">
        <v>0</v>
      </c>
      <c r="R242" t="n">
        <v>0</v>
      </c>
      <c r="S242" t="n">
        <v>2</v>
      </c>
      <c r="T242" t="n">
        <v>2</v>
      </c>
      <c r="U242" t="n">
        <v>0</v>
      </c>
      <c r="V242" s="2" t="inlineStr">
        <is>
          <t>Stor aspticka
Vätteros</t>
        </is>
      </c>
      <c r="W242">
        <f>HYPERLINK("https://klasma.github.io/Logging_0480/artfynd/A 10977-2024 artfynd.xlsx", "A 10977-2024")</f>
        <v/>
      </c>
      <c r="X242">
        <f>HYPERLINK("https://klasma.github.io/Logging_0480/kartor/A 10977-2024 karta.png", "A 10977-2024")</f>
        <v/>
      </c>
      <c r="Y242">
        <f>HYPERLINK("https://klasma.github.io/Logging_0480/kartor_geotiff/A 10977-2024 georefererad karta.tif", "A 10977-2024")</f>
        <v/>
      </c>
      <c r="AA242">
        <f>HYPERLINK("https://klasma.github.io/Logging_0480/klagomål/A 10977-2024 FSC-klagomål.docx", "A 10977-2024")</f>
        <v/>
      </c>
      <c r="AB242">
        <f>HYPERLINK("https://klasma.github.io/Logging_0480/klagomålsmail/A 10977-2024 FSC-klagomål mail.docx", "A 10977-2024")</f>
        <v/>
      </c>
      <c r="AC242">
        <f>HYPERLINK("https://klasma.github.io/Logging_0480/tillsyn/A 10977-2024 tillsynsbegäran.docx", "A 10977-2024")</f>
        <v/>
      </c>
      <c r="AD242">
        <f>HYPERLINK("https://klasma.github.io/Logging_0480/tillsynsmail/A 10977-2024 tillsynsbegäran mail.docx", "A 10977-2024")</f>
        <v/>
      </c>
    </row>
    <row r="243" ht="15" customHeight="1">
      <c r="A243" t="inlineStr">
        <is>
          <t>A 53154-2023</t>
        </is>
      </c>
      <c r="B243" t="inlineStr">
        <is>
          <t>avverkningsanmälan</t>
        </is>
      </c>
      <c r="C243" t="inlineStr">
        <is>
          <t>Föryngringsavverkning</t>
        </is>
      </c>
      <c r="D243" s="1" t="n">
        <v>45229</v>
      </c>
      <c r="E243" s="1" t="n">
        <v>46313</v>
      </c>
      <c r="F243" t="inlineStr">
        <is>
          <t>SÖDERMANLANDS LÄN</t>
        </is>
      </c>
      <c r="G243" t="inlineStr">
        <is>
          <t>KATRINEHOLM</t>
        </is>
      </c>
      <c r="I243" t="n">
        <v>2.1</v>
      </c>
      <c r="J243" t="n">
        <v>1</v>
      </c>
      <c r="K243" t="n">
        <v>0</v>
      </c>
      <c r="L243" t="n">
        <v>0</v>
      </c>
      <c r="M243" t="n">
        <v>0</v>
      </c>
      <c r="N243" t="n">
        <v>1</v>
      </c>
      <c r="O243" t="n">
        <v>0</v>
      </c>
      <c r="P243" t="n">
        <v>0</v>
      </c>
      <c r="Q243" t="n">
        <v>1</v>
      </c>
      <c r="R243" t="n">
        <v>1</v>
      </c>
      <c r="S243" t="n">
        <v>2</v>
      </c>
      <c r="T243" t="n">
        <v>3</v>
      </c>
      <c r="U243" t="n">
        <v>3</v>
      </c>
      <c r="V243" s="2" t="inlineStr">
        <is>
          <t>Ask
Skogsduva</t>
        </is>
      </c>
      <c r="W243">
        <f>HYPERLINK("https://klasma.github.io/Logging_0483/artfynd/A 53154-2023 artfynd.xlsx", "A 53154-2023")</f>
        <v/>
      </c>
      <c r="X243">
        <f>HYPERLINK("https://klasma.github.io/Logging_0483/kartor/A 53154-2023 karta.png", "A 53154-2023")</f>
        <v/>
      </c>
      <c r="Y243">
        <f>HYPERLINK("https://klasma.github.io/Logging_0483/kartor_geotiff/A 53154-2023 georefererad karta.tif", "A 53154-2023")</f>
        <v/>
      </c>
      <c r="AA243">
        <f>HYPERLINK("https://klasma.github.io/Logging_0483/klagomål/A 53154-2023 FSC-klagomål.docx", "A 53154-2023")</f>
        <v/>
      </c>
      <c r="AB243">
        <f>HYPERLINK("https://klasma.github.io/Logging_0483/klagomålsmail/A 53154-2023 FSC-klagomål mail.docx", "A 53154-2023")</f>
        <v/>
      </c>
      <c r="AC243">
        <f>HYPERLINK("https://klasma.github.io/Logging_0483/tillsyn/A 53154-2023 tillsynsbegäran.docx", "A 53154-2023")</f>
        <v/>
      </c>
      <c r="AD243">
        <f>HYPERLINK("https://klasma.github.io/Logging_0483/tillsynsmail/A 53154-2023 tillsynsbegäran mail.docx", "A 53154-2023")</f>
        <v/>
      </c>
    </row>
    <row r="244" ht="15" customHeight="1">
      <c r="A244" t="inlineStr">
        <is>
          <t>A 41435-2022</t>
        </is>
      </c>
      <c r="B244" t="inlineStr">
        <is>
          <t>avverkningsanmälan</t>
        </is>
      </c>
      <c r="C244" t="inlineStr">
        <is>
          <t>Föryngringsavverkning</t>
        </is>
      </c>
      <c r="D244" s="1" t="n">
        <v>44826</v>
      </c>
      <c r="E244" s="1" t="n">
        <v>46313</v>
      </c>
      <c r="F244" t="inlineStr">
        <is>
          <t>SÖDERMANLANDS LÄN</t>
        </is>
      </c>
      <c r="G244" t="inlineStr">
        <is>
          <t>FLEN</t>
        </is>
      </c>
      <c r="I244" t="n">
        <v>1.1</v>
      </c>
      <c r="J244" t="n">
        <v>1</v>
      </c>
      <c r="K244" t="n">
        <v>0</v>
      </c>
      <c r="L244" t="n">
        <v>0</v>
      </c>
      <c r="M244" t="n">
        <v>0</v>
      </c>
      <c r="N244" t="n">
        <v>0</v>
      </c>
      <c r="O244" t="n">
        <v>0</v>
      </c>
      <c r="P244" t="n">
        <v>0</v>
      </c>
      <c r="Q244" t="n">
        <v>0</v>
      </c>
      <c r="R244" t="n">
        <v>0</v>
      </c>
      <c r="S244" t="n">
        <v>2</v>
      </c>
      <c r="T244" t="n">
        <v>2</v>
      </c>
      <c r="U244" t="n">
        <v>2</v>
      </c>
      <c r="V244" s="2" t="inlineStr">
        <is>
          <t>Vitsippa
Gullviva</t>
        </is>
      </c>
      <c r="W244">
        <f>HYPERLINK("https://klasma.github.io/Logging_0482/artfynd/A 41435-2022 artfynd.xlsx", "A 41435-2022")</f>
        <v/>
      </c>
      <c r="X244">
        <f>HYPERLINK("https://klasma.github.io/Logging_0482/kartor/A 41435-2022 karta.png", "A 41435-2022")</f>
        <v/>
      </c>
      <c r="Y244">
        <f>HYPERLINK("https://klasma.github.io/Logging_0482/kartor_geotiff/A 41435-2022 georefererad karta.tif", "A 41435-2022")</f>
        <v/>
      </c>
      <c r="AA244">
        <f>HYPERLINK("https://klasma.github.io/Logging_0482/klagomål/A 41435-2022 FSC-klagomål.docx", "A 41435-2022")</f>
        <v/>
      </c>
      <c r="AB244">
        <f>HYPERLINK("https://klasma.github.io/Logging_0482/klagomålsmail/A 41435-2022 FSC-klagomål mail.docx", "A 41435-2022")</f>
        <v/>
      </c>
      <c r="AC244">
        <f>HYPERLINK("https://klasma.github.io/Logging_0482/tillsyn/A 41435-2022 tillsynsbegäran.docx", "A 41435-2022")</f>
        <v/>
      </c>
      <c r="AD244">
        <f>HYPERLINK("https://klasma.github.io/Logging_0482/tillsynsmail/A 41435-2022 tillsynsbegäran mail.docx", "A 41435-2022")</f>
        <v/>
      </c>
    </row>
    <row r="245" ht="15" customHeight="1">
      <c r="A245" t="inlineStr">
        <is>
          <t>A 52858-2023</t>
        </is>
      </c>
      <c r="B245" t="inlineStr">
        <is>
          <t>avverkningsanmälan</t>
        </is>
      </c>
      <c r="C245" t="inlineStr">
        <is>
          <t>Föryngringsavverkning</t>
        </is>
      </c>
      <c r="D245" s="1" t="n">
        <v>45219</v>
      </c>
      <c r="E245" s="1" t="n">
        <v>46313</v>
      </c>
      <c r="F245" t="inlineStr">
        <is>
          <t>SÖDERMANLANDS LÄN</t>
        </is>
      </c>
      <c r="G245" t="inlineStr">
        <is>
          <t>FLEN</t>
        </is>
      </c>
      <c r="I245" t="n">
        <v>3.6</v>
      </c>
      <c r="J245" t="n">
        <v>1</v>
      </c>
      <c r="K245" t="n">
        <v>0</v>
      </c>
      <c r="L245" t="n">
        <v>2</v>
      </c>
      <c r="M245" t="n">
        <v>0</v>
      </c>
      <c r="N245" t="n">
        <v>0</v>
      </c>
      <c r="O245" t="n">
        <v>0</v>
      </c>
      <c r="P245" t="n">
        <v>0</v>
      </c>
      <c r="Q245" t="n">
        <v>2</v>
      </c>
      <c r="R245" t="n">
        <v>0</v>
      </c>
      <c r="S245" t="n">
        <v>2</v>
      </c>
      <c r="T245" t="n">
        <v>3</v>
      </c>
      <c r="U245" t="n">
        <v>1</v>
      </c>
      <c r="V245" s="2" t="inlineStr">
        <is>
          <t>Mindre hackspett
Tallticka</t>
        </is>
      </c>
      <c r="W245">
        <f>HYPERLINK("https://klasma.github.io/Logging_0482/artfynd/A 52858-2023 artfynd.xlsx", "A 52858-2023")</f>
        <v/>
      </c>
      <c r="X245">
        <f>HYPERLINK("https://klasma.github.io/Logging_0482/kartor/A 52858-2023 karta.png", "A 52858-2023")</f>
        <v/>
      </c>
      <c r="Y245">
        <f>HYPERLINK("https://klasma.github.io/Logging_0482/kartor_geotiff/A 52858-2023 georefererad karta.tif", "A 52858-2023")</f>
        <v/>
      </c>
      <c r="AA245">
        <f>HYPERLINK("https://klasma.github.io/Logging_0482/klagomål/A 52858-2023 FSC-klagomål.docx", "A 52858-2023")</f>
        <v/>
      </c>
      <c r="AB245">
        <f>HYPERLINK("https://klasma.github.io/Logging_0482/klagomålsmail/A 52858-2023 FSC-klagomål mail.docx", "A 52858-2023")</f>
        <v/>
      </c>
      <c r="AC245">
        <f>HYPERLINK("https://klasma.github.io/Logging_0482/tillsyn/A 52858-2023 tillsynsbegäran.docx", "A 52858-2023")</f>
        <v/>
      </c>
      <c r="AD245">
        <f>HYPERLINK("https://klasma.github.io/Logging_0482/tillsynsmail/A 52858-2023 tillsynsbegäran mail.docx", "A 52858-2023")</f>
        <v/>
      </c>
      <c r="AE245">
        <f>HYPERLINK("https://klasma.github.io/Logging_0482/fåglar/A 52858-2023 prioriterade fågelarter.docx", "A 52858-2023")</f>
        <v/>
      </c>
    </row>
    <row r="246" ht="15" customHeight="1">
      <c r="A246" t="inlineStr">
        <is>
          <t>A 60518-2022</t>
        </is>
      </c>
      <c r="B246" t="inlineStr">
        <is>
          <t>avverkningsanmälan</t>
        </is>
      </c>
      <c r="C246" t="inlineStr">
        <is>
          <t>Föryngringsavverkning</t>
        </is>
      </c>
      <c r="D246" s="1" t="n">
        <v>44904</v>
      </c>
      <c r="E246" s="1" t="n">
        <v>46313</v>
      </c>
      <c r="F246" t="inlineStr">
        <is>
          <t>SÖDERMANLANDS LÄN</t>
        </is>
      </c>
      <c r="G246" t="inlineStr">
        <is>
          <t>NYKÖPING</t>
        </is>
      </c>
      <c r="I246" t="n">
        <v>6</v>
      </c>
      <c r="J246" t="n">
        <v>1</v>
      </c>
      <c r="K246" t="n">
        <v>0</v>
      </c>
      <c r="L246" t="n">
        <v>1</v>
      </c>
      <c r="M246" t="n">
        <v>0</v>
      </c>
      <c r="N246" t="n">
        <v>0</v>
      </c>
      <c r="O246" t="n">
        <v>0</v>
      </c>
      <c r="P246" t="n">
        <v>0</v>
      </c>
      <c r="Q246" t="n">
        <v>1</v>
      </c>
      <c r="R246" t="n">
        <v>0</v>
      </c>
      <c r="S246" t="n">
        <v>2</v>
      </c>
      <c r="T246" t="n">
        <v>3</v>
      </c>
      <c r="U246" t="n">
        <v>0</v>
      </c>
      <c r="V246" s="2" t="inlineStr">
        <is>
          <t>Gullklöver
Gullviva</t>
        </is>
      </c>
      <c r="W246">
        <f>HYPERLINK("https://klasma.github.io/Logging_0480/artfynd/A 60518-2022 artfynd.xlsx", "A 60518-2022")</f>
        <v/>
      </c>
      <c r="X246">
        <f>HYPERLINK("https://klasma.github.io/Logging_0480/kartor/A 60518-2022 karta.png", "A 60518-2022")</f>
        <v/>
      </c>
      <c r="Y246">
        <f>HYPERLINK("https://klasma.github.io/Logging_0480/kartor_geotiff/A 60518-2022 georefererad karta.tif", "A 60518-2022")</f>
        <v/>
      </c>
      <c r="AA246">
        <f>HYPERLINK("https://klasma.github.io/Logging_0480/klagomål/A 60518-2022 FSC-klagomål.docx", "A 60518-2022")</f>
        <v/>
      </c>
      <c r="AB246">
        <f>HYPERLINK("https://klasma.github.io/Logging_0480/klagomålsmail/A 60518-2022 FSC-klagomål mail.docx", "A 60518-2022")</f>
        <v/>
      </c>
      <c r="AC246">
        <f>HYPERLINK("https://klasma.github.io/Logging_0480/tillsyn/A 60518-2022 tillsynsbegäran.docx", "A 60518-2022")</f>
        <v/>
      </c>
      <c r="AD246">
        <f>HYPERLINK("https://klasma.github.io/Logging_0480/tillsynsmail/A 60518-2022 tillsynsbegäran mail.docx", "A 60518-2022")</f>
        <v/>
      </c>
    </row>
    <row r="247" ht="15" customHeight="1">
      <c r="A247" t="inlineStr">
        <is>
          <t>A 50215-2022</t>
        </is>
      </c>
      <c r="B247" t="inlineStr">
        <is>
          <t>avverkningsanmälan</t>
        </is>
      </c>
      <c r="C247" t="inlineStr">
        <is>
          <t>Föryngringsavverkning</t>
        </is>
      </c>
      <c r="D247" s="1" t="n">
        <v>44865</v>
      </c>
      <c r="E247" s="1" t="n">
        <v>46313</v>
      </c>
      <c r="F247" t="inlineStr">
        <is>
          <t>SÖDERMANLANDS LÄN</t>
        </is>
      </c>
      <c r="G247" t="inlineStr">
        <is>
          <t>FLEN</t>
        </is>
      </c>
      <c r="H247" t="inlineStr">
        <is>
          <t>Kyrkan</t>
        </is>
      </c>
      <c r="I247" t="n">
        <v>2.2</v>
      </c>
      <c r="J247" t="n">
        <v>2</v>
      </c>
      <c r="K247" t="n">
        <v>0</v>
      </c>
      <c r="L247" t="n">
        <v>0</v>
      </c>
      <c r="M247" t="n">
        <v>1</v>
      </c>
      <c r="N247" t="n">
        <v>0</v>
      </c>
      <c r="O247" t="n">
        <v>0</v>
      </c>
      <c r="P247" t="n">
        <v>0</v>
      </c>
      <c r="Q247" t="n">
        <v>1</v>
      </c>
      <c r="R247" t="n">
        <v>1</v>
      </c>
      <c r="S247" t="n">
        <v>2</v>
      </c>
      <c r="T247" t="n">
        <v>2</v>
      </c>
      <c r="U247" t="n">
        <v>1</v>
      </c>
      <c r="V247" s="2" t="inlineStr">
        <is>
          <t>Knärot
Äkta lopplummer</t>
        </is>
      </c>
      <c r="W247">
        <f>HYPERLINK("https://klasma.github.io/Logging_0482/artfynd/A 50215-2022 artfynd.xlsx", "A 50215-2022")</f>
        <v/>
      </c>
      <c r="X247">
        <f>HYPERLINK("https://klasma.github.io/Logging_0482/kartor/A 50215-2022 karta.png", "A 50215-2022")</f>
        <v/>
      </c>
      <c r="Y247">
        <f>HYPERLINK("https://klasma.github.io/Logging_0482/kartor_geotiff/A 50215-2022 georefererad karta.tif", "A 50215-2022")</f>
        <v/>
      </c>
      <c r="Z247">
        <f>HYPERLINK("https://klasma.github.io/Logging_0482/knärot/A 50215-2022 karta knärot.png", "A 50215-2022")</f>
        <v/>
      </c>
      <c r="AA247">
        <f>HYPERLINK("https://klasma.github.io/Logging_0482/klagomål/A 50215-2022 FSC-klagomål.docx", "A 50215-2022")</f>
        <v/>
      </c>
      <c r="AB247">
        <f>HYPERLINK("https://klasma.github.io/Logging_0482/klagomålsmail/A 50215-2022 FSC-klagomål mail.docx", "A 50215-2022")</f>
        <v/>
      </c>
      <c r="AC247">
        <f>HYPERLINK("https://klasma.github.io/Logging_0482/tillsyn/A 50215-2022 tillsynsbegäran.docx", "A 50215-2022")</f>
        <v/>
      </c>
      <c r="AD247">
        <f>HYPERLINK("https://klasma.github.io/Logging_0482/tillsynsmail/A 50215-2022 tillsynsbegäran mail.docx", "A 50215-2022")</f>
        <v/>
      </c>
    </row>
    <row r="248" ht="15" customHeight="1">
      <c r="A248" t="inlineStr">
        <is>
          <t>A 5857-2024</t>
        </is>
      </c>
      <c r="B248" t="inlineStr">
        <is>
          <t>avverkningsanmälan</t>
        </is>
      </c>
      <c r="C248" t="inlineStr">
        <is>
          <t>Avverkning för annat ändamål</t>
        </is>
      </c>
      <c r="D248" s="1" t="n">
        <v>45335</v>
      </c>
      <c r="E248" s="1" t="n">
        <v>46313</v>
      </c>
      <c r="F248" t="inlineStr">
        <is>
          <t>SÖDERMANLANDS LÄN</t>
        </is>
      </c>
      <c r="G248" t="inlineStr">
        <is>
          <t>NYKÖPING</t>
        </is>
      </c>
      <c r="H248" t="inlineStr">
        <is>
          <t>Sveaskog</t>
        </is>
      </c>
      <c r="I248" t="n">
        <v>1.9</v>
      </c>
      <c r="J248" t="n">
        <v>2</v>
      </c>
      <c r="K248" t="n">
        <v>0</v>
      </c>
      <c r="L248" t="n">
        <v>0</v>
      </c>
      <c r="M248" t="n">
        <v>0</v>
      </c>
      <c r="N248" t="n">
        <v>0</v>
      </c>
      <c r="O248" t="n">
        <v>0</v>
      </c>
      <c r="P248" t="n">
        <v>0</v>
      </c>
      <c r="Q248" t="n">
        <v>0</v>
      </c>
      <c r="R248" t="n">
        <v>0</v>
      </c>
      <c r="S248" t="n">
        <v>2</v>
      </c>
      <c r="T248" t="n">
        <v>2</v>
      </c>
      <c r="U248" t="n">
        <v>1</v>
      </c>
      <c r="V248" s="2" t="inlineStr">
        <is>
          <t>Törnskata
Revlummer</t>
        </is>
      </c>
      <c r="W248">
        <f>HYPERLINK("https://klasma.github.io/Logging_0480/artfynd/A 5857-2024 artfynd.xlsx", "A 5857-2024")</f>
        <v/>
      </c>
      <c r="X248">
        <f>HYPERLINK("https://klasma.github.io/Logging_0480/kartor/A 5857-2024 karta.png", "A 5857-2024")</f>
        <v/>
      </c>
      <c r="Y248">
        <f>HYPERLINK("https://klasma.github.io/Logging_0480/kartor_geotiff/A 5857-2024 georefererad karta.tif", "A 5857-2024")</f>
        <v/>
      </c>
      <c r="AA248">
        <f>HYPERLINK("https://klasma.github.io/Logging_0480/klagomål/A 5857-2024 FSC-klagomål.docx", "A 5857-2024")</f>
        <v/>
      </c>
      <c r="AB248">
        <f>HYPERLINK("https://klasma.github.io/Logging_0480/klagomålsmail/A 5857-2024 FSC-klagomål mail.docx", "A 5857-2024")</f>
        <v/>
      </c>
      <c r="AC248">
        <f>HYPERLINK("https://klasma.github.io/Logging_0480/tillsyn/A 5857-2024 tillsynsbegäran.docx", "A 5857-2024")</f>
        <v/>
      </c>
      <c r="AD248">
        <f>HYPERLINK("https://klasma.github.io/Logging_0480/tillsynsmail/A 5857-2024 tillsynsbegäran mail.docx", "A 5857-2024")</f>
        <v/>
      </c>
      <c r="AE248">
        <f>HYPERLINK("https://klasma.github.io/Logging_0480/fåglar/A 5857-2024 prioriterade fågelarter.docx", "A 5857-2024")</f>
        <v/>
      </c>
    </row>
    <row r="249" ht="15" customHeight="1">
      <c r="A249" t="inlineStr">
        <is>
          <t>A 15452-2024</t>
        </is>
      </c>
      <c r="B249" t="inlineStr">
        <is>
          <t>avverkningsanmälan</t>
        </is>
      </c>
      <c r="C249" t="inlineStr">
        <is>
          <t>Föryngringsavverkning</t>
        </is>
      </c>
      <c r="D249" s="1" t="n">
        <v>45400</v>
      </c>
      <c r="E249" s="1" t="n">
        <v>46313</v>
      </c>
      <c r="F249" t="inlineStr">
        <is>
          <t>SÖDERMANLANDS LÄN</t>
        </is>
      </c>
      <c r="G249" t="inlineStr">
        <is>
          <t>FLEN</t>
        </is>
      </c>
      <c r="I249" t="n">
        <v>3.5</v>
      </c>
      <c r="J249" t="n">
        <v>0</v>
      </c>
      <c r="K249" t="n">
        <v>0</v>
      </c>
      <c r="L249" t="n">
        <v>2</v>
      </c>
      <c r="M249" t="n">
        <v>0</v>
      </c>
      <c r="N249" t="n">
        <v>0</v>
      </c>
      <c r="O249" t="n">
        <v>0</v>
      </c>
      <c r="P249" t="n">
        <v>0</v>
      </c>
      <c r="Q249" t="n">
        <v>2</v>
      </c>
      <c r="R249" t="n">
        <v>0</v>
      </c>
      <c r="S249" t="n">
        <v>2</v>
      </c>
      <c r="T249" t="n">
        <v>2</v>
      </c>
      <c r="U249" t="n">
        <v>2</v>
      </c>
      <c r="V249" s="2" t="inlineStr">
        <is>
          <t>Svinrot
Älg</t>
        </is>
      </c>
      <c r="W249">
        <f>HYPERLINK("https://klasma.github.io/Logging_0482/artfynd/A 15452-2024 artfynd.xlsx", "A 15452-2024")</f>
        <v/>
      </c>
      <c r="X249">
        <f>HYPERLINK("https://klasma.github.io/Logging_0482/kartor/A 15452-2024 karta.png", "A 15452-2024")</f>
        <v/>
      </c>
      <c r="Y249">
        <f>HYPERLINK("https://klasma.github.io/Logging_0482/kartor_geotiff/A 15452-2024 georefererad karta.tif", "A 15452-2024")</f>
        <v/>
      </c>
      <c r="AA249">
        <f>HYPERLINK("https://klasma.github.io/Logging_0482/klagomål/A 15452-2024 FSC-klagomål.docx", "A 15452-2024")</f>
        <v/>
      </c>
      <c r="AB249">
        <f>HYPERLINK("https://klasma.github.io/Logging_0482/klagomålsmail/A 15452-2024 FSC-klagomål mail.docx", "A 15452-2024")</f>
        <v/>
      </c>
      <c r="AC249">
        <f>HYPERLINK("https://klasma.github.io/Logging_0482/tillsyn/A 15452-2024 tillsynsbegäran.docx", "A 15452-2024")</f>
        <v/>
      </c>
      <c r="AD249">
        <f>HYPERLINK("https://klasma.github.io/Logging_0482/tillsynsmail/A 15452-2024 tillsynsbegäran mail.docx", "A 15452-2024")</f>
        <v/>
      </c>
    </row>
    <row r="250" ht="15" customHeight="1">
      <c r="A250" t="inlineStr">
        <is>
          <t>A 35278-2022</t>
        </is>
      </c>
      <c r="B250" t="inlineStr">
        <is>
          <t>avverkningsanmälan</t>
        </is>
      </c>
      <c r="C250" t="inlineStr">
        <is>
          <t>Föryngringsavverkning</t>
        </is>
      </c>
      <c r="D250" s="1" t="n">
        <v>44798</v>
      </c>
      <c r="E250" s="1" t="n">
        <v>46313</v>
      </c>
      <c r="F250" t="inlineStr">
        <is>
          <t>SÖDERMANLANDS LÄN</t>
        </is>
      </c>
      <c r="G250" t="inlineStr">
        <is>
          <t>FLEN</t>
        </is>
      </c>
      <c r="I250" t="n">
        <v>2.3</v>
      </c>
      <c r="J250" t="n">
        <v>1</v>
      </c>
      <c r="K250" t="n">
        <v>0</v>
      </c>
      <c r="L250" t="n">
        <v>0</v>
      </c>
      <c r="M250" t="n">
        <v>1</v>
      </c>
      <c r="N250" t="n">
        <v>0</v>
      </c>
      <c r="O250" t="n">
        <v>0</v>
      </c>
      <c r="P250" t="n">
        <v>0</v>
      </c>
      <c r="Q250" t="n">
        <v>1</v>
      </c>
      <c r="R250" t="n">
        <v>1</v>
      </c>
      <c r="S250" t="n">
        <v>2</v>
      </c>
      <c r="T250" t="n">
        <v>3</v>
      </c>
      <c r="U250" t="n">
        <v>2</v>
      </c>
      <c r="V250" s="2" t="inlineStr">
        <is>
          <t>Igelkott
Grönvit nattviol</t>
        </is>
      </c>
      <c r="W250">
        <f>HYPERLINK("https://klasma.github.io/Logging_0482/artfynd/A 35278-2022 artfynd.xlsx", "A 35278-2022")</f>
        <v/>
      </c>
      <c r="X250">
        <f>HYPERLINK("https://klasma.github.io/Logging_0482/kartor/A 35278-2022 karta.png", "A 35278-2022")</f>
        <v/>
      </c>
      <c r="Y250">
        <f>HYPERLINK("https://klasma.github.io/Logging_0482/kartor_geotiff/A 35278-2022 georefererad karta.tif", "A 35278-2022")</f>
        <v/>
      </c>
      <c r="AA250">
        <f>HYPERLINK("https://klasma.github.io/Logging_0482/klagomål/A 35278-2022 FSC-klagomål.docx", "A 35278-2022")</f>
        <v/>
      </c>
      <c r="AB250">
        <f>HYPERLINK("https://klasma.github.io/Logging_0482/klagomålsmail/A 35278-2022 FSC-klagomål mail.docx", "A 35278-2022")</f>
        <v/>
      </c>
      <c r="AC250">
        <f>HYPERLINK("https://klasma.github.io/Logging_0482/tillsyn/A 35278-2022 tillsynsbegäran.docx", "A 35278-2022")</f>
        <v/>
      </c>
      <c r="AD250">
        <f>HYPERLINK("https://klasma.github.io/Logging_0482/tillsynsmail/A 35278-2022 tillsynsbegäran mail.docx", "A 35278-2022")</f>
        <v/>
      </c>
    </row>
    <row r="251" ht="15" customHeight="1">
      <c r="A251" t="inlineStr">
        <is>
          <t>A 42055-2025</t>
        </is>
      </c>
      <c r="B251" t="inlineStr">
        <is>
          <t>avverkningsanmälan</t>
        </is>
      </c>
      <c r="C251" t="inlineStr">
        <is>
          <t>Föryngringsavverkning</t>
        </is>
      </c>
      <c r="D251" s="1" t="n">
        <v>45903</v>
      </c>
      <c r="E251" s="1" t="n">
        <v>46313</v>
      </c>
      <c r="F251" t="inlineStr">
        <is>
          <t>SÖDERMANLANDS LÄN</t>
        </is>
      </c>
      <c r="G251" t="inlineStr">
        <is>
          <t>KATRINEHOLM</t>
        </is>
      </c>
      <c r="H251" t="inlineStr">
        <is>
          <t>Allmännings- och besparingsskogar</t>
        </is>
      </c>
      <c r="I251" t="n">
        <v>0.8</v>
      </c>
      <c r="J251" t="n">
        <v>1</v>
      </c>
      <c r="K251" t="n">
        <v>1</v>
      </c>
      <c r="L251" t="n">
        <v>0</v>
      </c>
      <c r="M251" t="n">
        <v>0</v>
      </c>
      <c r="N251" t="n">
        <v>0</v>
      </c>
      <c r="O251" t="n">
        <v>0</v>
      </c>
      <c r="P251" t="n">
        <v>0</v>
      </c>
      <c r="Q251" t="n">
        <v>0</v>
      </c>
      <c r="R251" t="n">
        <v>0</v>
      </c>
      <c r="S251" t="n">
        <v>2</v>
      </c>
      <c r="T251" t="n">
        <v>3</v>
      </c>
      <c r="U251" t="n">
        <v>0</v>
      </c>
      <c r="V251" s="2" t="inlineStr">
        <is>
          <t>Björksplintborre
Revlummer</t>
        </is>
      </c>
      <c r="W251">
        <f>HYPERLINK("https://klasma.github.io/Logging_0483/artfynd/A 42055-2025 artfynd.xlsx", "A 42055-2025")</f>
        <v/>
      </c>
      <c r="X251">
        <f>HYPERLINK("https://klasma.github.io/Logging_0483/kartor/A 42055-2025 karta.png", "A 42055-2025")</f>
        <v/>
      </c>
      <c r="Y251">
        <f>HYPERLINK("https://klasma.github.io/Logging_0483/kartor_geotiff/A 42055-2025 georefererad karta.tif", "A 42055-2025")</f>
        <v/>
      </c>
      <c r="AA251">
        <f>HYPERLINK("https://klasma.github.io/Logging_0483/klagomål/A 42055-2025 FSC-klagomål.docx", "A 42055-2025")</f>
        <v/>
      </c>
      <c r="AB251">
        <f>HYPERLINK("https://klasma.github.io/Logging_0483/klagomålsmail/A 42055-2025 FSC-klagomål mail.docx", "A 42055-2025")</f>
        <v/>
      </c>
      <c r="AC251">
        <f>HYPERLINK("https://klasma.github.io/Logging_0483/tillsyn/A 42055-2025 tillsynsbegäran.docx", "A 42055-2025")</f>
        <v/>
      </c>
      <c r="AD251">
        <f>HYPERLINK("https://klasma.github.io/Logging_0483/tillsynsmail/A 42055-2025 tillsynsbegäran mail.docx", "A 42055-2025")</f>
        <v/>
      </c>
    </row>
    <row r="252" ht="15" customHeight="1">
      <c r="A252" t="inlineStr">
        <is>
          <t>A 34985-2025</t>
        </is>
      </c>
      <c r="B252" t="inlineStr">
        <is>
          <t>avverkningsanmälan</t>
        </is>
      </c>
      <c r="C252" t="inlineStr">
        <is>
          <t>Föryngringsavverkning</t>
        </is>
      </c>
      <c r="D252" s="1" t="n">
        <v>45849</v>
      </c>
      <c r="E252" s="1" t="n">
        <v>46313</v>
      </c>
      <c r="F252" t="inlineStr">
        <is>
          <t>SÖDERMANLANDS LÄN</t>
        </is>
      </c>
      <c r="G252" t="inlineStr">
        <is>
          <t>ESKILSTUNA</t>
        </is>
      </c>
      <c r="H252" t="inlineStr">
        <is>
          <t>Allmännings- och besparingsskogar</t>
        </is>
      </c>
      <c r="I252" t="n">
        <v>5.1</v>
      </c>
      <c r="J252" t="n">
        <v>1</v>
      </c>
      <c r="K252" t="n">
        <v>0</v>
      </c>
      <c r="L252" t="n">
        <v>1</v>
      </c>
      <c r="M252" t="n">
        <v>0</v>
      </c>
      <c r="N252" t="n">
        <v>0</v>
      </c>
      <c r="O252" t="n">
        <v>0</v>
      </c>
      <c r="P252" t="n">
        <v>0</v>
      </c>
      <c r="Q252" t="n">
        <v>1</v>
      </c>
      <c r="R252" t="n">
        <v>0</v>
      </c>
      <c r="S252" t="n">
        <v>2</v>
      </c>
      <c r="T252" t="n">
        <v>2</v>
      </c>
      <c r="U252" t="n">
        <v>1</v>
      </c>
      <c r="V252" s="2" t="inlineStr">
        <is>
          <t>Krusfrö
Tjäder</t>
        </is>
      </c>
      <c r="W252">
        <f>HYPERLINK("https://klasma.github.io/Logging_0484/artfynd/A 34985-2025 artfynd.xlsx", "A 34985-2025")</f>
        <v/>
      </c>
      <c r="X252">
        <f>HYPERLINK("https://klasma.github.io/Logging_0484/kartor/A 34985-2025 karta.png", "A 34985-2025")</f>
        <v/>
      </c>
      <c r="Y252">
        <f>HYPERLINK("https://klasma.github.io/Logging_0484/kartor_geotiff/A 34985-2025 georefererad karta.tif", "A 34985-2025")</f>
        <v/>
      </c>
      <c r="AA252">
        <f>HYPERLINK("https://klasma.github.io/Logging_0484/klagomål/A 34985-2025 FSC-klagomål.docx", "A 34985-2025")</f>
        <v/>
      </c>
      <c r="AB252">
        <f>HYPERLINK("https://klasma.github.io/Logging_0484/klagomålsmail/A 34985-2025 FSC-klagomål mail.docx", "A 34985-2025")</f>
        <v/>
      </c>
      <c r="AC252">
        <f>HYPERLINK("https://klasma.github.io/Logging_0484/tillsyn/A 34985-2025 tillsynsbegäran.docx", "A 34985-2025")</f>
        <v/>
      </c>
      <c r="AD252">
        <f>HYPERLINK("https://klasma.github.io/Logging_0484/tillsynsmail/A 34985-2025 tillsynsbegäran mail.docx", "A 34985-2025")</f>
        <v/>
      </c>
      <c r="AE252">
        <f>HYPERLINK("https://klasma.github.io/Logging_0484/fåglar/A 34985-2025 prioriterade fågelarter.docx", "A 34985-2025")</f>
        <v/>
      </c>
    </row>
    <row r="253" ht="15" customHeight="1">
      <c r="A253" t="inlineStr">
        <is>
          <t>A 56791-2022</t>
        </is>
      </c>
      <c r="B253" t="inlineStr">
        <is>
          <t>avverkningsanmälan</t>
        </is>
      </c>
      <c r="C253" t="inlineStr">
        <is>
          <t>Föryngringsavverkning</t>
        </is>
      </c>
      <c r="D253" s="1" t="n">
        <v>44894</v>
      </c>
      <c r="E253" s="1" t="n">
        <v>46313</v>
      </c>
      <c r="F253" t="inlineStr">
        <is>
          <t>SÖDERMANLANDS LÄN</t>
        </is>
      </c>
      <c r="G253" t="inlineStr">
        <is>
          <t>GNESTA</t>
        </is>
      </c>
      <c r="I253" t="n">
        <v>3</v>
      </c>
      <c r="J253" t="n">
        <v>0</v>
      </c>
      <c r="K253" t="n">
        <v>1</v>
      </c>
      <c r="L253" t="n">
        <v>1</v>
      </c>
      <c r="M253" t="n">
        <v>0</v>
      </c>
      <c r="N253" t="n">
        <v>0</v>
      </c>
      <c r="O253" t="n">
        <v>0</v>
      </c>
      <c r="P253" t="n">
        <v>0</v>
      </c>
      <c r="Q253" t="n">
        <v>1</v>
      </c>
      <c r="R253" t="n">
        <v>0</v>
      </c>
      <c r="S253" t="n">
        <v>2</v>
      </c>
      <c r="T253" t="n">
        <v>2</v>
      </c>
      <c r="U253" t="n">
        <v>0</v>
      </c>
      <c r="V253" s="2" t="inlineStr">
        <is>
          <t>Vedtrappmossa
Svavelriska</t>
        </is>
      </c>
      <c r="W253">
        <f>HYPERLINK("https://klasma.github.io/Logging_0461/artfynd/A 56791-2022 artfynd.xlsx", "A 56791-2022")</f>
        <v/>
      </c>
      <c r="X253">
        <f>HYPERLINK("https://klasma.github.io/Logging_0461/kartor/A 56791-2022 karta.png", "A 56791-2022")</f>
        <v/>
      </c>
      <c r="Y253">
        <f>HYPERLINK("https://klasma.github.io/Logging_0461/kartor_geotiff/A 56791-2022 georefererad karta.tif", "A 56791-2022")</f>
        <v/>
      </c>
      <c r="AA253">
        <f>HYPERLINK("https://klasma.github.io/Logging_0461/klagomål/A 56791-2022 FSC-klagomål.docx", "A 56791-2022")</f>
        <v/>
      </c>
      <c r="AB253">
        <f>HYPERLINK("https://klasma.github.io/Logging_0461/klagomålsmail/A 56791-2022 FSC-klagomål mail.docx", "A 56791-2022")</f>
        <v/>
      </c>
      <c r="AC253">
        <f>HYPERLINK("https://klasma.github.io/Logging_0461/tillsyn/A 56791-2022 tillsynsbegäran.docx", "A 56791-2022")</f>
        <v/>
      </c>
      <c r="AD253">
        <f>HYPERLINK("https://klasma.github.io/Logging_0461/tillsynsmail/A 56791-2022 tillsynsbegäran mail.docx", "A 56791-2022")</f>
        <v/>
      </c>
    </row>
    <row r="254" ht="15" customHeight="1">
      <c r="A254" t="inlineStr">
        <is>
          <t>A 7506-2023</t>
        </is>
      </c>
      <c r="B254" t="inlineStr">
        <is>
          <t>avverkningsanmälan</t>
        </is>
      </c>
      <c r="C254" t="inlineStr">
        <is>
          <t>Föryngringsavverkning</t>
        </is>
      </c>
      <c r="D254" s="1" t="n">
        <v>44971</v>
      </c>
      <c r="E254" s="1" t="n">
        <v>46313</v>
      </c>
      <c r="F254" t="inlineStr">
        <is>
          <t>SÖDERMANLANDS LÄN</t>
        </is>
      </c>
      <c r="G254" t="inlineStr">
        <is>
          <t>FLEN</t>
        </is>
      </c>
      <c r="I254" t="n">
        <v>3.3</v>
      </c>
      <c r="J254" t="n">
        <v>0</v>
      </c>
      <c r="K254" t="n">
        <v>0</v>
      </c>
      <c r="L254" t="n">
        <v>2</v>
      </c>
      <c r="M254" t="n">
        <v>0</v>
      </c>
      <c r="N254" t="n">
        <v>0</v>
      </c>
      <c r="O254" t="n">
        <v>0</v>
      </c>
      <c r="P254" t="n">
        <v>0</v>
      </c>
      <c r="Q254" t="n">
        <v>2</v>
      </c>
      <c r="R254" t="n">
        <v>0</v>
      </c>
      <c r="S254" t="n">
        <v>2</v>
      </c>
      <c r="T254" t="n">
        <v>2</v>
      </c>
      <c r="U254" t="n">
        <v>0</v>
      </c>
      <c r="V254" s="2" t="inlineStr">
        <is>
          <t>Slåtterfibbla
Svinrot</t>
        </is>
      </c>
      <c r="W254">
        <f>HYPERLINK("https://klasma.github.io/Logging_0482/artfynd/A 7506-2023 artfynd.xlsx", "A 7506-2023")</f>
        <v/>
      </c>
      <c r="X254">
        <f>HYPERLINK("https://klasma.github.io/Logging_0482/kartor/A 7506-2023 karta.png", "A 7506-2023")</f>
        <v/>
      </c>
      <c r="Y254">
        <f>HYPERLINK("https://klasma.github.io/Logging_0482/kartor_geotiff/A 7506-2023 georefererad karta.tif", "A 7506-2023")</f>
        <v/>
      </c>
      <c r="AA254">
        <f>HYPERLINK("https://klasma.github.io/Logging_0482/klagomål/A 7506-2023 FSC-klagomål.docx", "A 7506-2023")</f>
        <v/>
      </c>
      <c r="AB254">
        <f>HYPERLINK("https://klasma.github.io/Logging_0482/klagomålsmail/A 7506-2023 FSC-klagomål mail.docx", "A 7506-2023")</f>
        <v/>
      </c>
      <c r="AC254">
        <f>HYPERLINK("https://klasma.github.io/Logging_0482/tillsyn/A 7506-2023 tillsynsbegäran.docx", "A 7506-2023")</f>
        <v/>
      </c>
      <c r="AD254">
        <f>HYPERLINK("https://klasma.github.io/Logging_0482/tillsynsmail/A 7506-2023 tillsynsbegäran mail.docx", "A 7506-2023")</f>
        <v/>
      </c>
    </row>
    <row r="255" ht="15" customHeight="1">
      <c r="A255" t="inlineStr">
        <is>
          <t>A 22577-2026</t>
        </is>
      </c>
      <c r="B255" t="inlineStr">
        <is>
          <t>avverkningsanmälan</t>
        </is>
      </c>
      <c r="C255" t="inlineStr">
        <is>
          <t>Föryngringsavverkning</t>
        </is>
      </c>
      <c r="D255" s="1" t="n">
        <v>46155</v>
      </c>
      <c r="E255" s="1" t="n">
        <v>46313</v>
      </c>
      <c r="F255" t="inlineStr">
        <is>
          <t>SÖDERMANLANDS LÄN</t>
        </is>
      </c>
      <c r="G255" t="inlineStr">
        <is>
          <t>STRÄNGNÄS</t>
        </is>
      </c>
      <c r="I255" t="n">
        <v>5.8</v>
      </c>
      <c r="J255" t="n">
        <v>2</v>
      </c>
      <c r="K255" t="n">
        <v>0</v>
      </c>
      <c r="L255" t="n">
        <v>1</v>
      </c>
      <c r="M255" t="n">
        <v>0</v>
      </c>
      <c r="N255" t="n">
        <v>0</v>
      </c>
      <c r="O255" t="n">
        <v>0</v>
      </c>
      <c r="P255" t="n">
        <v>0</v>
      </c>
      <c r="Q255" t="n">
        <v>1</v>
      </c>
      <c r="R255" t="n">
        <v>0</v>
      </c>
      <c r="S255" t="n">
        <v>2</v>
      </c>
      <c r="T255" t="n">
        <v>2</v>
      </c>
      <c r="U255" t="n">
        <v>0</v>
      </c>
      <c r="V255" s="2" t="inlineStr">
        <is>
          <t>Rördrom
Trana</t>
        </is>
      </c>
      <c r="W255">
        <f>HYPERLINK("https://klasma.github.io/Logging_0486/artfynd/A 22577-2026 artfynd.xlsx", "A 22577-2026")</f>
        <v/>
      </c>
      <c r="X255">
        <f>HYPERLINK("https://klasma.github.io/Logging_0486/kartor/A 22577-2026 karta.png", "A 22577-2026")</f>
        <v/>
      </c>
      <c r="Y255">
        <f>HYPERLINK("https://klasma.github.io/Logging_0486/kartor_geotiff/A 22577-2026 georefererad karta.tif", "A 22577-2026")</f>
        <v/>
      </c>
      <c r="AA255">
        <f>HYPERLINK("https://klasma.github.io/Logging_0486/klagomål/A 22577-2026 FSC-klagomål.docx", "A 22577-2026")</f>
        <v/>
      </c>
      <c r="AB255">
        <f>HYPERLINK("https://klasma.github.io/Logging_0486/klagomålsmail/A 22577-2026 FSC-klagomål mail.docx", "A 22577-2026")</f>
        <v/>
      </c>
      <c r="AC255">
        <f>HYPERLINK("https://klasma.github.io/Logging_0486/tillsyn/A 22577-2026 tillsynsbegäran.docx", "A 22577-2026")</f>
        <v/>
      </c>
      <c r="AD255">
        <f>HYPERLINK("https://klasma.github.io/Logging_0486/tillsynsmail/A 22577-2026 tillsynsbegäran mail.docx", "A 22577-2026")</f>
        <v/>
      </c>
      <c r="AE255">
        <f>HYPERLINK("https://klasma.github.io/Logging_0486/fåglar/A 22577-2026 prioriterade fågelarter.docx", "A 22577-2026")</f>
        <v/>
      </c>
    </row>
    <row r="256" ht="15" customHeight="1">
      <c r="A256" t="inlineStr">
        <is>
          <t>A 60460-2022</t>
        </is>
      </c>
      <c r="B256" t="inlineStr">
        <is>
          <t>avverkningsanmälan</t>
        </is>
      </c>
      <c r="C256" t="inlineStr">
        <is>
          <t>Avverkning för att bevara och utveckla /försöksver</t>
        </is>
      </c>
      <c r="D256" s="1" t="n">
        <v>44911</v>
      </c>
      <c r="E256" s="1" t="n">
        <v>46313</v>
      </c>
      <c r="F256" t="inlineStr">
        <is>
          <t>SÖDERMANLANDS LÄN</t>
        </is>
      </c>
      <c r="G256" t="inlineStr">
        <is>
          <t>NYKÖPING</t>
        </is>
      </c>
      <c r="H256" t="inlineStr">
        <is>
          <t>Holmen skog AB</t>
        </is>
      </c>
      <c r="I256" t="n">
        <v>1.7</v>
      </c>
      <c r="J256" t="n">
        <v>1</v>
      </c>
      <c r="K256" t="n">
        <v>1</v>
      </c>
      <c r="L256" t="n">
        <v>0</v>
      </c>
      <c r="M256" t="n">
        <v>0</v>
      </c>
      <c r="N256" t="n">
        <v>0</v>
      </c>
      <c r="O256" t="n">
        <v>0</v>
      </c>
      <c r="P256" t="n">
        <v>0</v>
      </c>
      <c r="Q256" t="n">
        <v>0</v>
      </c>
      <c r="R256" t="n">
        <v>0</v>
      </c>
      <c r="S256" t="n">
        <v>2</v>
      </c>
      <c r="T256" t="n">
        <v>3</v>
      </c>
      <c r="U256" t="n">
        <v>3</v>
      </c>
      <c r="V256" s="2" t="inlineStr">
        <is>
          <t>Barkticka
Blåsippa</t>
        </is>
      </c>
      <c r="W256">
        <f>HYPERLINK("https://klasma.github.io/Logging_0480/artfynd/A 60460-2022 artfynd.xlsx", "A 60460-2022")</f>
        <v/>
      </c>
      <c r="X256">
        <f>HYPERLINK("https://klasma.github.io/Logging_0480/kartor/A 60460-2022 karta.png", "A 60460-2022")</f>
        <v/>
      </c>
      <c r="Y256">
        <f>HYPERLINK("https://klasma.github.io/Logging_0480/kartor_geotiff/A 60460-2022 georefererad karta.tif", "A 60460-2022")</f>
        <v/>
      </c>
      <c r="AA256">
        <f>HYPERLINK("https://klasma.github.io/Logging_0480/klagomål/A 60460-2022 FSC-klagomål.docx", "A 60460-2022")</f>
        <v/>
      </c>
      <c r="AB256">
        <f>HYPERLINK("https://klasma.github.io/Logging_0480/klagomålsmail/A 60460-2022 FSC-klagomål mail.docx", "A 60460-2022")</f>
        <v/>
      </c>
      <c r="AC256">
        <f>HYPERLINK("https://klasma.github.io/Logging_0480/tillsyn/A 60460-2022 tillsynsbegäran.docx", "A 60460-2022")</f>
        <v/>
      </c>
      <c r="AD256">
        <f>HYPERLINK("https://klasma.github.io/Logging_0480/tillsynsmail/A 60460-2022 tillsynsbegäran mail.docx", "A 60460-2022")</f>
        <v/>
      </c>
    </row>
    <row r="257" ht="15" customHeight="1">
      <c r="A257" t="inlineStr">
        <is>
          <t>A 22760-2026</t>
        </is>
      </c>
      <c r="B257" t="inlineStr">
        <is>
          <t>avverkningsanmälan</t>
        </is>
      </c>
      <c r="C257" t="inlineStr">
        <is>
          <t>Föryngringsavverkning</t>
        </is>
      </c>
      <c r="D257" s="1" t="n">
        <v>46157</v>
      </c>
      <c r="E257" s="1" t="n">
        <v>46313</v>
      </c>
      <c r="F257" t="inlineStr">
        <is>
          <t>SÖDERMANLANDS LÄN</t>
        </is>
      </c>
      <c r="G257" t="inlineStr">
        <is>
          <t>ESKILSTUNA</t>
        </is>
      </c>
      <c r="I257" t="n">
        <v>4.4</v>
      </c>
      <c r="J257" t="n">
        <v>0</v>
      </c>
      <c r="K257" t="n">
        <v>0</v>
      </c>
      <c r="L257" t="n">
        <v>2</v>
      </c>
      <c r="M257" t="n">
        <v>0</v>
      </c>
      <c r="N257" t="n">
        <v>0</v>
      </c>
      <c r="O257" t="n">
        <v>0</v>
      </c>
      <c r="P257" t="n">
        <v>0</v>
      </c>
      <c r="Q257" t="n">
        <v>2</v>
      </c>
      <c r="R257" t="n">
        <v>0</v>
      </c>
      <c r="S257" t="n">
        <v>2</v>
      </c>
      <c r="T257" t="n">
        <v>2</v>
      </c>
      <c r="U257" t="n">
        <v>0</v>
      </c>
      <c r="V257" s="2" t="inlineStr">
        <is>
          <t>Jungfrulin
Solvända</t>
        </is>
      </c>
      <c r="W257">
        <f>HYPERLINK("https://klasma.github.io/Logging_0484/artfynd/A 22760-2026 artfynd.xlsx", "A 22760-2026")</f>
        <v/>
      </c>
      <c r="X257">
        <f>HYPERLINK("https://klasma.github.io/Logging_0484/kartor/A 22760-2026 karta.png", "A 22760-2026")</f>
        <v/>
      </c>
      <c r="Y257">
        <f>HYPERLINK("https://klasma.github.io/Logging_0484/kartor_geotiff/A 22760-2026 georefererad karta.tif", "A 22760-2026")</f>
        <v/>
      </c>
      <c r="AA257">
        <f>HYPERLINK("https://klasma.github.io/Logging_0484/klagomål/A 22760-2026 FSC-klagomål.docx", "A 22760-2026")</f>
        <v/>
      </c>
      <c r="AB257">
        <f>HYPERLINK("https://klasma.github.io/Logging_0484/klagomålsmail/A 22760-2026 FSC-klagomål mail.docx", "A 22760-2026")</f>
        <v/>
      </c>
      <c r="AC257">
        <f>HYPERLINK("https://klasma.github.io/Logging_0484/tillsyn/A 22760-2026 tillsynsbegäran.docx", "A 22760-2026")</f>
        <v/>
      </c>
      <c r="AD257">
        <f>HYPERLINK("https://klasma.github.io/Logging_0484/tillsynsmail/A 22760-2026 tillsynsbegäran mail.docx", "A 22760-2026")</f>
        <v/>
      </c>
    </row>
    <row r="258" ht="15" customHeight="1">
      <c r="A258" t="inlineStr">
        <is>
          <t>A 32744-2025</t>
        </is>
      </c>
      <c r="B258" t="inlineStr">
        <is>
          <t>avverkningsanmälan</t>
        </is>
      </c>
      <c r="C258" t="inlineStr">
        <is>
          <t>Avverkning för annat ändamål</t>
        </is>
      </c>
      <c r="D258" s="1" t="n">
        <v>45838</v>
      </c>
      <c r="E258" s="1" t="n">
        <v>46313</v>
      </c>
      <c r="F258" t="inlineStr">
        <is>
          <t>SÖDERMANLANDS LÄN</t>
        </is>
      </c>
      <c r="G258" t="inlineStr">
        <is>
          <t>FLEN</t>
        </is>
      </c>
      <c r="I258" t="n">
        <v>1.8</v>
      </c>
      <c r="J258" t="n">
        <v>0</v>
      </c>
      <c r="K258" t="n">
        <v>0</v>
      </c>
      <c r="L258" t="n">
        <v>2</v>
      </c>
      <c r="M258" t="n">
        <v>0</v>
      </c>
      <c r="N258" t="n">
        <v>0</v>
      </c>
      <c r="O258" t="n">
        <v>0</v>
      </c>
      <c r="P258" t="n">
        <v>0</v>
      </c>
      <c r="Q258" t="n">
        <v>2</v>
      </c>
      <c r="R258" t="n">
        <v>0</v>
      </c>
      <c r="S258" t="n">
        <v>2</v>
      </c>
      <c r="T258" t="n">
        <v>2</v>
      </c>
      <c r="U258" t="n">
        <v>0</v>
      </c>
      <c r="V258" s="2" t="inlineStr">
        <is>
          <t>Ekticka
Klasefibbla</t>
        </is>
      </c>
      <c r="W258">
        <f>HYPERLINK("https://klasma.github.io/Logging_0482/artfynd/A 32744-2025 artfynd.xlsx", "A 32744-2025")</f>
        <v/>
      </c>
      <c r="X258">
        <f>HYPERLINK("https://klasma.github.io/Logging_0482/kartor/A 32744-2025 karta.png", "A 32744-2025")</f>
        <v/>
      </c>
      <c r="Y258">
        <f>HYPERLINK("https://klasma.github.io/Logging_0482/kartor_geotiff/A 32744-2025 georefererad karta.tif", "A 32744-2025")</f>
        <v/>
      </c>
      <c r="AA258">
        <f>HYPERLINK("https://klasma.github.io/Logging_0482/klagomål/A 32744-2025 FSC-klagomål.docx", "A 32744-2025")</f>
        <v/>
      </c>
      <c r="AB258">
        <f>HYPERLINK("https://klasma.github.io/Logging_0482/klagomålsmail/A 32744-2025 FSC-klagomål mail.docx", "A 32744-2025")</f>
        <v/>
      </c>
      <c r="AC258">
        <f>HYPERLINK("https://klasma.github.io/Logging_0482/tillsyn/A 32744-2025 tillsynsbegäran.docx", "A 32744-2025")</f>
        <v/>
      </c>
      <c r="AD258">
        <f>HYPERLINK("https://klasma.github.io/Logging_0482/tillsynsmail/A 32744-2025 tillsynsbegäran mail.docx", "A 32744-2025")</f>
        <v/>
      </c>
    </row>
    <row r="259" ht="15" customHeight="1">
      <c r="A259" t="inlineStr">
        <is>
          <t>A 10841-2026</t>
        </is>
      </c>
      <c r="B259" t="inlineStr">
        <is>
          <t>avverkningsanmälan</t>
        </is>
      </c>
      <c r="C259" t="inlineStr">
        <is>
          <t>Föryngringsavverkning</t>
        </is>
      </c>
      <c r="D259" s="1" t="n">
        <v>46078</v>
      </c>
      <c r="E259" s="1" t="n">
        <v>46313</v>
      </c>
      <c r="F259" t="inlineStr">
        <is>
          <t>SÖDERMANLANDS LÄN</t>
        </is>
      </c>
      <c r="G259" t="inlineStr">
        <is>
          <t>STRÄNGNÄS</t>
        </is>
      </c>
      <c r="H259" t="inlineStr">
        <is>
          <t>Övriga Aktiebolag</t>
        </is>
      </c>
      <c r="I259" t="n">
        <v>11.5</v>
      </c>
      <c r="J259" t="n">
        <v>2</v>
      </c>
      <c r="K259" t="n">
        <v>0</v>
      </c>
      <c r="L259" t="n">
        <v>0</v>
      </c>
      <c r="M259" t="n">
        <v>0</v>
      </c>
      <c r="N259" t="n">
        <v>0</v>
      </c>
      <c r="O259" t="n">
        <v>0</v>
      </c>
      <c r="P259" t="n">
        <v>0</v>
      </c>
      <c r="Q259" t="n">
        <v>0</v>
      </c>
      <c r="R259" t="n">
        <v>0</v>
      </c>
      <c r="S259" t="n">
        <v>2</v>
      </c>
      <c r="T259" t="n">
        <v>2</v>
      </c>
      <c r="U259" t="n">
        <v>0</v>
      </c>
      <c r="V259" s="2" t="inlineStr">
        <is>
          <t>Grönvit nattviol
Nattviol</t>
        </is>
      </c>
      <c r="W259">
        <f>HYPERLINK("https://klasma.github.io/Logging_0486/artfynd/A 10841-2026 artfynd.xlsx", "A 10841-2026")</f>
        <v/>
      </c>
      <c r="X259">
        <f>HYPERLINK("https://klasma.github.io/Logging_0486/kartor/A 10841-2026 karta.png", "A 10841-2026")</f>
        <v/>
      </c>
      <c r="Y259">
        <f>HYPERLINK("https://klasma.github.io/Logging_0486/kartor_geotiff/A 10841-2026 georefererad karta.tif", "A 10841-2026")</f>
        <v/>
      </c>
      <c r="AA259">
        <f>HYPERLINK("https://klasma.github.io/Logging_0486/klagomål/A 10841-2026 FSC-klagomål.docx", "A 10841-2026")</f>
        <v/>
      </c>
      <c r="AB259">
        <f>HYPERLINK("https://klasma.github.io/Logging_0486/klagomålsmail/A 10841-2026 FSC-klagomål mail.docx", "A 10841-2026")</f>
        <v/>
      </c>
      <c r="AC259">
        <f>HYPERLINK("https://klasma.github.io/Logging_0486/tillsyn/A 10841-2026 tillsynsbegäran.docx", "A 10841-2026")</f>
        <v/>
      </c>
      <c r="AD259">
        <f>HYPERLINK("https://klasma.github.io/Logging_0486/tillsynsmail/A 10841-2026 tillsynsbegäran mail.docx", "A 10841-2026")</f>
        <v/>
      </c>
    </row>
    <row r="260" ht="15" customHeight="1">
      <c r="A260" t="inlineStr">
        <is>
          <t>A 23804-2026</t>
        </is>
      </c>
      <c r="B260" t="inlineStr">
        <is>
          <t>avverkningsanmälan</t>
        </is>
      </c>
      <c r="C260" t="inlineStr">
        <is>
          <t>Föryngringsavverkning</t>
        </is>
      </c>
      <c r="D260" s="1" t="n">
        <v>46164</v>
      </c>
      <c r="E260" s="1" t="n">
        <v>46313</v>
      </c>
      <c r="F260" t="inlineStr">
        <is>
          <t>SÖDERMANLANDS LÄN</t>
        </is>
      </c>
      <c r="G260" t="inlineStr">
        <is>
          <t>KATRINEHOLM</t>
        </is>
      </c>
      <c r="I260" t="n">
        <v>4.6</v>
      </c>
      <c r="J260" t="n">
        <v>1</v>
      </c>
      <c r="K260" t="n">
        <v>0</v>
      </c>
      <c r="L260" t="n">
        <v>1</v>
      </c>
      <c r="M260" t="n">
        <v>0</v>
      </c>
      <c r="N260" t="n">
        <v>0</v>
      </c>
      <c r="O260" t="n">
        <v>0</v>
      </c>
      <c r="P260" t="n">
        <v>0</v>
      </c>
      <c r="Q260" t="n">
        <v>1</v>
      </c>
      <c r="R260" t="n">
        <v>0</v>
      </c>
      <c r="S260" t="n">
        <v>2</v>
      </c>
      <c r="T260" t="n">
        <v>2</v>
      </c>
      <c r="U260" t="n">
        <v>0</v>
      </c>
      <c r="V260" s="2" t="inlineStr">
        <is>
          <t>Tallticka
Revlummer</t>
        </is>
      </c>
      <c r="W260">
        <f>HYPERLINK("https://klasma.github.io/Logging_0483/artfynd/A 23804-2026 artfynd.xlsx", "A 23804-2026")</f>
        <v/>
      </c>
      <c r="X260">
        <f>HYPERLINK("https://klasma.github.io/Logging_0483/kartor/A 23804-2026 karta.png", "A 23804-2026")</f>
        <v/>
      </c>
      <c r="Y260">
        <f>HYPERLINK("https://klasma.github.io/Logging_0483/kartor_geotiff/A 23804-2026 georefererad karta.tif", "A 23804-2026")</f>
        <v/>
      </c>
      <c r="AA260">
        <f>HYPERLINK("https://klasma.github.io/Logging_0483/klagomål/A 23804-2026 FSC-klagomål.docx", "A 23804-2026")</f>
        <v/>
      </c>
      <c r="AB260">
        <f>HYPERLINK("https://klasma.github.io/Logging_0483/klagomålsmail/A 23804-2026 FSC-klagomål mail.docx", "A 23804-2026")</f>
        <v/>
      </c>
      <c r="AC260">
        <f>HYPERLINK("https://klasma.github.io/Logging_0483/tillsyn/A 23804-2026 tillsynsbegäran.docx", "A 23804-2026")</f>
        <v/>
      </c>
      <c r="AD260">
        <f>HYPERLINK("https://klasma.github.io/Logging_0483/tillsynsmail/A 23804-2026 tillsynsbegäran mail.docx", "A 23804-2026")</f>
        <v/>
      </c>
    </row>
    <row r="261" ht="15" customHeight="1">
      <c r="A261" t="inlineStr">
        <is>
          <t>A 58167-2025</t>
        </is>
      </c>
      <c r="B261" t="inlineStr">
        <is>
          <t>avverkningsanmälan</t>
        </is>
      </c>
      <c r="C261" t="inlineStr">
        <is>
          <t>Föryngringsavverkning</t>
        </is>
      </c>
      <c r="D261" s="1" t="n">
        <v>45982</v>
      </c>
      <c r="E261" s="1" t="n">
        <v>46313</v>
      </c>
      <c r="F261" t="inlineStr">
        <is>
          <t>SÖDERMANLANDS LÄN</t>
        </is>
      </c>
      <c r="G261" t="inlineStr">
        <is>
          <t>NYKÖPING</t>
        </is>
      </c>
      <c r="H261" t="inlineStr">
        <is>
          <t>Holmen skog AB</t>
        </is>
      </c>
      <c r="I261" t="n">
        <v>2.8</v>
      </c>
      <c r="J261" t="n">
        <v>1</v>
      </c>
      <c r="K261" t="n">
        <v>1</v>
      </c>
      <c r="L261" t="n">
        <v>0</v>
      </c>
      <c r="M261" t="n">
        <v>0</v>
      </c>
      <c r="N261" t="n">
        <v>0</v>
      </c>
      <c r="O261" t="n">
        <v>0</v>
      </c>
      <c r="P261" t="n">
        <v>0</v>
      </c>
      <c r="Q261" t="n">
        <v>0</v>
      </c>
      <c r="R261" t="n">
        <v>0</v>
      </c>
      <c r="S261" t="n">
        <v>2</v>
      </c>
      <c r="T261" t="n">
        <v>2</v>
      </c>
      <c r="U261" t="n">
        <v>0</v>
      </c>
      <c r="V261" s="2" t="inlineStr">
        <is>
          <t>Grönpyrola
Mattlummer</t>
        </is>
      </c>
      <c r="W261">
        <f>HYPERLINK("https://klasma.github.io/Logging_0480/artfynd/A 58167-2025 artfynd.xlsx", "A 58167-2025")</f>
        <v/>
      </c>
      <c r="X261">
        <f>HYPERLINK("https://klasma.github.io/Logging_0480/kartor/A 58167-2025 karta.png", "A 58167-2025")</f>
        <v/>
      </c>
      <c r="Y261">
        <f>HYPERLINK("https://klasma.github.io/Logging_0480/kartor_geotiff/A 58167-2025 georefererad karta.tif", "A 58167-2025")</f>
        <v/>
      </c>
      <c r="AA261">
        <f>HYPERLINK("https://klasma.github.io/Logging_0480/klagomål/A 58167-2025 FSC-klagomål.docx", "A 58167-2025")</f>
        <v/>
      </c>
      <c r="AB261">
        <f>HYPERLINK("https://klasma.github.io/Logging_0480/klagomålsmail/A 58167-2025 FSC-klagomål mail.docx", "A 58167-2025")</f>
        <v/>
      </c>
      <c r="AC261">
        <f>HYPERLINK("https://klasma.github.io/Logging_0480/tillsyn/A 58167-2025 tillsynsbegäran.docx", "A 58167-2025")</f>
        <v/>
      </c>
      <c r="AD261">
        <f>HYPERLINK("https://klasma.github.io/Logging_0480/tillsynsmail/A 58167-2025 tillsynsbegäran mail.docx", "A 58167-2025")</f>
        <v/>
      </c>
    </row>
    <row r="262" ht="15" customHeight="1">
      <c r="A262" t="inlineStr">
        <is>
          <t>A 51481-2024</t>
        </is>
      </c>
      <c r="B262" t="inlineStr">
        <is>
          <t>avverkningsanmälan</t>
        </is>
      </c>
      <c r="C262" t="inlineStr">
        <is>
          <t>Föryngringsavverkning</t>
        </is>
      </c>
      <c r="D262" s="1" t="n">
        <v>45603</v>
      </c>
      <c r="E262" s="1" t="n">
        <v>46313</v>
      </c>
      <c r="F262" t="inlineStr">
        <is>
          <t>SÖDERMANLANDS LÄN</t>
        </is>
      </c>
      <c r="G262" t="inlineStr">
        <is>
          <t>TROSA</t>
        </is>
      </c>
      <c r="I262" t="n">
        <v>12.8</v>
      </c>
      <c r="J262" t="n">
        <v>2</v>
      </c>
      <c r="K262" t="n">
        <v>0</v>
      </c>
      <c r="L262" t="n">
        <v>1</v>
      </c>
      <c r="M262" t="n">
        <v>0</v>
      </c>
      <c r="N262" t="n">
        <v>0</v>
      </c>
      <c r="O262" t="n">
        <v>0</v>
      </c>
      <c r="P262" t="n">
        <v>0</v>
      </c>
      <c r="Q262" t="n">
        <v>1</v>
      </c>
      <c r="R262" t="n">
        <v>0</v>
      </c>
      <c r="S262" t="n">
        <v>2</v>
      </c>
      <c r="T262" t="n">
        <v>2</v>
      </c>
      <c r="U262" t="n">
        <v>2</v>
      </c>
      <c r="V262" s="2" t="inlineStr">
        <is>
          <t>Talltita
Spillkråka</t>
        </is>
      </c>
      <c r="W262">
        <f>HYPERLINK("https://klasma.github.io/Logging_0488/artfynd/A 51481-2024 artfynd.xlsx", "A 51481-2024")</f>
        <v/>
      </c>
      <c r="X262">
        <f>HYPERLINK("https://klasma.github.io/Logging_0488/kartor/A 51481-2024 karta.png", "A 51481-2024")</f>
        <v/>
      </c>
      <c r="Y262">
        <f>HYPERLINK("https://klasma.github.io/Logging_0488/kartor_geotiff/A 51481-2024 georefererad karta.tif", "A 51481-2024")</f>
        <v/>
      </c>
      <c r="AA262">
        <f>HYPERLINK("https://klasma.github.io/Logging_0488/klagomål/A 51481-2024 FSC-klagomål.docx", "A 51481-2024")</f>
        <v/>
      </c>
      <c r="AB262">
        <f>HYPERLINK("https://klasma.github.io/Logging_0488/klagomålsmail/A 51481-2024 FSC-klagomål mail.docx", "A 51481-2024")</f>
        <v/>
      </c>
      <c r="AC262">
        <f>HYPERLINK("https://klasma.github.io/Logging_0488/tillsyn/A 51481-2024 tillsynsbegäran.docx", "A 51481-2024")</f>
        <v/>
      </c>
      <c r="AD262">
        <f>HYPERLINK("https://klasma.github.io/Logging_0488/tillsynsmail/A 51481-2024 tillsynsbegäran mail.docx", "A 51481-2024")</f>
        <v/>
      </c>
      <c r="AE262">
        <f>HYPERLINK("https://klasma.github.io/Logging_0488/fåglar/A 51481-2024 prioriterade fågelarter.docx", "A 51481-2024")</f>
        <v/>
      </c>
    </row>
    <row r="263" ht="15" customHeight="1">
      <c r="A263" t="inlineStr">
        <is>
          <t>A 59407-2025</t>
        </is>
      </c>
      <c r="B263" t="inlineStr">
        <is>
          <t>avverkningsanmälan</t>
        </is>
      </c>
      <c r="C263" t="inlineStr">
        <is>
          <t>Föryngringsavverkning</t>
        </is>
      </c>
      <c r="D263" s="1" t="n">
        <v>45989</v>
      </c>
      <c r="E263" s="1" t="n">
        <v>46313</v>
      </c>
      <c r="F263" t="inlineStr">
        <is>
          <t>SÖDERMANLANDS LÄN</t>
        </is>
      </c>
      <c r="G263" t="inlineStr">
        <is>
          <t>GNESTA</t>
        </is>
      </c>
      <c r="I263" t="n">
        <v>2.3</v>
      </c>
      <c r="J263" t="n">
        <v>2</v>
      </c>
      <c r="K263" t="n">
        <v>0</v>
      </c>
      <c r="L263" t="n">
        <v>0</v>
      </c>
      <c r="M263" t="n">
        <v>0</v>
      </c>
      <c r="N263" t="n">
        <v>0</v>
      </c>
      <c r="O263" t="n">
        <v>0</v>
      </c>
      <c r="P263" t="n">
        <v>0</v>
      </c>
      <c r="Q263" t="n">
        <v>0</v>
      </c>
      <c r="R263" t="n">
        <v>0</v>
      </c>
      <c r="S263" t="n">
        <v>2</v>
      </c>
      <c r="T263" t="n">
        <v>2</v>
      </c>
      <c r="U263" t="n">
        <v>0</v>
      </c>
      <c r="V263" s="2" t="inlineStr">
        <is>
          <t>Blåsippa
Gullviva</t>
        </is>
      </c>
      <c r="W263">
        <f>HYPERLINK("https://klasma.github.io/Logging_0461/artfynd/A 59407-2025 artfynd.xlsx", "A 59407-2025")</f>
        <v/>
      </c>
      <c r="X263">
        <f>HYPERLINK("https://klasma.github.io/Logging_0461/kartor/A 59407-2025 karta.png", "A 59407-2025")</f>
        <v/>
      </c>
      <c r="Y263">
        <f>HYPERLINK("https://klasma.github.io/Logging_0461/kartor_geotiff/A 59407-2025 georefererad karta.tif", "A 59407-2025")</f>
        <v/>
      </c>
      <c r="AA263">
        <f>HYPERLINK("https://klasma.github.io/Logging_0461/klagomål/A 59407-2025 FSC-klagomål.docx", "A 59407-2025")</f>
        <v/>
      </c>
      <c r="AB263">
        <f>HYPERLINK("https://klasma.github.io/Logging_0461/klagomålsmail/A 59407-2025 FSC-klagomål mail.docx", "A 59407-2025")</f>
        <v/>
      </c>
      <c r="AC263">
        <f>HYPERLINK("https://klasma.github.io/Logging_0461/tillsyn/A 59407-2025 tillsynsbegäran.docx", "A 59407-2025")</f>
        <v/>
      </c>
      <c r="AD263">
        <f>HYPERLINK("https://klasma.github.io/Logging_0461/tillsynsmail/A 59407-2025 tillsynsbegäran mail.docx", "A 59407-2025")</f>
        <v/>
      </c>
    </row>
    <row r="264" ht="15" customHeight="1">
      <c r="A264" t="inlineStr">
        <is>
          <t>A 51217-2024</t>
        </is>
      </c>
      <c r="B264" t="inlineStr">
        <is>
          <t>avverkningsanmälan</t>
        </is>
      </c>
      <c r="C264" t="inlineStr">
        <is>
          <t>Föryngringsavverkning</t>
        </is>
      </c>
      <c r="D264" s="1" t="n">
        <v>45603</v>
      </c>
      <c r="E264" s="1" t="n">
        <v>46313</v>
      </c>
      <c r="F264" t="inlineStr">
        <is>
          <t>SÖDERMANLANDS LÄN</t>
        </is>
      </c>
      <c r="G264" t="inlineStr">
        <is>
          <t>GNESTA</t>
        </is>
      </c>
      <c r="I264" t="n">
        <v>16.6</v>
      </c>
      <c r="J264" t="n">
        <v>1</v>
      </c>
      <c r="K264" t="n">
        <v>1</v>
      </c>
      <c r="L264" t="n">
        <v>0</v>
      </c>
      <c r="M264" t="n">
        <v>0</v>
      </c>
      <c r="N264" t="n">
        <v>0</v>
      </c>
      <c r="O264" t="n">
        <v>0</v>
      </c>
      <c r="P264" t="n">
        <v>0</v>
      </c>
      <c r="Q264" t="n">
        <v>0</v>
      </c>
      <c r="R264" t="n">
        <v>0</v>
      </c>
      <c r="S264" t="n">
        <v>2</v>
      </c>
      <c r="T264" t="n">
        <v>2</v>
      </c>
      <c r="U264" t="n">
        <v>0</v>
      </c>
      <c r="V264" s="2" t="inlineStr">
        <is>
          <t>Tibast
Revlummer</t>
        </is>
      </c>
      <c r="W264">
        <f>HYPERLINK("https://klasma.github.io/Logging_0461/artfynd/A 51217-2024 artfynd.xlsx", "A 51217-2024")</f>
        <v/>
      </c>
      <c r="X264">
        <f>HYPERLINK("https://klasma.github.io/Logging_0461/kartor/A 51217-2024 karta.png", "A 51217-2024")</f>
        <v/>
      </c>
      <c r="Y264">
        <f>HYPERLINK("https://klasma.github.io/Logging_0461/kartor_geotiff/A 51217-2024 georefererad karta.tif", "A 51217-2024")</f>
        <v/>
      </c>
      <c r="AA264">
        <f>HYPERLINK("https://klasma.github.io/Logging_0461/klagomål/A 51217-2024 FSC-klagomål.docx", "A 51217-2024")</f>
        <v/>
      </c>
      <c r="AB264">
        <f>HYPERLINK("https://klasma.github.io/Logging_0461/klagomålsmail/A 51217-2024 FSC-klagomål mail.docx", "A 51217-2024")</f>
        <v/>
      </c>
      <c r="AC264">
        <f>HYPERLINK("https://klasma.github.io/Logging_0461/tillsyn/A 51217-2024 tillsynsbegäran.docx", "A 51217-2024")</f>
        <v/>
      </c>
      <c r="AD264">
        <f>HYPERLINK("https://klasma.github.io/Logging_0461/tillsynsmail/A 51217-2024 tillsynsbegäran mail.docx", "A 51217-2024")</f>
        <v/>
      </c>
    </row>
    <row r="265" ht="15" customHeight="1">
      <c r="A265" t="inlineStr">
        <is>
          <t>A 24683-2026</t>
        </is>
      </c>
      <c r="B265" t="inlineStr">
        <is>
          <t>avverkningsanmälan</t>
        </is>
      </c>
      <c r="C265" t="inlineStr">
        <is>
          <t>Föryngringsavverkning</t>
        </is>
      </c>
      <c r="D265" s="1" t="n">
        <v>46171</v>
      </c>
      <c r="E265" s="1" t="n">
        <v>46313</v>
      </c>
      <c r="F265" t="inlineStr">
        <is>
          <t>SÖDERMANLANDS LÄN</t>
        </is>
      </c>
      <c r="G265" t="inlineStr">
        <is>
          <t>STRÄNGNÄS</t>
        </is>
      </c>
      <c r="I265" t="n">
        <v>1</v>
      </c>
      <c r="J265" t="n">
        <v>2</v>
      </c>
      <c r="K265" t="n">
        <v>0</v>
      </c>
      <c r="L265" t="n">
        <v>1</v>
      </c>
      <c r="M265" t="n">
        <v>1</v>
      </c>
      <c r="N265" t="n">
        <v>0</v>
      </c>
      <c r="O265" t="n">
        <v>0</v>
      </c>
      <c r="P265" t="n">
        <v>0</v>
      </c>
      <c r="Q265" t="n">
        <v>2</v>
      </c>
      <c r="R265" t="n">
        <v>1</v>
      </c>
      <c r="S265" t="n">
        <v>2</v>
      </c>
      <c r="T265" t="n">
        <v>3</v>
      </c>
      <c r="U265" t="n">
        <v>3</v>
      </c>
      <c r="V265" s="2" t="inlineStr">
        <is>
          <t>Gräshoppsångare
Enkelbeckasin</t>
        </is>
      </c>
      <c r="W265">
        <f>HYPERLINK("https://klasma.github.io/Logging_0486/artfynd/A 24683-2026 artfynd.xlsx", "A 24683-2026")</f>
        <v/>
      </c>
      <c r="X265">
        <f>HYPERLINK("https://klasma.github.io/Logging_0486/kartor/A 24683-2026 karta.png", "A 24683-2026")</f>
        <v/>
      </c>
      <c r="Y265">
        <f>HYPERLINK("https://klasma.github.io/Logging_0486/kartor_geotiff/A 24683-2026 georefererad karta.tif", "A 24683-2026")</f>
        <v/>
      </c>
      <c r="AA265">
        <f>HYPERLINK("https://klasma.github.io/Logging_0486/klagomål/A 24683-2026 FSC-klagomål.docx", "A 24683-2026")</f>
        <v/>
      </c>
      <c r="AB265">
        <f>HYPERLINK("https://klasma.github.io/Logging_0486/klagomålsmail/A 24683-2026 FSC-klagomål mail.docx", "A 24683-2026")</f>
        <v/>
      </c>
      <c r="AC265">
        <f>HYPERLINK("https://klasma.github.io/Logging_0486/tillsyn/A 24683-2026 tillsynsbegäran.docx", "A 24683-2026")</f>
        <v/>
      </c>
      <c r="AD265">
        <f>HYPERLINK("https://klasma.github.io/Logging_0486/tillsynsmail/A 24683-2026 tillsynsbegäran mail.docx", "A 24683-2026")</f>
        <v/>
      </c>
      <c r="AE265">
        <f>HYPERLINK("https://klasma.github.io/Logging_0486/fåglar/A 24683-2026 prioriterade fågelarter.docx", "A 24683-2026")</f>
        <v/>
      </c>
    </row>
    <row r="266" ht="15" customHeight="1">
      <c r="A266" t="inlineStr">
        <is>
          <t>A 63042-2025</t>
        </is>
      </c>
      <c r="B266" t="inlineStr">
        <is>
          <t>avverkningsanmälan</t>
        </is>
      </c>
      <c r="C266" t="inlineStr">
        <is>
          <t>Föryngringsavverkning</t>
        </is>
      </c>
      <c r="D266" s="1" t="n">
        <v>46009</v>
      </c>
      <c r="E266" s="1" t="n">
        <v>46313</v>
      </c>
      <c r="F266" t="inlineStr">
        <is>
          <t>SÖDERMANLANDS LÄN</t>
        </is>
      </c>
      <c r="G266" t="inlineStr">
        <is>
          <t>ESKILSTUNA</t>
        </is>
      </c>
      <c r="I266" t="n">
        <v>1.4</v>
      </c>
      <c r="J266" t="n">
        <v>2</v>
      </c>
      <c r="K266" t="n">
        <v>0</v>
      </c>
      <c r="L266" t="n">
        <v>0</v>
      </c>
      <c r="M266" t="n">
        <v>0</v>
      </c>
      <c r="N266" t="n">
        <v>0</v>
      </c>
      <c r="O266" t="n">
        <v>0</v>
      </c>
      <c r="P266" t="n">
        <v>0</v>
      </c>
      <c r="Q266" t="n">
        <v>0</v>
      </c>
      <c r="R266" t="n">
        <v>0</v>
      </c>
      <c r="S266" t="n">
        <v>2</v>
      </c>
      <c r="T266" t="n">
        <v>2</v>
      </c>
      <c r="U266" t="n">
        <v>2</v>
      </c>
      <c r="V266" s="2" t="inlineStr">
        <is>
          <t>Kungsfågel
Revlummer</t>
        </is>
      </c>
      <c r="W266">
        <f>HYPERLINK("https://klasma.github.io/Logging_0484/artfynd/A 63042-2025 artfynd.xlsx", "A 63042-2025")</f>
        <v/>
      </c>
      <c r="X266">
        <f>HYPERLINK("https://klasma.github.io/Logging_0484/kartor/A 63042-2025 karta.png", "A 63042-2025")</f>
        <v/>
      </c>
      <c r="Y266">
        <f>HYPERLINK("https://klasma.github.io/Logging_0484/kartor_geotiff/A 63042-2025 georefererad karta.tif", "A 63042-2025")</f>
        <v/>
      </c>
      <c r="AA266">
        <f>HYPERLINK("https://klasma.github.io/Logging_0484/klagomål/A 63042-2025 FSC-klagomål.docx", "A 63042-2025")</f>
        <v/>
      </c>
      <c r="AB266">
        <f>HYPERLINK("https://klasma.github.io/Logging_0484/klagomålsmail/A 63042-2025 FSC-klagomål mail.docx", "A 63042-2025")</f>
        <v/>
      </c>
      <c r="AC266">
        <f>HYPERLINK("https://klasma.github.io/Logging_0484/tillsyn/A 63042-2025 tillsynsbegäran.docx", "A 63042-2025")</f>
        <v/>
      </c>
      <c r="AD266">
        <f>HYPERLINK("https://klasma.github.io/Logging_0484/tillsynsmail/A 63042-2025 tillsynsbegäran mail.docx", "A 63042-2025")</f>
        <v/>
      </c>
    </row>
    <row r="267" ht="15" customHeight="1">
      <c r="A267" t="inlineStr">
        <is>
          <t>A 63946-2025</t>
        </is>
      </c>
      <c r="B267" t="inlineStr">
        <is>
          <t>avverkningsanmälan</t>
        </is>
      </c>
      <c r="C267" t="inlineStr">
        <is>
          <t>Föryngringsavverkning</t>
        </is>
      </c>
      <c r="D267" s="1" t="n">
        <v>46010</v>
      </c>
      <c r="E267" s="1" t="n">
        <v>46313</v>
      </c>
      <c r="F267" t="inlineStr">
        <is>
          <t>SÖDERMANLANDS LÄN</t>
        </is>
      </c>
      <c r="G267" t="inlineStr">
        <is>
          <t>KATRINEHOLM</t>
        </is>
      </c>
      <c r="H267" t="inlineStr">
        <is>
          <t>Allmännings- och besparingsskogar</t>
        </is>
      </c>
      <c r="I267" t="n">
        <v>2.4</v>
      </c>
      <c r="J267" t="n">
        <v>1</v>
      </c>
      <c r="K267" t="n">
        <v>0</v>
      </c>
      <c r="L267" t="n">
        <v>1</v>
      </c>
      <c r="M267" t="n">
        <v>0</v>
      </c>
      <c r="N267" t="n">
        <v>0</v>
      </c>
      <c r="O267" t="n">
        <v>0</v>
      </c>
      <c r="P267" t="n">
        <v>0</v>
      </c>
      <c r="Q267" t="n">
        <v>1</v>
      </c>
      <c r="R267" t="n">
        <v>0</v>
      </c>
      <c r="S267" t="n">
        <v>2</v>
      </c>
      <c r="T267" t="n">
        <v>2</v>
      </c>
      <c r="U267" t="n">
        <v>0</v>
      </c>
      <c r="V267" s="2" t="inlineStr">
        <is>
          <t>Tallticka
Skogsödla</t>
        </is>
      </c>
      <c r="W267">
        <f>HYPERLINK("https://klasma.github.io/Logging_0483/artfynd/A 63946-2025 artfynd.xlsx", "A 63946-2025")</f>
        <v/>
      </c>
      <c r="X267">
        <f>HYPERLINK("https://klasma.github.io/Logging_0483/kartor/A 63946-2025 karta.png", "A 63946-2025")</f>
        <v/>
      </c>
      <c r="Y267">
        <f>HYPERLINK("https://klasma.github.io/Logging_0483/kartor_geotiff/A 63946-2025 georefererad karta.tif", "A 63946-2025")</f>
        <v/>
      </c>
      <c r="AA267">
        <f>HYPERLINK("https://klasma.github.io/Logging_0483/klagomål/A 63946-2025 FSC-klagomål.docx", "A 63946-2025")</f>
        <v/>
      </c>
      <c r="AB267">
        <f>HYPERLINK("https://klasma.github.io/Logging_0483/klagomålsmail/A 63946-2025 FSC-klagomål mail.docx", "A 63946-2025")</f>
        <v/>
      </c>
      <c r="AC267">
        <f>HYPERLINK("https://klasma.github.io/Logging_0483/tillsyn/A 63946-2025 tillsynsbegäran.docx", "A 63946-2025")</f>
        <v/>
      </c>
      <c r="AD267">
        <f>HYPERLINK("https://klasma.github.io/Logging_0483/tillsynsmail/A 63946-2025 tillsynsbegäran mail.docx", "A 63946-2025")</f>
        <v/>
      </c>
    </row>
    <row r="268" ht="15" customHeight="1">
      <c r="A268" t="inlineStr">
        <is>
          <t>A 53471-2024</t>
        </is>
      </c>
      <c r="B268" t="inlineStr">
        <is>
          <t>avverkningsanmälan</t>
        </is>
      </c>
      <c r="C268" t="inlineStr">
        <is>
          <t>Föryngringsavverkning</t>
        </is>
      </c>
      <c r="D268" s="1" t="n">
        <v>45614</v>
      </c>
      <c r="E268" s="1" t="n">
        <v>46313</v>
      </c>
      <c r="F268" t="inlineStr">
        <is>
          <t>SÖDERMANLANDS LÄN</t>
        </is>
      </c>
      <c r="G268" t="inlineStr">
        <is>
          <t>KATRINEHOLM</t>
        </is>
      </c>
      <c r="I268" t="n">
        <v>12.7</v>
      </c>
      <c r="J268" t="n">
        <v>1</v>
      </c>
      <c r="K268" t="n">
        <v>2</v>
      </c>
      <c r="L268" t="n">
        <v>0</v>
      </c>
      <c r="M268" t="n">
        <v>0</v>
      </c>
      <c r="N268" t="n">
        <v>0</v>
      </c>
      <c r="O268" t="n">
        <v>0</v>
      </c>
      <c r="P268" t="n">
        <v>0</v>
      </c>
      <c r="Q268" t="n">
        <v>0</v>
      </c>
      <c r="R268" t="n">
        <v>0</v>
      </c>
      <c r="S268" t="n">
        <v>2</v>
      </c>
      <c r="T268" t="n">
        <v>2</v>
      </c>
      <c r="U268" t="n">
        <v>2</v>
      </c>
      <c r="V268" s="2" t="inlineStr">
        <is>
          <t>Grönpyrola
Plattlummer</t>
        </is>
      </c>
      <c r="W268">
        <f>HYPERLINK("https://klasma.github.io/Logging_0483/artfynd/A 53471-2024 artfynd.xlsx", "A 53471-2024")</f>
        <v/>
      </c>
      <c r="X268">
        <f>HYPERLINK("https://klasma.github.io/Logging_0483/kartor/A 53471-2024 karta.png", "A 53471-2024")</f>
        <v/>
      </c>
      <c r="Y268">
        <f>HYPERLINK("https://klasma.github.io/Logging_0483/kartor_geotiff/A 53471-2024 georefererad karta.tif", "A 53471-2024")</f>
        <v/>
      </c>
      <c r="AA268">
        <f>HYPERLINK("https://klasma.github.io/Logging_0483/klagomål/A 53471-2024 FSC-klagomål.docx", "A 53471-2024")</f>
        <v/>
      </c>
      <c r="AB268">
        <f>HYPERLINK("https://klasma.github.io/Logging_0483/klagomålsmail/A 53471-2024 FSC-klagomål mail.docx", "A 53471-2024")</f>
        <v/>
      </c>
      <c r="AC268">
        <f>HYPERLINK("https://klasma.github.io/Logging_0483/tillsyn/A 53471-2024 tillsynsbegäran.docx", "A 53471-2024")</f>
        <v/>
      </c>
      <c r="AD268">
        <f>HYPERLINK("https://klasma.github.io/Logging_0483/tillsynsmail/A 53471-2024 tillsynsbegäran mail.docx", "A 53471-2024")</f>
        <v/>
      </c>
    </row>
    <row r="269" ht="15" customHeight="1">
      <c r="A269" t="inlineStr">
        <is>
          <t>A 40560-2025</t>
        </is>
      </c>
      <c r="B269" t="inlineStr">
        <is>
          <t>avverkningsanmälan</t>
        </is>
      </c>
      <c r="C269" t="inlineStr">
        <is>
          <t>Avverkning för annat ändamål</t>
        </is>
      </c>
      <c r="D269" s="1" t="n">
        <v>45896</v>
      </c>
      <c r="E269" s="1" t="n">
        <v>46313</v>
      </c>
      <c r="F269" t="inlineStr">
        <is>
          <t>SÖDERMANLANDS LÄN</t>
        </is>
      </c>
      <c r="G269" t="inlineStr">
        <is>
          <t>STRÄNGNÄS</t>
        </is>
      </c>
      <c r="I269" t="n">
        <v>12.6</v>
      </c>
      <c r="J269" t="n">
        <v>1</v>
      </c>
      <c r="K269" t="n">
        <v>0</v>
      </c>
      <c r="L269" t="n">
        <v>0</v>
      </c>
      <c r="M269" t="n">
        <v>0</v>
      </c>
      <c r="N269" t="n">
        <v>1</v>
      </c>
      <c r="O269" t="n">
        <v>0</v>
      </c>
      <c r="P269" t="n">
        <v>0</v>
      </c>
      <c r="Q269" t="n">
        <v>1</v>
      </c>
      <c r="R269" t="n">
        <v>1</v>
      </c>
      <c r="S269" t="n">
        <v>2</v>
      </c>
      <c r="T269" t="n">
        <v>2</v>
      </c>
      <c r="U269" t="n">
        <v>0</v>
      </c>
      <c r="V269" s="2" t="inlineStr">
        <is>
          <t>Ask
Åkergroda</t>
        </is>
      </c>
      <c r="W269">
        <f>HYPERLINK("https://klasma.github.io/Logging_0486/artfynd/A 40560-2025 artfynd.xlsx", "A 40560-2025")</f>
        <v/>
      </c>
      <c r="X269">
        <f>HYPERLINK("https://klasma.github.io/Logging_0486/kartor/A 40560-2025 karta.png", "A 40560-2025")</f>
        <v/>
      </c>
      <c r="Y269">
        <f>HYPERLINK("https://klasma.github.io/Logging_0486/kartor_geotiff/A 40560-2025 georefererad karta.tif", "A 40560-2025")</f>
        <v/>
      </c>
      <c r="AA269">
        <f>HYPERLINK("https://klasma.github.io/Logging_0486/klagomål/A 40560-2025 FSC-klagomål.docx", "A 40560-2025")</f>
        <v/>
      </c>
      <c r="AB269">
        <f>HYPERLINK("https://klasma.github.io/Logging_0486/klagomålsmail/A 40560-2025 FSC-klagomål mail.docx", "A 40560-2025")</f>
        <v/>
      </c>
      <c r="AC269">
        <f>HYPERLINK("https://klasma.github.io/Logging_0486/tillsyn/A 40560-2025 tillsynsbegäran.docx", "A 40560-2025")</f>
        <v/>
      </c>
      <c r="AD269">
        <f>HYPERLINK("https://klasma.github.io/Logging_0486/tillsynsmail/A 40560-2025 tillsynsbegäran mail.docx", "A 40560-2025")</f>
        <v/>
      </c>
    </row>
    <row r="270" ht="15" customHeight="1">
      <c r="A270" t="inlineStr">
        <is>
          <t>A 4330-2026</t>
        </is>
      </c>
      <c r="B270" t="inlineStr">
        <is>
          <t>avverkningsanmälan</t>
        </is>
      </c>
      <c r="C270" t="inlineStr">
        <is>
          <t>Föryngringsavverkning</t>
        </is>
      </c>
      <c r="D270" s="1" t="n">
        <v>46044</v>
      </c>
      <c r="E270" s="1" t="n">
        <v>46313</v>
      </c>
      <c r="F270" t="inlineStr">
        <is>
          <t>SÖDERMANLANDS LÄN</t>
        </is>
      </c>
      <c r="G270" t="inlineStr">
        <is>
          <t>FLEN</t>
        </is>
      </c>
      <c r="H270" t="inlineStr">
        <is>
          <t>Övriga statliga verk och myndigheter</t>
        </is>
      </c>
      <c r="I270" t="n">
        <v>4.9</v>
      </c>
      <c r="J270" t="n">
        <v>1</v>
      </c>
      <c r="K270" t="n">
        <v>0</v>
      </c>
      <c r="L270" t="n">
        <v>1</v>
      </c>
      <c r="M270" t="n">
        <v>0</v>
      </c>
      <c r="N270" t="n">
        <v>0</v>
      </c>
      <c r="O270" t="n">
        <v>0</v>
      </c>
      <c r="P270" t="n">
        <v>0</v>
      </c>
      <c r="Q270" t="n">
        <v>1</v>
      </c>
      <c r="R270" t="n">
        <v>0</v>
      </c>
      <c r="S270" t="n">
        <v>2</v>
      </c>
      <c r="T270" t="n">
        <v>2</v>
      </c>
      <c r="U270" t="n">
        <v>1</v>
      </c>
      <c r="V270" s="2" t="inlineStr">
        <is>
          <t>Backstarr
Blåsippa</t>
        </is>
      </c>
      <c r="W270">
        <f>HYPERLINK("https://klasma.github.io/Logging_0482/artfynd/A 4330-2026 artfynd.xlsx", "A 4330-2026")</f>
        <v/>
      </c>
      <c r="X270">
        <f>HYPERLINK("https://klasma.github.io/Logging_0482/kartor/A 4330-2026 karta.png", "A 4330-2026")</f>
        <v/>
      </c>
      <c r="Y270">
        <f>HYPERLINK("https://klasma.github.io/Logging_0482/kartor_geotiff/A 4330-2026 georefererad karta.tif", "A 4330-2026")</f>
        <v/>
      </c>
      <c r="AA270">
        <f>HYPERLINK("https://klasma.github.io/Logging_0482/klagomål/A 4330-2026 FSC-klagomål.docx", "A 4330-2026")</f>
        <v/>
      </c>
      <c r="AB270">
        <f>HYPERLINK("https://klasma.github.io/Logging_0482/klagomålsmail/A 4330-2026 FSC-klagomål mail.docx", "A 4330-2026")</f>
        <v/>
      </c>
      <c r="AC270">
        <f>HYPERLINK("https://klasma.github.io/Logging_0482/tillsyn/A 4330-2026 tillsynsbegäran.docx", "A 4330-2026")</f>
        <v/>
      </c>
      <c r="AD270">
        <f>HYPERLINK("https://klasma.github.io/Logging_0482/tillsynsmail/A 4330-2026 tillsynsbegäran mail.docx", "A 4330-2026")</f>
        <v/>
      </c>
    </row>
    <row r="271" ht="15" customHeight="1">
      <c r="A271" t="inlineStr">
        <is>
          <t>A 26095-2026</t>
        </is>
      </c>
      <c r="B271" t="inlineStr">
        <is>
          <t>avverkningsanmälan</t>
        </is>
      </c>
      <c r="C271" t="inlineStr">
        <is>
          <t>Föryngringsavverkning</t>
        </is>
      </c>
      <c r="D271" s="1" t="n">
        <v>46181</v>
      </c>
      <c r="E271" s="1" t="n">
        <v>46313</v>
      </c>
      <c r="F271" t="inlineStr">
        <is>
          <t>SÖDERMANLANDS LÄN</t>
        </is>
      </c>
      <c r="G271" t="inlineStr">
        <is>
          <t>ESKILSTUNA</t>
        </is>
      </c>
      <c r="H271" t="inlineStr">
        <is>
          <t>Sveaskog</t>
        </is>
      </c>
      <c r="I271" t="n">
        <v>1.1</v>
      </c>
      <c r="J271" t="n">
        <v>1</v>
      </c>
      <c r="K271" t="n">
        <v>0</v>
      </c>
      <c r="L271" t="n">
        <v>1</v>
      </c>
      <c r="M271" t="n">
        <v>0</v>
      </c>
      <c r="N271" t="n">
        <v>0</v>
      </c>
      <c r="O271" t="n">
        <v>0</v>
      </c>
      <c r="P271" t="n">
        <v>0</v>
      </c>
      <c r="Q271" t="n">
        <v>1</v>
      </c>
      <c r="R271" t="n">
        <v>0</v>
      </c>
      <c r="S271" t="n">
        <v>2</v>
      </c>
      <c r="T271" t="n">
        <v>3</v>
      </c>
      <c r="U271" t="n">
        <v>3</v>
      </c>
      <c r="V271" s="2" t="inlineStr">
        <is>
          <t>Svinrot
Spillkråka</t>
        </is>
      </c>
      <c r="W271">
        <f>HYPERLINK("https://klasma.github.io/Logging_0484/artfynd/A 26095-2026 artfynd.xlsx", "A 26095-2026")</f>
        <v/>
      </c>
      <c r="X271">
        <f>HYPERLINK("https://klasma.github.io/Logging_0484/kartor/A 26095-2026 karta.png", "A 26095-2026")</f>
        <v/>
      </c>
      <c r="Y271">
        <f>HYPERLINK("https://klasma.github.io/Logging_0484/kartor_geotiff/A 26095-2026 georefererad karta.tif", "A 26095-2026")</f>
        <v/>
      </c>
      <c r="AA271">
        <f>HYPERLINK("https://klasma.github.io/Logging_0484/klagomål/A 26095-2026 FSC-klagomål.docx", "A 26095-2026")</f>
        <v/>
      </c>
      <c r="AB271">
        <f>HYPERLINK("https://klasma.github.io/Logging_0484/klagomålsmail/A 26095-2026 FSC-klagomål mail.docx", "A 26095-2026")</f>
        <v/>
      </c>
      <c r="AC271">
        <f>HYPERLINK("https://klasma.github.io/Logging_0484/tillsyn/A 26095-2026 tillsynsbegäran.docx", "A 26095-2026")</f>
        <v/>
      </c>
      <c r="AD271">
        <f>HYPERLINK("https://klasma.github.io/Logging_0484/tillsynsmail/A 26095-2026 tillsynsbegäran mail.docx", "A 26095-2026")</f>
        <v/>
      </c>
      <c r="AE271">
        <f>HYPERLINK("https://klasma.github.io/Logging_0484/fåglar/A 26095-2026 prioriterade fågelarter.docx", "A 26095-2026")</f>
        <v/>
      </c>
    </row>
    <row r="272" ht="15" customHeight="1">
      <c r="A272" t="inlineStr">
        <is>
          <t>A 26105-2026</t>
        </is>
      </c>
      <c r="B272" t="inlineStr">
        <is>
          <t>avverkningsanmälan</t>
        </is>
      </c>
      <c r="C272" t="inlineStr">
        <is>
          <t>Föryngringsavverkning</t>
        </is>
      </c>
      <c r="D272" s="1" t="n">
        <v>46181</v>
      </c>
      <c r="E272" s="1" t="n">
        <v>46313</v>
      </c>
      <c r="F272" t="inlineStr">
        <is>
          <t>SÖDERMANLANDS LÄN</t>
        </is>
      </c>
      <c r="G272" t="inlineStr">
        <is>
          <t>ESKILSTUNA</t>
        </is>
      </c>
      <c r="H272" t="inlineStr">
        <is>
          <t>Sveaskog</t>
        </is>
      </c>
      <c r="I272" t="n">
        <v>1</v>
      </c>
      <c r="J272" t="n">
        <v>1</v>
      </c>
      <c r="K272" t="n">
        <v>0</v>
      </c>
      <c r="L272" t="n">
        <v>1</v>
      </c>
      <c r="M272" t="n">
        <v>1</v>
      </c>
      <c r="N272" t="n">
        <v>0</v>
      </c>
      <c r="O272" t="n">
        <v>0</v>
      </c>
      <c r="P272" t="n">
        <v>0</v>
      </c>
      <c r="Q272" t="n">
        <v>2</v>
      </c>
      <c r="R272" t="n">
        <v>1</v>
      </c>
      <c r="S272" t="n">
        <v>2</v>
      </c>
      <c r="T272" t="n">
        <v>2</v>
      </c>
      <c r="U272" t="n">
        <v>0</v>
      </c>
      <c r="V272" s="2" t="inlineStr">
        <is>
          <t>Backsippa
Backtimjan</t>
        </is>
      </c>
      <c r="W272">
        <f>HYPERLINK("https://klasma.github.io/Logging_0484/artfynd/A 26105-2026 artfynd.xlsx", "A 26105-2026")</f>
        <v/>
      </c>
      <c r="X272">
        <f>HYPERLINK("https://klasma.github.io/Logging_0484/kartor/A 26105-2026 karta.png", "A 26105-2026")</f>
        <v/>
      </c>
      <c r="Y272">
        <f>HYPERLINK("https://klasma.github.io/Logging_0484/kartor_geotiff/A 26105-2026 georefererad karta.tif", "A 26105-2026")</f>
        <v/>
      </c>
      <c r="AA272">
        <f>HYPERLINK("https://klasma.github.io/Logging_0484/klagomål/A 26105-2026 FSC-klagomål.docx", "A 26105-2026")</f>
        <v/>
      </c>
      <c r="AB272">
        <f>HYPERLINK("https://klasma.github.io/Logging_0484/klagomålsmail/A 26105-2026 FSC-klagomål mail.docx", "A 26105-2026")</f>
        <v/>
      </c>
      <c r="AC272">
        <f>HYPERLINK("https://klasma.github.io/Logging_0484/tillsyn/A 26105-2026 tillsynsbegäran.docx", "A 26105-2026")</f>
        <v/>
      </c>
      <c r="AD272">
        <f>HYPERLINK("https://klasma.github.io/Logging_0484/tillsynsmail/A 26105-2026 tillsynsbegäran mail.docx", "A 26105-2026")</f>
        <v/>
      </c>
    </row>
    <row r="273" ht="15" customHeight="1">
      <c r="A273" t="inlineStr">
        <is>
          <t>A 6276-2026</t>
        </is>
      </c>
      <c r="B273" t="inlineStr">
        <is>
          <t>avverkningsanmälan</t>
        </is>
      </c>
      <c r="C273" t="inlineStr">
        <is>
          <t>Föryngringsavverkning</t>
        </is>
      </c>
      <c r="D273" s="1" t="n">
        <v>46055</v>
      </c>
      <c r="E273" s="1" t="n">
        <v>46313</v>
      </c>
      <c r="F273" t="inlineStr">
        <is>
          <t>SÖDERMANLANDS LÄN</t>
        </is>
      </c>
      <c r="G273" t="inlineStr">
        <is>
          <t>NYKÖPING</t>
        </is>
      </c>
      <c r="I273" t="n">
        <v>9</v>
      </c>
      <c r="J273" t="n">
        <v>1</v>
      </c>
      <c r="K273" t="n">
        <v>1</v>
      </c>
      <c r="L273" t="n">
        <v>1</v>
      </c>
      <c r="M273" t="n">
        <v>0</v>
      </c>
      <c r="N273" t="n">
        <v>0</v>
      </c>
      <c r="O273" t="n">
        <v>0</v>
      </c>
      <c r="P273" t="n">
        <v>0</v>
      </c>
      <c r="Q273" t="n">
        <v>1</v>
      </c>
      <c r="R273" t="n">
        <v>0</v>
      </c>
      <c r="S273" t="n">
        <v>2</v>
      </c>
      <c r="T273" t="n">
        <v>2</v>
      </c>
      <c r="U273" t="n">
        <v>2</v>
      </c>
      <c r="V273" s="2" t="inlineStr">
        <is>
          <t>Duvhök
Granbarkgnagare</t>
        </is>
      </c>
      <c r="W273">
        <f>HYPERLINK("https://klasma.github.io/Logging_0480/artfynd/A 6276-2026 artfynd.xlsx", "A 6276-2026")</f>
        <v/>
      </c>
      <c r="X273">
        <f>HYPERLINK("https://klasma.github.io/Logging_0480/kartor/A 6276-2026 karta.png", "A 6276-2026")</f>
        <v/>
      </c>
      <c r="Y273">
        <f>HYPERLINK("https://klasma.github.io/Logging_0480/kartor_geotiff/A 6276-2026 georefererad karta.tif", "A 6276-2026")</f>
        <v/>
      </c>
      <c r="AA273">
        <f>HYPERLINK("https://klasma.github.io/Logging_0480/klagomål/A 6276-2026 FSC-klagomål.docx", "A 6276-2026")</f>
        <v/>
      </c>
      <c r="AB273">
        <f>HYPERLINK("https://klasma.github.io/Logging_0480/klagomålsmail/A 6276-2026 FSC-klagomål mail.docx", "A 6276-2026")</f>
        <v/>
      </c>
      <c r="AC273">
        <f>HYPERLINK("https://klasma.github.io/Logging_0480/tillsyn/A 6276-2026 tillsynsbegäran.docx", "A 6276-2026")</f>
        <v/>
      </c>
      <c r="AD273">
        <f>HYPERLINK("https://klasma.github.io/Logging_0480/tillsynsmail/A 6276-2026 tillsynsbegäran mail.docx", "A 6276-2026")</f>
        <v/>
      </c>
      <c r="AE273">
        <f>HYPERLINK("https://klasma.github.io/Logging_0480/fåglar/A 6276-2026 prioriterade fågelarter.docx", "A 6276-2026")</f>
        <v/>
      </c>
    </row>
    <row r="274" ht="15" customHeight="1">
      <c r="A274" t="inlineStr">
        <is>
          <t>A 59822-2025</t>
        </is>
      </c>
      <c r="B274" t="inlineStr">
        <is>
          <t>avverkningsanmälan</t>
        </is>
      </c>
      <c r="C274" t="inlineStr">
        <is>
          <t>Föryngringsavverkning</t>
        </is>
      </c>
      <c r="D274" s="1" t="n">
        <v>45992</v>
      </c>
      <c r="E274" s="1" t="n">
        <v>46313</v>
      </c>
      <c r="F274" t="inlineStr">
        <is>
          <t>SÖDERMANLANDS LÄN</t>
        </is>
      </c>
      <c r="G274" t="inlineStr">
        <is>
          <t>ESKILSTUNA</t>
        </is>
      </c>
      <c r="I274" t="n">
        <v>8.5</v>
      </c>
      <c r="J274" t="n">
        <v>0</v>
      </c>
      <c r="K274" t="n">
        <v>1</v>
      </c>
      <c r="L274" t="n">
        <v>0</v>
      </c>
      <c r="M274" t="n">
        <v>0</v>
      </c>
      <c r="N274" t="n">
        <v>0</v>
      </c>
      <c r="O274" t="n">
        <v>0</v>
      </c>
      <c r="P274" t="n">
        <v>0</v>
      </c>
      <c r="Q274" t="n">
        <v>0</v>
      </c>
      <c r="R274" t="n">
        <v>0</v>
      </c>
      <c r="S274" t="n">
        <v>2</v>
      </c>
      <c r="T274" t="n">
        <v>2</v>
      </c>
      <c r="U274" t="n">
        <v>2</v>
      </c>
      <c r="V274" s="2" t="inlineStr">
        <is>
          <t>Stubbspretmossa
Timmerticka</t>
        </is>
      </c>
      <c r="W274">
        <f>HYPERLINK("https://klasma.github.io/Logging_0484/artfynd/A 59822-2025 artfynd.xlsx", "A 59822-2025")</f>
        <v/>
      </c>
      <c r="X274">
        <f>HYPERLINK("https://klasma.github.io/Logging_0484/kartor/A 59822-2025 karta.png", "A 59822-2025")</f>
        <v/>
      </c>
      <c r="Y274">
        <f>HYPERLINK("https://klasma.github.io/Logging_0484/kartor_geotiff/A 59822-2025 georefererad karta.tif", "A 59822-2025")</f>
        <v/>
      </c>
      <c r="AA274">
        <f>HYPERLINK("https://klasma.github.io/Logging_0484/klagomål/A 59822-2025 FSC-klagomål.docx", "A 59822-2025")</f>
        <v/>
      </c>
      <c r="AB274">
        <f>HYPERLINK("https://klasma.github.io/Logging_0484/klagomålsmail/A 59822-2025 FSC-klagomål mail.docx", "A 59822-2025")</f>
        <v/>
      </c>
      <c r="AC274">
        <f>HYPERLINK("https://klasma.github.io/Logging_0484/tillsyn/A 59822-2025 tillsynsbegäran.docx", "A 59822-2025")</f>
        <v/>
      </c>
      <c r="AD274">
        <f>HYPERLINK("https://klasma.github.io/Logging_0484/tillsynsmail/A 59822-2025 tillsynsbegäran mail.docx", "A 59822-2025")</f>
        <v/>
      </c>
    </row>
    <row r="275" ht="15" customHeight="1">
      <c r="A275" t="inlineStr">
        <is>
          <t>A 8887-2026</t>
        </is>
      </c>
      <c r="B275" t="inlineStr">
        <is>
          <t>avverkningsanmälan</t>
        </is>
      </c>
      <c r="C275" t="inlineStr">
        <is>
          <t>Föryngringsavverkning</t>
        </is>
      </c>
      <c r="D275" s="1" t="n">
        <v>46068</v>
      </c>
      <c r="E275" s="1" t="n">
        <v>46313</v>
      </c>
      <c r="F275" t="inlineStr">
        <is>
          <t>SÖDERMANLANDS LÄN</t>
        </is>
      </c>
      <c r="G275" t="inlineStr">
        <is>
          <t>FLEN</t>
        </is>
      </c>
      <c r="I275" t="n">
        <v>2.1</v>
      </c>
      <c r="J275" t="n">
        <v>2</v>
      </c>
      <c r="K275" t="n">
        <v>0</v>
      </c>
      <c r="L275" t="n">
        <v>0</v>
      </c>
      <c r="M275" t="n">
        <v>0</v>
      </c>
      <c r="N275" t="n">
        <v>0</v>
      </c>
      <c r="O275" t="n">
        <v>0</v>
      </c>
      <c r="P275" t="n">
        <v>0</v>
      </c>
      <c r="Q275" t="n">
        <v>0</v>
      </c>
      <c r="R275" t="n">
        <v>0</v>
      </c>
      <c r="S275" t="n">
        <v>2</v>
      </c>
      <c r="T275" t="n">
        <v>2</v>
      </c>
      <c r="U275" t="n">
        <v>0</v>
      </c>
      <c r="V275" s="2" t="inlineStr">
        <is>
          <t>Större vattensalamander
Mindre vattensalamander</t>
        </is>
      </c>
      <c r="W275">
        <f>HYPERLINK("https://klasma.github.io/Logging_0482/artfynd/A 8887-2026 artfynd.xlsx", "A 8887-2026")</f>
        <v/>
      </c>
      <c r="X275">
        <f>HYPERLINK("https://klasma.github.io/Logging_0482/kartor/A 8887-2026 karta.png", "A 8887-2026")</f>
        <v/>
      </c>
      <c r="Y275">
        <f>HYPERLINK("https://klasma.github.io/Logging_0482/kartor_geotiff/A 8887-2026 georefererad karta.tif", "A 8887-2026")</f>
        <v/>
      </c>
      <c r="AA275">
        <f>HYPERLINK("https://klasma.github.io/Logging_0482/klagomål/A 8887-2026 FSC-klagomål.docx", "A 8887-2026")</f>
        <v/>
      </c>
      <c r="AB275">
        <f>HYPERLINK("https://klasma.github.io/Logging_0482/klagomålsmail/A 8887-2026 FSC-klagomål mail.docx", "A 8887-2026")</f>
        <v/>
      </c>
      <c r="AC275">
        <f>HYPERLINK("https://klasma.github.io/Logging_0482/tillsyn/A 8887-2026 tillsynsbegäran.docx", "A 8887-2026")</f>
        <v/>
      </c>
      <c r="AD275">
        <f>HYPERLINK("https://klasma.github.io/Logging_0482/tillsynsmail/A 8887-2026 tillsynsbegäran mail.docx", "A 8887-2026")</f>
        <v/>
      </c>
    </row>
    <row r="276" ht="15" customHeight="1">
      <c r="A276" t="inlineStr">
        <is>
          <t>A 29766-2022</t>
        </is>
      </c>
      <c r="B276" t="inlineStr">
        <is>
          <t>avverkningsanmälan</t>
        </is>
      </c>
      <c r="C276" t="inlineStr">
        <is>
          <t>Föryngringsavverkning</t>
        </is>
      </c>
      <c r="D276" s="1" t="n">
        <v>44755</v>
      </c>
      <c r="E276" s="1" t="n">
        <v>46313</v>
      </c>
      <c r="F276" t="inlineStr">
        <is>
          <t>SÖDERMANLANDS LÄN</t>
        </is>
      </c>
      <c r="G276" t="inlineStr">
        <is>
          <t>NYKÖPING</t>
        </is>
      </c>
      <c r="I276" t="n">
        <v>1</v>
      </c>
      <c r="J276" t="n">
        <v>1</v>
      </c>
      <c r="K276" t="n">
        <v>1</v>
      </c>
      <c r="L276" t="n">
        <v>0</v>
      </c>
      <c r="M276" t="n">
        <v>0</v>
      </c>
      <c r="N276" t="n">
        <v>0</v>
      </c>
      <c r="O276" t="n">
        <v>0</v>
      </c>
      <c r="P276" t="n">
        <v>0</v>
      </c>
      <c r="Q276" t="n">
        <v>0</v>
      </c>
      <c r="R276" t="n">
        <v>0</v>
      </c>
      <c r="S276" t="n">
        <v>2</v>
      </c>
      <c r="T276" t="n">
        <v>2</v>
      </c>
      <c r="U276" t="n">
        <v>0</v>
      </c>
      <c r="V276" s="2" t="inlineStr">
        <is>
          <t>Broskvaxing
Kungsfågel</t>
        </is>
      </c>
      <c r="W276">
        <f>HYPERLINK("https://klasma.github.io/Logging_0480/artfynd/A 29766-2022 artfynd.xlsx", "A 29766-2022")</f>
        <v/>
      </c>
      <c r="X276">
        <f>HYPERLINK("https://klasma.github.io/Logging_0480/kartor/A 29766-2022 karta.png", "A 29766-2022")</f>
        <v/>
      </c>
      <c r="Y276">
        <f>HYPERLINK("https://klasma.github.io/Logging_0480/kartor_geotiff/A 29766-2022 georefererad karta.tif", "A 29766-2022")</f>
        <v/>
      </c>
      <c r="AA276">
        <f>HYPERLINK("https://klasma.github.io/Logging_0480/klagomål/A 29766-2022 FSC-klagomål.docx", "A 29766-2022")</f>
        <v/>
      </c>
      <c r="AB276">
        <f>HYPERLINK("https://klasma.github.io/Logging_0480/klagomålsmail/A 29766-2022 FSC-klagomål mail.docx", "A 29766-2022")</f>
        <v/>
      </c>
      <c r="AC276">
        <f>HYPERLINK("https://klasma.github.io/Logging_0480/tillsyn/A 29766-2022 tillsynsbegäran.docx", "A 29766-2022")</f>
        <v/>
      </c>
      <c r="AD276">
        <f>HYPERLINK("https://klasma.github.io/Logging_0480/tillsynsmail/A 29766-2022 tillsynsbegäran mail.docx", "A 29766-2022")</f>
        <v/>
      </c>
    </row>
    <row r="277" ht="15" customHeight="1">
      <c r="A277" t="inlineStr">
        <is>
          <t>A 49816-2023</t>
        </is>
      </c>
      <c r="B277" t="inlineStr">
        <is>
          <t>avverkningsanmälan</t>
        </is>
      </c>
      <c r="C277" t="inlineStr">
        <is>
          <t>Föryngringsavverkning</t>
        </is>
      </c>
      <c r="D277" s="1" t="n">
        <v>45211</v>
      </c>
      <c r="E277" s="1" t="n">
        <v>46313</v>
      </c>
      <c r="F277" t="inlineStr">
        <is>
          <t>SÖDERMANLANDS LÄN</t>
        </is>
      </c>
      <c r="G277" t="inlineStr">
        <is>
          <t>FLEN</t>
        </is>
      </c>
      <c r="I277" t="n">
        <v>4.6</v>
      </c>
      <c r="J277" t="n">
        <v>0</v>
      </c>
      <c r="K277" t="n">
        <v>0</v>
      </c>
      <c r="L277" t="n">
        <v>2</v>
      </c>
      <c r="M277" t="n">
        <v>0</v>
      </c>
      <c r="N277" t="n">
        <v>0</v>
      </c>
      <c r="O277" t="n">
        <v>0</v>
      </c>
      <c r="P277" t="n">
        <v>0</v>
      </c>
      <c r="Q277" t="n">
        <v>2</v>
      </c>
      <c r="R277" t="n">
        <v>0</v>
      </c>
      <c r="S277" t="n">
        <v>2</v>
      </c>
      <c r="T277" t="n">
        <v>2</v>
      </c>
      <c r="U277" t="n">
        <v>0</v>
      </c>
      <c r="V277" s="2" t="inlineStr">
        <is>
          <t>Reliktbock
Tallticka</t>
        </is>
      </c>
      <c r="W277">
        <f>HYPERLINK("https://klasma.github.io/Logging_0482/artfynd/A 49816-2023 artfynd.xlsx", "A 49816-2023")</f>
        <v/>
      </c>
      <c r="X277">
        <f>HYPERLINK("https://klasma.github.io/Logging_0482/kartor/A 49816-2023 karta.png", "A 49816-2023")</f>
        <v/>
      </c>
      <c r="Y277">
        <f>HYPERLINK("https://klasma.github.io/Logging_0482/kartor_geotiff/A 49816-2023 georefererad karta.tif", "A 49816-2023")</f>
        <v/>
      </c>
      <c r="AA277">
        <f>HYPERLINK("https://klasma.github.io/Logging_0482/klagomål/A 49816-2023 FSC-klagomål.docx", "A 49816-2023")</f>
        <v/>
      </c>
      <c r="AB277">
        <f>HYPERLINK("https://klasma.github.io/Logging_0482/klagomålsmail/A 49816-2023 FSC-klagomål mail.docx", "A 49816-2023")</f>
        <v/>
      </c>
      <c r="AC277">
        <f>HYPERLINK("https://klasma.github.io/Logging_0482/tillsyn/A 49816-2023 tillsynsbegäran.docx", "A 49816-2023")</f>
        <v/>
      </c>
      <c r="AD277">
        <f>HYPERLINK("https://klasma.github.io/Logging_0482/tillsynsmail/A 49816-2023 tillsynsbegäran mail.docx", "A 49816-2023")</f>
        <v/>
      </c>
    </row>
    <row r="278" ht="15" customHeight="1">
      <c r="A278" t="inlineStr">
        <is>
          <t>A 22101-2023</t>
        </is>
      </c>
      <c r="B278" t="inlineStr">
        <is>
          <t>avverkningsanmälan</t>
        </is>
      </c>
      <c r="C278" t="inlineStr">
        <is>
          <t>Föryngringsavverkning</t>
        </is>
      </c>
      <c r="D278" s="1" t="n">
        <v>45068</v>
      </c>
      <c r="E278" s="1" t="n">
        <v>46313</v>
      </c>
      <c r="F278" t="inlineStr">
        <is>
          <t>SÖDERMANLANDS LÄN</t>
        </is>
      </c>
      <c r="G278" t="inlineStr">
        <is>
          <t>FLEN</t>
        </is>
      </c>
      <c r="I278" t="n">
        <v>2.7</v>
      </c>
      <c r="J278" t="n">
        <v>2</v>
      </c>
      <c r="K278" t="n">
        <v>0</v>
      </c>
      <c r="L278" t="n">
        <v>0</v>
      </c>
      <c r="M278" t="n">
        <v>0</v>
      </c>
      <c r="N278" t="n">
        <v>1</v>
      </c>
      <c r="O278" t="n">
        <v>0</v>
      </c>
      <c r="P278" t="n">
        <v>0</v>
      </c>
      <c r="Q278" t="n">
        <v>1</v>
      </c>
      <c r="R278" t="n">
        <v>1</v>
      </c>
      <c r="S278" t="n">
        <v>2</v>
      </c>
      <c r="T278" t="n">
        <v>2</v>
      </c>
      <c r="U278" t="n">
        <v>0</v>
      </c>
      <c r="V278" s="2" t="inlineStr">
        <is>
          <t>Bombmurkla
Blåsippa</t>
        </is>
      </c>
      <c r="W278">
        <f>HYPERLINK("https://klasma.github.io/Logging_0482/artfynd/A 22101-2023 artfynd.xlsx", "A 22101-2023")</f>
        <v/>
      </c>
      <c r="X278">
        <f>HYPERLINK("https://klasma.github.io/Logging_0482/kartor/A 22101-2023 karta.png", "A 22101-2023")</f>
        <v/>
      </c>
      <c r="Y278">
        <f>HYPERLINK("https://klasma.github.io/Logging_0482/kartor_geotiff/A 22101-2023 georefererad karta.tif", "A 22101-2023")</f>
        <v/>
      </c>
      <c r="AA278">
        <f>HYPERLINK("https://klasma.github.io/Logging_0482/klagomål/A 22101-2023 FSC-klagomål.docx", "A 22101-2023")</f>
        <v/>
      </c>
      <c r="AB278">
        <f>HYPERLINK("https://klasma.github.io/Logging_0482/klagomålsmail/A 22101-2023 FSC-klagomål mail.docx", "A 22101-2023")</f>
        <v/>
      </c>
      <c r="AC278">
        <f>HYPERLINK("https://klasma.github.io/Logging_0482/tillsyn/A 22101-2023 tillsynsbegäran.docx", "A 22101-2023")</f>
        <v/>
      </c>
      <c r="AD278">
        <f>HYPERLINK("https://klasma.github.io/Logging_0482/tillsynsmail/A 22101-2023 tillsynsbegäran mail.docx", "A 22101-2023")</f>
        <v/>
      </c>
    </row>
    <row r="279" ht="15" customHeight="1">
      <c r="A279" t="inlineStr">
        <is>
          <t>A 14862-2026</t>
        </is>
      </c>
      <c r="B279" t="inlineStr">
        <is>
          <t>avverkningsanmälan</t>
        </is>
      </c>
      <c r="C279" t="inlineStr">
        <is>
          <t>Föryngringsavverkning</t>
        </is>
      </c>
      <c r="D279" s="1" t="n">
        <v>46104</v>
      </c>
      <c r="E279" s="1" t="n">
        <v>46313</v>
      </c>
      <c r="F279" t="inlineStr">
        <is>
          <t>SÖDERMANLANDS LÄN</t>
        </is>
      </c>
      <c r="G279" t="inlineStr">
        <is>
          <t>NYKÖPING</t>
        </is>
      </c>
      <c r="I279" t="n">
        <v>10.8</v>
      </c>
      <c r="J279" t="n">
        <v>0</v>
      </c>
      <c r="K279" t="n">
        <v>0</v>
      </c>
      <c r="L279" t="n">
        <v>1</v>
      </c>
      <c r="M279" t="n">
        <v>0</v>
      </c>
      <c r="N279" t="n">
        <v>0</v>
      </c>
      <c r="O279" t="n">
        <v>0</v>
      </c>
      <c r="P279" t="n">
        <v>0</v>
      </c>
      <c r="Q279" t="n">
        <v>1</v>
      </c>
      <c r="R279" t="n">
        <v>0</v>
      </c>
      <c r="S279" t="n">
        <v>2</v>
      </c>
      <c r="T279" t="n">
        <v>3</v>
      </c>
      <c r="U279" t="n">
        <v>3</v>
      </c>
      <c r="V279" s="2" t="inlineStr">
        <is>
          <t>Dropptaggsvamp
Blåbär</t>
        </is>
      </c>
      <c r="W279">
        <f>HYPERLINK("https://klasma.github.io/Logging_0480/artfynd/A 14862-2026 artfynd.xlsx", "A 14862-2026")</f>
        <v/>
      </c>
      <c r="X279">
        <f>HYPERLINK("https://klasma.github.io/Logging_0480/kartor/A 14862-2026 karta.png", "A 14862-2026")</f>
        <v/>
      </c>
      <c r="Y279">
        <f>HYPERLINK("https://klasma.github.io/Logging_0480/kartor_geotiff/A 14862-2026 georefererad karta.tif", "A 14862-2026")</f>
        <v/>
      </c>
      <c r="AA279">
        <f>HYPERLINK("https://klasma.github.io/Logging_0480/klagomål/A 14862-2026 FSC-klagomål.docx", "A 14862-2026")</f>
        <v/>
      </c>
      <c r="AB279">
        <f>HYPERLINK("https://klasma.github.io/Logging_0480/klagomålsmail/A 14862-2026 FSC-klagomål mail.docx", "A 14862-2026")</f>
        <v/>
      </c>
      <c r="AC279">
        <f>HYPERLINK("https://klasma.github.io/Logging_0480/tillsyn/A 14862-2026 tillsynsbegäran.docx", "A 14862-2026")</f>
        <v/>
      </c>
      <c r="AD279">
        <f>HYPERLINK("https://klasma.github.io/Logging_0480/tillsynsmail/A 14862-2026 tillsynsbegäran mail.docx", "A 14862-2026")</f>
        <v/>
      </c>
    </row>
    <row r="280" ht="15" customHeight="1">
      <c r="A280" t="inlineStr">
        <is>
          <t>A 12937-2023</t>
        </is>
      </c>
      <c r="B280" t="inlineStr">
        <is>
          <t>avverkningsanmälan</t>
        </is>
      </c>
      <c r="C280" t="inlineStr">
        <is>
          <t>Föryngringsavverkning</t>
        </is>
      </c>
      <c r="D280" s="1" t="n">
        <v>45001</v>
      </c>
      <c r="E280" s="1" t="n">
        <v>46313</v>
      </c>
      <c r="F280" t="inlineStr">
        <is>
          <t>SÖDERMANLANDS LÄN</t>
        </is>
      </c>
      <c r="G280" t="inlineStr">
        <is>
          <t>KATRINEHOLM</t>
        </is>
      </c>
      <c r="I280" t="n">
        <v>0.9</v>
      </c>
      <c r="J280" t="n">
        <v>0</v>
      </c>
      <c r="K280" t="n">
        <v>0</v>
      </c>
      <c r="L280" t="n">
        <v>0</v>
      </c>
      <c r="M280" t="n">
        <v>2</v>
      </c>
      <c r="N280" t="n">
        <v>0</v>
      </c>
      <c r="O280" t="n">
        <v>0</v>
      </c>
      <c r="P280" t="n">
        <v>0</v>
      </c>
      <c r="Q280" t="n">
        <v>2</v>
      </c>
      <c r="R280" t="n">
        <v>2</v>
      </c>
      <c r="S280" t="n">
        <v>2</v>
      </c>
      <c r="T280" t="n">
        <v>2</v>
      </c>
      <c r="U280" t="n">
        <v>0</v>
      </c>
      <c r="V280" s="2" t="inlineStr">
        <is>
          <t>Mörkstiftig hällfibbla
Norsk fetfibbla</t>
        </is>
      </c>
      <c r="W280">
        <f>HYPERLINK("https://klasma.github.io/Logging_0483/artfynd/A 12937-2023 artfynd.xlsx", "A 12937-2023")</f>
        <v/>
      </c>
      <c r="X280">
        <f>HYPERLINK("https://klasma.github.io/Logging_0483/kartor/A 12937-2023 karta.png", "A 12937-2023")</f>
        <v/>
      </c>
      <c r="Y280">
        <f>HYPERLINK("https://klasma.github.io/Logging_0483/kartor_geotiff/A 12937-2023 georefererad karta.tif", "A 12937-2023")</f>
        <v/>
      </c>
      <c r="AA280">
        <f>HYPERLINK("https://klasma.github.io/Logging_0483/klagomål/A 12937-2023 FSC-klagomål.docx", "A 12937-2023")</f>
        <v/>
      </c>
      <c r="AB280">
        <f>HYPERLINK("https://klasma.github.io/Logging_0483/klagomålsmail/A 12937-2023 FSC-klagomål mail.docx", "A 12937-2023")</f>
        <v/>
      </c>
      <c r="AC280">
        <f>HYPERLINK("https://klasma.github.io/Logging_0483/tillsyn/A 12937-2023 tillsynsbegäran.docx", "A 12937-2023")</f>
        <v/>
      </c>
      <c r="AD280">
        <f>HYPERLINK("https://klasma.github.io/Logging_0483/tillsynsmail/A 12937-2023 tillsynsbegäran mail.docx", "A 12937-2023")</f>
        <v/>
      </c>
    </row>
    <row r="281" ht="15" customHeight="1">
      <c r="A281" t="inlineStr">
        <is>
          <t>A 16113-2026</t>
        </is>
      </c>
      <c r="B281" t="inlineStr">
        <is>
          <t>avverkningsanmälan</t>
        </is>
      </c>
      <c r="C281" t="inlineStr">
        <is>
          <t>Föryngringsavverkning</t>
        </is>
      </c>
      <c r="D281" s="1" t="n">
        <v>46108</v>
      </c>
      <c r="E281" s="1" t="n">
        <v>46313</v>
      </c>
      <c r="F281" t="inlineStr">
        <is>
          <t>SÖDERMANLANDS LÄN</t>
        </is>
      </c>
      <c r="G281" t="inlineStr">
        <is>
          <t>KATRINEHOLM</t>
        </is>
      </c>
      <c r="I281" t="n">
        <v>4</v>
      </c>
      <c r="J281" t="n">
        <v>1</v>
      </c>
      <c r="K281" t="n">
        <v>0</v>
      </c>
      <c r="L281" t="n">
        <v>1</v>
      </c>
      <c r="M281" t="n">
        <v>0</v>
      </c>
      <c r="N281" t="n">
        <v>0</v>
      </c>
      <c r="O281" t="n">
        <v>0</v>
      </c>
      <c r="P281" t="n">
        <v>0</v>
      </c>
      <c r="Q281" t="n">
        <v>1</v>
      </c>
      <c r="R281" t="n">
        <v>0</v>
      </c>
      <c r="S281" t="n">
        <v>2</v>
      </c>
      <c r="T281" t="n">
        <v>3</v>
      </c>
      <c r="U281" t="n">
        <v>3</v>
      </c>
      <c r="V281" s="2" t="inlineStr">
        <is>
          <t>Svinrot
Fläcknycklar</t>
        </is>
      </c>
      <c r="W281">
        <f>HYPERLINK("https://klasma.github.io/Logging_0483/artfynd/A 16113-2026 artfynd.xlsx", "A 16113-2026")</f>
        <v/>
      </c>
      <c r="X281">
        <f>HYPERLINK("https://klasma.github.io/Logging_0483/kartor/A 16113-2026 karta.png", "A 16113-2026")</f>
        <v/>
      </c>
      <c r="Y281">
        <f>HYPERLINK("https://klasma.github.io/Logging_0483/kartor_geotiff/A 16113-2026 georefererad karta.tif", "A 16113-2026")</f>
        <v/>
      </c>
      <c r="AA281">
        <f>HYPERLINK("https://klasma.github.io/Logging_0483/klagomål/A 16113-2026 FSC-klagomål.docx", "A 16113-2026")</f>
        <v/>
      </c>
      <c r="AB281">
        <f>HYPERLINK("https://klasma.github.io/Logging_0483/klagomålsmail/A 16113-2026 FSC-klagomål mail.docx", "A 16113-2026")</f>
        <v/>
      </c>
      <c r="AC281">
        <f>HYPERLINK("https://klasma.github.io/Logging_0483/tillsyn/A 16113-2026 tillsynsbegäran.docx", "A 16113-2026")</f>
        <v/>
      </c>
      <c r="AD281">
        <f>HYPERLINK("https://klasma.github.io/Logging_0483/tillsynsmail/A 16113-2026 tillsynsbegäran mail.docx", "A 16113-2026")</f>
        <v/>
      </c>
    </row>
    <row r="282" ht="15" customHeight="1">
      <c r="A282" t="inlineStr">
        <is>
          <t>A 16435-2026</t>
        </is>
      </c>
      <c r="B282" t="inlineStr">
        <is>
          <t>avverkningsanmälan</t>
        </is>
      </c>
      <c r="C282" t="inlineStr">
        <is>
          <t>Föryngringsavverkning</t>
        </is>
      </c>
      <c r="D282" s="1" t="n">
        <v>46111</v>
      </c>
      <c r="E282" s="1" t="n">
        <v>46313</v>
      </c>
      <c r="F282" t="inlineStr">
        <is>
          <t>SÖDERMANLANDS LÄN</t>
        </is>
      </c>
      <c r="G282" t="inlineStr">
        <is>
          <t>KATRINEHOLM</t>
        </is>
      </c>
      <c r="I282" t="n">
        <v>5.7</v>
      </c>
      <c r="J282" t="n">
        <v>1</v>
      </c>
      <c r="K282" t="n">
        <v>0</v>
      </c>
      <c r="L282" t="n">
        <v>1</v>
      </c>
      <c r="M282" t="n">
        <v>0</v>
      </c>
      <c r="N282" t="n">
        <v>0</v>
      </c>
      <c r="O282" t="n">
        <v>0</v>
      </c>
      <c r="P282" t="n">
        <v>0</v>
      </c>
      <c r="Q282" t="n">
        <v>1</v>
      </c>
      <c r="R282" t="n">
        <v>0</v>
      </c>
      <c r="S282" t="n">
        <v>2</v>
      </c>
      <c r="T282" t="n">
        <v>4</v>
      </c>
      <c r="U282" t="n">
        <v>4</v>
      </c>
      <c r="V282" s="2" t="inlineStr">
        <is>
          <t>Dropptaggsvamp
Mattlummer</t>
        </is>
      </c>
      <c r="W282">
        <f>HYPERLINK("https://klasma.github.io/Logging_0483/artfynd/A 16435-2026 artfynd.xlsx", "A 16435-2026")</f>
        <v/>
      </c>
      <c r="X282">
        <f>HYPERLINK("https://klasma.github.io/Logging_0483/kartor/A 16435-2026 karta.png", "A 16435-2026")</f>
        <v/>
      </c>
      <c r="Y282">
        <f>HYPERLINK("https://klasma.github.io/Logging_0483/kartor_geotiff/A 16435-2026 georefererad karta.tif", "A 16435-2026")</f>
        <v/>
      </c>
      <c r="AA282">
        <f>HYPERLINK("https://klasma.github.io/Logging_0483/klagomål/A 16435-2026 FSC-klagomål.docx", "A 16435-2026")</f>
        <v/>
      </c>
      <c r="AB282">
        <f>HYPERLINK("https://klasma.github.io/Logging_0483/klagomålsmail/A 16435-2026 FSC-klagomål mail.docx", "A 16435-2026")</f>
        <v/>
      </c>
      <c r="AC282">
        <f>HYPERLINK("https://klasma.github.io/Logging_0483/tillsyn/A 16435-2026 tillsynsbegäran.docx", "A 16435-2026")</f>
        <v/>
      </c>
      <c r="AD282">
        <f>HYPERLINK("https://klasma.github.io/Logging_0483/tillsynsmail/A 16435-2026 tillsynsbegäran mail.docx", "A 16435-2026")</f>
        <v/>
      </c>
    </row>
    <row r="283" ht="15" customHeight="1">
      <c r="A283" t="inlineStr">
        <is>
          <t>A 59607-2022</t>
        </is>
      </c>
      <c r="B283" t="inlineStr">
        <is>
          <t>avverkningsanmälan</t>
        </is>
      </c>
      <c r="C283" t="inlineStr">
        <is>
          <t>Föryngringsavverkning</t>
        </is>
      </c>
      <c r="D283" s="1" t="n">
        <v>44907</v>
      </c>
      <c r="E283" s="1" t="n">
        <v>46313</v>
      </c>
      <c r="F283" t="inlineStr">
        <is>
          <t>SÖDERMANLANDS LÄN</t>
        </is>
      </c>
      <c r="G283" t="inlineStr">
        <is>
          <t>FLEN</t>
        </is>
      </c>
      <c r="I283" t="n">
        <v>1</v>
      </c>
      <c r="J283" t="n">
        <v>0</v>
      </c>
      <c r="K283" t="n">
        <v>0</v>
      </c>
      <c r="L283" t="n">
        <v>2</v>
      </c>
      <c r="M283" t="n">
        <v>0</v>
      </c>
      <c r="N283" t="n">
        <v>0</v>
      </c>
      <c r="O283" t="n">
        <v>0</v>
      </c>
      <c r="P283" t="n">
        <v>0</v>
      </c>
      <c r="Q283" t="n">
        <v>2</v>
      </c>
      <c r="R283" t="n">
        <v>0</v>
      </c>
      <c r="S283" t="n">
        <v>2</v>
      </c>
      <c r="T283" t="n">
        <v>3</v>
      </c>
      <c r="U283" t="n">
        <v>3</v>
      </c>
      <c r="V283" s="2" t="inlineStr">
        <is>
          <t>Jungfrulin
Svinrot</t>
        </is>
      </c>
      <c r="W283">
        <f>HYPERLINK("https://klasma.github.io/Logging_0482/artfynd/A 59607-2022 artfynd.xlsx", "A 59607-2022")</f>
        <v/>
      </c>
      <c r="X283">
        <f>HYPERLINK("https://klasma.github.io/Logging_0482/kartor/A 59607-2022 karta.png", "A 59607-2022")</f>
        <v/>
      </c>
      <c r="Y283">
        <f>HYPERLINK("https://klasma.github.io/Logging_0482/kartor_geotiff/A 59607-2022 georefererad karta.tif", "A 59607-2022")</f>
        <v/>
      </c>
      <c r="AA283">
        <f>HYPERLINK("https://klasma.github.io/Logging_0482/klagomål/A 59607-2022 FSC-klagomål.docx", "A 59607-2022")</f>
        <v/>
      </c>
      <c r="AB283">
        <f>HYPERLINK("https://klasma.github.io/Logging_0482/klagomålsmail/A 59607-2022 FSC-klagomål mail.docx", "A 59607-2022")</f>
        <v/>
      </c>
      <c r="AC283">
        <f>HYPERLINK("https://klasma.github.io/Logging_0482/tillsyn/A 59607-2022 tillsynsbegäran.docx", "A 59607-2022")</f>
        <v/>
      </c>
      <c r="AD283">
        <f>HYPERLINK("https://klasma.github.io/Logging_0482/tillsynsmail/A 59607-2022 tillsynsbegäran mail.docx", "A 59607-2022")</f>
        <v/>
      </c>
    </row>
    <row r="284" ht="15" customHeight="1">
      <c r="A284" t="inlineStr">
        <is>
          <t>A 11890-2023</t>
        </is>
      </c>
      <c r="B284" t="inlineStr">
        <is>
          <t>avverkningsanmälan</t>
        </is>
      </c>
      <c r="C284" t="inlineStr">
        <is>
          <t>Avverkning för annat ändamål</t>
        </is>
      </c>
      <c r="D284" s="1" t="n">
        <v>44995</v>
      </c>
      <c r="E284" s="1" t="n">
        <v>46313</v>
      </c>
      <c r="F284" t="inlineStr">
        <is>
          <t>SÖDERMANLANDS LÄN</t>
        </is>
      </c>
      <c r="G284" t="inlineStr">
        <is>
          <t>KATRINEHOLM</t>
        </is>
      </c>
      <c r="H284" t="inlineStr">
        <is>
          <t>Kommuner</t>
        </is>
      </c>
      <c r="I284" t="n">
        <v>6.7</v>
      </c>
      <c r="J284" t="n">
        <v>1</v>
      </c>
      <c r="K284" t="n">
        <v>1</v>
      </c>
      <c r="L284" t="n">
        <v>0</v>
      </c>
      <c r="M284" t="n">
        <v>1</v>
      </c>
      <c r="N284" t="n">
        <v>0</v>
      </c>
      <c r="O284" t="n">
        <v>0</v>
      </c>
      <c r="P284" t="n">
        <v>0</v>
      </c>
      <c r="Q284" t="n">
        <v>1</v>
      </c>
      <c r="R284" t="n">
        <v>1</v>
      </c>
      <c r="S284" t="n">
        <v>2</v>
      </c>
      <c r="T284" t="n">
        <v>2</v>
      </c>
      <c r="U284" t="n">
        <v>1</v>
      </c>
      <c r="V284" s="2" t="inlineStr">
        <is>
          <t>Skrovlig taggsvamp
Skogsknipprot</t>
        </is>
      </c>
      <c r="W284">
        <f>HYPERLINK("https://klasma.github.io/Logging_0483/artfynd/A 11890-2023 artfynd.xlsx", "A 11890-2023")</f>
        <v/>
      </c>
      <c r="X284">
        <f>HYPERLINK("https://klasma.github.io/Logging_0483/kartor/A 11890-2023 karta.png", "A 11890-2023")</f>
        <v/>
      </c>
      <c r="Y284">
        <f>HYPERLINK("https://klasma.github.io/Logging_0483/kartor_geotiff/A 11890-2023 georefererad karta.tif", "A 11890-2023")</f>
        <v/>
      </c>
      <c r="AA284">
        <f>HYPERLINK("https://klasma.github.io/Logging_0483/klagomål/A 11890-2023 FSC-klagomål.docx", "A 11890-2023")</f>
        <v/>
      </c>
      <c r="AB284">
        <f>HYPERLINK("https://klasma.github.io/Logging_0483/klagomålsmail/A 11890-2023 FSC-klagomål mail.docx", "A 11890-2023")</f>
        <v/>
      </c>
      <c r="AC284">
        <f>HYPERLINK("https://klasma.github.io/Logging_0483/tillsyn/A 11890-2023 tillsynsbegäran.docx", "A 11890-2023")</f>
        <v/>
      </c>
      <c r="AD284">
        <f>HYPERLINK("https://klasma.github.io/Logging_0483/tillsynsmail/A 11890-2023 tillsynsbegäran mail.docx", "A 11890-2023")</f>
        <v/>
      </c>
    </row>
    <row r="285" ht="15" customHeight="1">
      <c r="A285" t="inlineStr">
        <is>
          <t>A 11890-2023</t>
        </is>
      </c>
      <c r="B285" t="inlineStr">
        <is>
          <t>avverkningsanmälan</t>
        </is>
      </c>
      <c r="C285" t="inlineStr">
        <is>
          <t>Avverkning för annat ändamål</t>
        </is>
      </c>
      <c r="D285" s="1" t="n">
        <v>44995</v>
      </c>
      <c r="E285" s="1" t="n">
        <v>46313</v>
      </c>
      <c r="F285" t="inlineStr">
        <is>
          <t>SÖDERMANLANDS LÄN</t>
        </is>
      </c>
      <c r="G285" t="inlineStr">
        <is>
          <t>KATRINEHOLM</t>
        </is>
      </c>
      <c r="H285" t="inlineStr">
        <is>
          <t>Kommuner</t>
        </is>
      </c>
      <c r="I285" t="n">
        <v>6.7</v>
      </c>
      <c r="J285" t="n">
        <v>1</v>
      </c>
      <c r="K285" t="n">
        <v>1</v>
      </c>
      <c r="L285" t="n">
        <v>0</v>
      </c>
      <c r="M285" t="n">
        <v>1</v>
      </c>
      <c r="N285" t="n">
        <v>0</v>
      </c>
      <c r="O285" t="n">
        <v>0</v>
      </c>
      <c r="P285" t="n">
        <v>0</v>
      </c>
      <c r="Q285" t="n">
        <v>1</v>
      </c>
      <c r="R285" t="n">
        <v>1</v>
      </c>
      <c r="S285" t="n">
        <v>2</v>
      </c>
      <c r="T285" t="n">
        <v>2</v>
      </c>
      <c r="U285" t="n">
        <v>1</v>
      </c>
      <c r="V285" s="2" t="inlineStr">
        <is>
          <t>Skrovlig taggsvamp
Skogsknipprot</t>
        </is>
      </c>
      <c r="W285">
        <f>HYPERLINK("https://klasma.github.io/Logging_0483/artfynd/A 11890-2023 artfynd.xlsx", "A 11890-2023")</f>
        <v/>
      </c>
      <c r="X285">
        <f>HYPERLINK("https://klasma.github.io/Logging_0483/kartor/A 11890-2023 karta.png", "A 11890-2023")</f>
        <v/>
      </c>
      <c r="Y285">
        <f>HYPERLINK("https://klasma.github.io/Logging_0483/kartor_geotiff/A 11890-2023 georefererad karta.tif", "A 11890-2023")</f>
        <v/>
      </c>
      <c r="AA285">
        <f>HYPERLINK("https://klasma.github.io/Logging_0483/klagomål/A 11890-2023 FSC-klagomål.docx", "A 11890-2023")</f>
        <v/>
      </c>
      <c r="AB285">
        <f>HYPERLINK("https://klasma.github.io/Logging_0483/klagomålsmail/A 11890-2023 FSC-klagomål mail.docx", "A 11890-2023")</f>
        <v/>
      </c>
      <c r="AC285">
        <f>HYPERLINK("https://klasma.github.io/Logging_0483/tillsyn/A 11890-2023 tillsynsbegäran.docx", "A 11890-2023")</f>
        <v/>
      </c>
      <c r="AD285">
        <f>HYPERLINK("https://klasma.github.io/Logging_0483/tillsynsmail/A 11890-2023 tillsynsbegäran mail.docx", "A 11890-2023")</f>
        <v/>
      </c>
    </row>
    <row r="286" ht="15" customHeight="1">
      <c r="A286" t="inlineStr">
        <is>
          <t>A 45669-2022</t>
        </is>
      </c>
      <c r="B286" t="inlineStr">
        <is>
          <t>avverkningsanmälan</t>
        </is>
      </c>
      <c r="C286" t="inlineStr">
        <is>
          <t>Föryngringsavverkning</t>
        </is>
      </c>
      <c r="D286" s="1" t="n">
        <v>44845</v>
      </c>
      <c r="E286" s="1" t="n">
        <v>46313</v>
      </c>
      <c r="F286" t="inlineStr">
        <is>
          <t>SÖDERMANLANDS LÄN</t>
        </is>
      </c>
      <c r="G286" t="inlineStr">
        <is>
          <t>STRÄNGNÄS</t>
        </is>
      </c>
      <c r="H286" t="inlineStr">
        <is>
          <t>Kyrkan</t>
        </is>
      </c>
      <c r="I286" t="n">
        <v>6.5</v>
      </c>
      <c r="J286" t="n">
        <v>2</v>
      </c>
      <c r="K286" t="n">
        <v>0</v>
      </c>
      <c r="L286" t="n">
        <v>0</v>
      </c>
      <c r="M286" t="n">
        <v>0</v>
      </c>
      <c r="N286" t="n">
        <v>0</v>
      </c>
      <c r="O286" t="n">
        <v>0</v>
      </c>
      <c r="P286" t="n">
        <v>0</v>
      </c>
      <c r="Q286" t="n">
        <v>0</v>
      </c>
      <c r="R286" t="n">
        <v>0</v>
      </c>
      <c r="S286" t="n">
        <v>2</v>
      </c>
      <c r="T286" t="n">
        <v>2</v>
      </c>
      <c r="U286" t="n">
        <v>2</v>
      </c>
      <c r="V286" s="2" t="inlineStr">
        <is>
          <t>Skogsduva
Törnskata</t>
        </is>
      </c>
      <c r="W286">
        <f>HYPERLINK("https://klasma.github.io/Logging_0486/artfynd/A 45669-2022 artfynd.xlsx", "A 45669-2022")</f>
        <v/>
      </c>
      <c r="X286">
        <f>HYPERLINK("https://klasma.github.io/Logging_0486/kartor/A 45669-2022 karta.png", "A 45669-2022")</f>
        <v/>
      </c>
      <c r="Y286">
        <f>HYPERLINK("https://klasma.github.io/Logging_0486/kartor_geotiff/A 45669-2022 georefererad karta.tif", "A 45669-2022")</f>
        <v/>
      </c>
      <c r="AA286">
        <f>HYPERLINK("https://klasma.github.io/Logging_0486/klagomål/A 45669-2022 FSC-klagomål.docx", "A 45669-2022")</f>
        <v/>
      </c>
      <c r="AB286">
        <f>HYPERLINK("https://klasma.github.io/Logging_0486/klagomålsmail/A 45669-2022 FSC-klagomål mail.docx", "A 45669-2022")</f>
        <v/>
      </c>
      <c r="AC286">
        <f>HYPERLINK("https://klasma.github.io/Logging_0486/tillsyn/A 45669-2022 tillsynsbegäran.docx", "A 45669-2022")</f>
        <v/>
      </c>
      <c r="AD286">
        <f>HYPERLINK("https://klasma.github.io/Logging_0486/tillsynsmail/A 45669-2022 tillsynsbegäran mail.docx", "A 45669-2022")</f>
        <v/>
      </c>
      <c r="AE286">
        <f>HYPERLINK("https://klasma.github.io/Logging_0486/fåglar/A 45669-2022 prioriterade fågelarter.docx", "A 45669-2022")</f>
        <v/>
      </c>
    </row>
    <row r="287" ht="15" customHeight="1">
      <c r="A287" t="inlineStr">
        <is>
          <t>A 5852-2022</t>
        </is>
      </c>
      <c r="B287" t="inlineStr">
        <is>
          <t>avverkningsanmälan</t>
        </is>
      </c>
      <c r="C287" t="inlineStr">
        <is>
          <t>Föryngringsavverkning</t>
        </is>
      </c>
      <c r="D287" s="1" t="n">
        <v>44596</v>
      </c>
      <c r="E287" s="1" t="n">
        <v>46313</v>
      </c>
      <c r="F287" t="inlineStr">
        <is>
          <t>SÖDERMANLANDS LÄN</t>
        </is>
      </c>
      <c r="G287" t="inlineStr">
        <is>
          <t>FLEN</t>
        </is>
      </c>
      <c r="I287" t="n">
        <v>2.6</v>
      </c>
      <c r="J287" t="n">
        <v>1</v>
      </c>
      <c r="K287" t="n">
        <v>1</v>
      </c>
      <c r="L287" t="n">
        <v>0</v>
      </c>
      <c r="M287" t="n">
        <v>0</v>
      </c>
      <c r="N287" t="n">
        <v>0</v>
      </c>
      <c r="O287" t="n">
        <v>0</v>
      </c>
      <c r="P287" t="n">
        <v>0</v>
      </c>
      <c r="Q287" t="n">
        <v>0</v>
      </c>
      <c r="R287" t="n">
        <v>0</v>
      </c>
      <c r="S287" t="n">
        <v>2</v>
      </c>
      <c r="T287" t="n">
        <v>2</v>
      </c>
      <c r="U287" t="n">
        <v>1</v>
      </c>
      <c r="V287" s="2" t="inlineStr">
        <is>
          <t>Kamjordstjärna
Gullviva</t>
        </is>
      </c>
      <c r="W287">
        <f>HYPERLINK("https://klasma.github.io/Logging_0482/artfynd/A 5852-2022 artfynd.xlsx", "A 5852-2022")</f>
        <v/>
      </c>
      <c r="X287">
        <f>HYPERLINK("https://klasma.github.io/Logging_0482/kartor/A 5852-2022 karta.png", "A 5852-2022")</f>
        <v/>
      </c>
      <c r="Y287">
        <f>HYPERLINK("https://klasma.github.io/Logging_0482/kartor_geotiff/A 5852-2022 georefererad karta.tif", "A 5852-2022")</f>
        <v/>
      </c>
      <c r="AA287">
        <f>HYPERLINK("https://klasma.github.io/Logging_0482/klagomål/A 5852-2022 FSC-klagomål.docx", "A 5852-2022")</f>
        <v/>
      </c>
      <c r="AB287">
        <f>HYPERLINK("https://klasma.github.io/Logging_0482/klagomålsmail/A 5852-2022 FSC-klagomål mail.docx", "A 5852-2022")</f>
        <v/>
      </c>
      <c r="AC287">
        <f>HYPERLINK("https://klasma.github.io/Logging_0482/tillsyn/A 5852-2022 tillsynsbegäran.docx", "A 5852-2022")</f>
        <v/>
      </c>
      <c r="AD287">
        <f>HYPERLINK("https://klasma.github.io/Logging_0482/tillsynsmail/A 5852-2022 tillsynsbegäran mail.docx", "A 5852-2022")</f>
        <v/>
      </c>
    </row>
    <row r="288" ht="15" customHeight="1">
      <c r="A288" t="inlineStr">
        <is>
          <t>A 39240-2023</t>
        </is>
      </c>
      <c r="B288" t="inlineStr">
        <is>
          <t>avverkningsanmälan</t>
        </is>
      </c>
      <c r="C288" t="inlineStr">
        <is>
          <t>Föryngringsavverkning</t>
        </is>
      </c>
      <c r="D288" s="1" t="n">
        <v>45166</v>
      </c>
      <c r="E288" s="1" t="n">
        <v>46313</v>
      </c>
      <c r="F288" t="inlineStr">
        <is>
          <t>SÖDERMANLANDS LÄN</t>
        </is>
      </c>
      <c r="G288" t="inlineStr">
        <is>
          <t>FLEN</t>
        </is>
      </c>
      <c r="H288" t="inlineStr">
        <is>
          <t>Holmen skog AB</t>
        </is>
      </c>
      <c r="I288" t="n">
        <v>4.6</v>
      </c>
      <c r="J288" t="n">
        <v>0</v>
      </c>
      <c r="K288" t="n">
        <v>1</v>
      </c>
      <c r="L288" t="n">
        <v>1</v>
      </c>
      <c r="M288" t="n">
        <v>0</v>
      </c>
      <c r="N288" t="n">
        <v>0</v>
      </c>
      <c r="O288" t="n">
        <v>0</v>
      </c>
      <c r="P288" t="n">
        <v>0</v>
      </c>
      <c r="Q288" t="n">
        <v>1</v>
      </c>
      <c r="R288" t="n">
        <v>0</v>
      </c>
      <c r="S288" t="n">
        <v>2</v>
      </c>
      <c r="T288" t="n">
        <v>2</v>
      </c>
      <c r="U288" t="n">
        <v>0</v>
      </c>
      <c r="V288" s="2" t="inlineStr">
        <is>
          <t>Motaggsvamp
Blodticka</t>
        </is>
      </c>
      <c r="W288">
        <f>HYPERLINK("https://klasma.github.io/Logging_0482/artfynd/A 39240-2023 artfynd.xlsx", "A 39240-2023")</f>
        <v/>
      </c>
      <c r="X288">
        <f>HYPERLINK("https://klasma.github.io/Logging_0482/kartor/A 39240-2023 karta.png", "A 39240-2023")</f>
        <v/>
      </c>
      <c r="Y288">
        <f>HYPERLINK("https://klasma.github.io/Logging_0482/kartor_geotiff/A 39240-2023 georefererad karta.tif", "A 39240-2023")</f>
        <v/>
      </c>
      <c r="AA288">
        <f>HYPERLINK("https://klasma.github.io/Logging_0482/klagomål/A 39240-2023 FSC-klagomål.docx", "A 39240-2023")</f>
        <v/>
      </c>
      <c r="AB288">
        <f>HYPERLINK("https://klasma.github.io/Logging_0482/klagomålsmail/A 39240-2023 FSC-klagomål mail.docx", "A 39240-2023")</f>
        <v/>
      </c>
      <c r="AC288">
        <f>HYPERLINK("https://klasma.github.io/Logging_0482/tillsyn/A 39240-2023 tillsynsbegäran.docx", "A 39240-2023")</f>
        <v/>
      </c>
      <c r="AD288">
        <f>HYPERLINK("https://klasma.github.io/Logging_0482/tillsynsmail/A 39240-2023 tillsynsbegäran mail.docx", "A 39240-2023")</f>
        <v/>
      </c>
    </row>
    <row r="289" ht="15" customHeight="1">
      <c r="A289" t="inlineStr">
        <is>
          <t>A 5385-2026</t>
        </is>
      </c>
      <c r="B289" t="inlineStr">
        <is>
          <t>avverkningsanmälan</t>
        </is>
      </c>
      <c r="C289" t="inlineStr">
        <is>
          <t>Föryngringsavverkning</t>
        </is>
      </c>
      <c r="D289" s="1" t="n">
        <v>46050</v>
      </c>
      <c r="E289" s="1" t="n">
        <v>46313</v>
      </c>
      <c r="F289" t="inlineStr">
        <is>
          <t>SÖDERMANLANDS LÄN</t>
        </is>
      </c>
      <c r="G289" t="inlineStr">
        <is>
          <t>NYKÖPING</t>
        </is>
      </c>
      <c r="I289" t="n">
        <v>3.5</v>
      </c>
      <c r="J289" t="n">
        <v>1</v>
      </c>
      <c r="K289" t="n">
        <v>0</v>
      </c>
      <c r="L289" t="n">
        <v>0</v>
      </c>
      <c r="M289" t="n">
        <v>0</v>
      </c>
      <c r="N289" t="n">
        <v>0</v>
      </c>
      <c r="O289" t="n">
        <v>0</v>
      </c>
      <c r="P289" t="n">
        <v>0</v>
      </c>
      <c r="Q289" t="n">
        <v>0</v>
      </c>
      <c r="R289" t="n">
        <v>0</v>
      </c>
      <c r="S289" t="n">
        <v>2</v>
      </c>
      <c r="T289" t="n">
        <v>2</v>
      </c>
      <c r="U289" t="n">
        <v>2</v>
      </c>
      <c r="V289" s="2" t="inlineStr">
        <is>
          <t>Spillkråka
Tallört (aggregat)</t>
        </is>
      </c>
      <c r="W289">
        <f>HYPERLINK("https://klasma.github.io/Logging_0480/artfynd/A 5385-2026 artfynd.xlsx", "A 5385-2026")</f>
        <v/>
      </c>
      <c r="X289">
        <f>HYPERLINK("https://klasma.github.io/Logging_0480/kartor/A 5385-2026 karta.png", "A 5385-2026")</f>
        <v/>
      </c>
      <c r="Y289">
        <f>HYPERLINK("https://klasma.github.io/Logging_0480/kartor_geotiff/A 5385-2026 georefererad karta.tif", "A 5385-2026")</f>
        <v/>
      </c>
      <c r="AA289">
        <f>HYPERLINK("https://klasma.github.io/Logging_0480/klagomål/A 5385-2026 FSC-klagomål.docx", "A 5385-2026")</f>
        <v/>
      </c>
      <c r="AB289">
        <f>HYPERLINK("https://klasma.github.io/Logging_0480/klagomålsmail/A 5385-2026 FSC-klagomål mail.docx", "A 5385-2026")</f>
        <v/>
      </c>
      <c r="AC289">
        <f>HYPERLINK("https://klasma.github.io/Logging_0480/tillsyn/A 5385-2026 tillsynsbegäran.docx", "A 5385-2026")</f>
        <v/>
      </c>
      <c r="AD289">
        <f>HYPERLINK("https://klasma.github.io/Logging_0480/tillsynsmail/A 5385-2026 tillsynsbegäran mail.docx", "A 5385-2026")</f>
        <v/>
      </c>
      <c r="AE289">
        <f>HYPERLINK("https://klasma.github.io/Logging_0480/fåglar/A 5385-2026 prioriterade fågelarter.docx", "A 5385-2026")</f>
        <v/>
      </c>
    </row>
    <row r="290" ht="15" customHeight="1">
      <c r="A290" t="inlineStr">
        <is>
          <t>A 47194-2022</t>
        </is>
      </c>
      <c r="B290" t="inlineStr">
        <is>
          <t>avverkningsanmälan</t>
        </is>
      </c>
      <c r="C290" t="inlineStr">
        <is>
          <t>Föryngringsavverkning</t>
        </is>
      </c>
      <c r="D290" s="1" t="n">
        <v>44848</v>
      </c>
      <c r="E290" s="1" t="n">
        <v>46313</v>
      </c>
      <c r="F290" t="inlineStr">
        <is>
          <t>SÖDERMANLANDS LÄN</t>
        </is>
      </c>
      <c r="G290" t="inlineStr">
        <is>
          <t>FLEN</t>
        </is>
      </c>
      <c r="H290" t="inlineStr">
        <is>
          <t>Övriga statliga verk och myndigheter</t>
        </is>
      </c>
      <c r="I290" t="n">
        <v>2.3</v>
      </c>
      <c r="J290" t="n">
        <v>0</v>
      </c>
      <c r="K290" t="n">
        <v>0</v>
      </c>
      <c r="L290" t="n">
        <v>2</v>
      </c>
      <c r="M290" t="n">
        <v>0</v>
      </c>
      <c r="N290" t="n">
        <v>0</v>
      </c>
      <c r="O290" t="n">
        <v>0</v>
      </c>
      <c r="P290" t="n">
        <v>0</v>
      </c>
      <c r="Q290" t="n">
        <v>2</v>
      </c>
      <c r="R290" t="n">
        <v>0</v>
      </c>
      <c r="S290" t="n">
        <v>2</v>
      </c>
      <c r="T290" t="n">
        <v>3</v>
      </c>
      <c r="U290" t="n">
        <v>3</v>
      </c>
      <c r="V290" s="2" t="inlineStr">
        <is>
          <t>Gullklöver
Svinrot</t>
        </is>
      </c>
      <c r="W290">
        <f>HYPERLINK("https://klasma.github.io/Logging_0482/artfynd/A 47194-2022 artfynd.xlsx", "A 47194-2022")</f>
        <v/>
      </c>
      <c r="X290">
        <f>HYPERLINK("https://klasma.github.io/Logging_0482/kartor/A 47194-2022 karta.png", "A 47194-2022")</f>
        <v/>
      </c>
      <c r="Y290">
        <f>HYPERLINK("https://klasma.github.io/Logging_0482/kartor_geotiff/A 47194-2022 georefererad karta.tif", "A 47194-2022")</f>
        <v/>
      </c>
      <c r="AA290">
        <f>HYPERLINK("https://klasma.github.io/Logging_0482/klagomål/A 47194-2022 FSC-klagomål.docx", "A 47194-2022")</f>
        <v/>
      </c>
      <c r="AB290">
        <f>HYPERLINK("https://klasma.github.io/Logging_0482/klagomålsmail/A 47194-2022 FSC-klagomål mail.docx", "A 47194-2022")</f>
        <v/>
      </c>
      <c r="AC290">
        <f>HYPERLINK("https://klasma.github.io/Logging_0482/tillsyn/A 47194-2022 tillsynsbegäran.docx", "A 47194-2022")</f>
        <v/>
      </c>
      <c r="AD290">
        <f>HYPERLINK("https://klasma.github.io/Logging_0482/tillsynsmail/A 47194-2022 tillsynsbegäran mail.docx", "A 47194-2022")</f>
        <v/>
      </c>
    </row>
    <row r="291" ht="15" customHeight="1">
      <c r="A291" t="inlineStr">
        <is>
          <t>A 62018-2022</t>
        </is>
      </c>
      <c r="B291" t="inlineStr">
        <is>
          <t>avverkningsanmälan</t>
        </is>
      </c>
      <c r="C291" t="inlineStr">
        <is>
          <t>Föryngringsavverkning</t>
        </is>
      </c>
      <c r="D291" s="1" t="n">
        <v>44918</v>
      </c>
      <c r="E291" s="1" t="n">
        <v>46313</v>
      </c>
      <c r="F291" t="inlineStr">
        <is>
          <t>SÖDERMANLANDS LÄN</t>
        </is>
      </c>
      <c r="G291" t="inlineStr">
        <is>
          <t>GNESTA</t>
        </is>
      </c>
      <c r="H291" t="inlineStr">
        <is>
          <t>Kommuner</t>
        </is>
      </c>
      <c r="I291" t="n">
        <v>8.1</v>
      </c>
      <c r="J291" t="n">
        <v>0</v>
      </c>
      <c r="K291" t="n">
        <v>0</v>
      </c>
      <c r="L291" t="n">
        <v>2</v>
      </c>
      <c r="M291" t="n">
        <v>0</v>
      </c>
      <c r="N291" t="n">
        <v>0</v>
      </c>
      <c r="O291" t="n">
        <v>0</v>
      </c>
      <c r="P291" t="n">
        <v>0</v>
      </c>
      <c r="Q291" t="n">
        <v>2</v>
      </c>
      <c r="R291" t="n">
        <v>0</v>
      </c>
      <c r="S291" t="n">
        <v>2</v>
      </c>
      <c r="T291" t="n">
        <v>2</v>
      </c>
      <c r="U291" t="n">
        <v>1</v>
      </c>
      <c r="V291" s="2" t="inlineStr">
        <is>
          <t>Bergjohannesört
Fjällig taggsvamp s.str.</t>
        </is>
      </c>
      <c r="W291">
        <f>HYPERLINK("https://klasma.github.io/Logging_0461/artfynd/A 62018-2022 artfynd.xlsx", "A 62018-2022")</f>
        <v/>
      </c>
      <c r="X291">
        <f>HYPERLINK("https://klasma.github.io/Logging_0461/kartor/A 62018-2022 karta.png", "A 62018-2022")</f>
        <v/>
      </c>
      <c r="Y291">
        <f>HYPERLINK("https://klasma.github.io/Logging_0461/kartor_geotiff/A 62018-2022 georefererad karta.tif", "A 62018-2022")</f>
        <v/>
      </c>
      <c r="AA291">
        <f>HYPERLINK("https://klasma.github.io/Logging_0461/klagomål/A 62018-2022 FSC-klagomål.docx", "A 62018-2022")</f>
        <v/>
      </c>
      <c r="AB291">
        <f>HYPERLINK("https://klasma.github.io/Logging_0461/klagomålsmail/A 62018-2022 FSC-klagomål mail.docx", "A 62018-2022")</f>
        <v/>
      </c>
      <c r="AC291">
        <f>HYPERLINK("https://klasma.github.io/Logging_0461/tillsyn/A 62018-2022 tillsynsbegäran.docx", "A 62018-2022")</f>
        <v/>
      </c>
      <c r="AD291">
        <f>HYPERLINK("https://klasma.github.io/Logging_0461/tillsynsmail/A 62018-2022 tillsynsbegäran mail.docx", "A 62018-2022")</f>
        <v/>
      </c>
    </row>
    <row r="292" ht="15" customHeight="1">
      <c r="A292" t="inlineStr">
        <is>
          <t>A 36967-2026</t>
        </is>
      </c>
      <c r="B292" t="inlineStr">
        <is>
          <t>avverkningsanmälan</t>
        </is>
      </c>
      <c r="C292" t="inlineStr">
        <is>
          <t>Föryngringsavverkning</t>
        </is>
      </c>
      <c r="D292" s="1" t="n">
        <v>46273</v>
      </c>
      <c r="E292" s="1" t="n">
        <v>46313</v>
      </c>
      <c r="F292" t="inlineStr">
        <is>
          <t>SÖDERMANLANDS LÄN</t>
        </is>
      </c>
      <c r="G292" t="inlineStr">
        <is>
          <t>GNESTA</t>
        </is>
      </c>
      <c r="I292" t="n">
        <v>0.7</v>
      </c>
      <c r="J292" t="n">
        <v>1</v>
      </c>
      <c r="K292" t="n">
        <v>1</v>
      </c>
      <c r="L292" t="n">
        <v>0</v>
      </c>
      <c r="M292" t="n">
        <v>0</v>
      </c>
      <c r="N292" t="n">
        <v>0</v>
      </c>
      <c r="O292" t="n">
        <v>0</v>
      </c>
      <c r="P292" t="n">
        <v>0</v>
      </c>
      <c r="Q292" t="n">
        <v>0</v>
      </c>
      <c r="R292" t="n">
        <v>0</v>
      </c>
      <c r="S292" t="n">
        <v>2</v>
      </c>
      <c r="T292" t="n">
        <v>2</v>
      </c>
      <c r="U292" t="n">
        <v>0</v>
      </c>
      <c r="V292" s="2" t="inlineStr">
        <is>
          <t>Grönpyrola
Spillkråka</t>
        </is>
      </c>
      <c r="W292">
        <f>HYPERLINK("https://klasma.github.io/Logging_0461/artfynd/A 36967-2026 artfynd.xlsx", "A 36967-2026")</f>
        <v/>
      </c>
      <c r="X292">
        <f>HYPERLINK("https://klasma.github.io/Logging_0461/kartor/A 36967-2026 karta.png", "A 36967-2026")</f>
        <v/>
      </c>
      <c r="Y292">
        <f>HYPERLINK("https://klasma.github.io/Logging_0461/kartor_geotiff/A 36967-2026 georefererad karta.tif", "A 36967-2026")</f>
        <v/>
      </c>
      <c r="AA292">
        <f>HYPERLINK("https://klasma.github.io/Logging_0461/klagomål/A 36967-2026 FSC-klagomål.docx", "A 36967-2026")</f>
        <v/>
      </c>
      <c r="AB292">
        <f>HYPERLINK("https://klasma.github.io/Logging_0461/klagomålsmail/A 36967-2026 FSC-klagomål mail.docx", "A 36967-2026")</f>
        <v/>
      </c>
      <c r="AC292">
        <f>HYPERLINK("https://klasma.github.io/Logging_0461/tillsyn/A 36967-2026 tillsynsbegäran.docx", "A 36967-2026")</f>
        <v/>
      </c>
      <c r="AD292">
        <f>HYPERLINK("https://klasma.github.io/Logging_0461/tillsynsmail/A 36967-2026 tillsynsbegäran mail.docx", "A 36967-2026")</f>
        <v/>
      </c>
      <c r="AE292">
        <f>HYPERLINK("https://klasma.github.io/Logging_0461/fåglar/A 36967-2026 prioriterade fågelarter.docx", "A 36967-2026")</f>
        <v/>
      </c>
    </row>
    <row r="293" ht="15" customHeight="1">
      <c r="A293" t="inlineStr">
        <is>
          <t>A 34310-2022</t>
        </is>
      </c>
      <c r="B293" t="inlineStr">
        <is>
          <t>avverkningsanmälan</t>
        </is>
      </c>
      <c r="C293" t="inlineStr">
        <is>
          <t>Föryngringsavverkning</t>
        </is>
      </c>
      <c r="D293" s="1" t="n">
        <v>44792</v>
      </c>
      <c r="E293" s="1" t="n">
        <v>46313</v>
      </c>
      <c r="F293" t="inlineStr">
        <is>
          <t>SÖDERMANLANDS LÄN</t>
        </is>
      </c>
      <c r="G293" t="inlineStr">
        <is>
          <t>NYKÖPING</t>
        </is>
      </c>
      <c r="I293" t="n">
        <v>1</v>
      </c>
      <c r="J293" t="n">
        <v>1</v>
      </c>
      <c r="K293" t="n">
        <v>1</v>
      </c>
      <c r="L293" t="n">
        <v>0</v>
      </c>
      <c r="M293" t="n">
        <v>0</v>
      </c>
      <c r="N293" t="n">
        <v>1</v>
      </c>
      <c r="O293" t="n">
        <v>0</v>
      </c>
      <c r="P293" t="n">
        <v>0</v>
      </c>
      <c r="Q293" t="n">
        <v>1</v>
      </c>
      <c r="R293" t="n">
        <v>1</v>
      </c>
      <c r="S293" t="n">
        <v>2</v>
      </c>
      <c r="T293" t="n">
        <v>7</v>
      </c>
      <c r="U293" t="n">
        <v>0</v>
      </c>
      <c r="V293" s="2" t="inlineStr">
        <is>
          <t>Bombmurkla
Grönpyrola</t>
        </is>
      </c>
      <c r="W293">
        <f>HYPERLINK("https://klasma.github.io/Logging_0480/artfynd/A 34310-2022 artfynd.xlsx", "A 34310-2022")</f>
        <v/>
      </c>
      <c r="X293">
        <f>HYPERLINK("https://klasma.github.io/Logging_0480/kartor/A 34310-2022 karta.png", "A 34310-2022")</f>
        <v/>
      </c>
      <c r="Y293">
        <f>HYPERLINK("https://klasma.github.io/Logging_0480/kartor_geotiff/A 34310-2022 georefererad karta.tif", "A 34310-2022")</f>
        <v/>
      </c>
      <c r="AA293">
        <f>HYPERLINK("https://klasma.github.io/Logging_0480/klagomål/A 34310-2022 FSC-klagomål.docx", "A 34310-2022")</f>
        <v/>
      </c>
      <c r="AB293">
        <f>HYPERLINK("https://klasma.github.io/Logging_0480/klagomålsmail/A 34310-2022 FSC-klagomål mail.docx", "A 34310-2022")</f>
        <v/>
      </c>
      <c r="AC293">
        <f>HYPERLINK("https://klasma.github.io/Logging_0480/tillsyn/A 34310-2022 tillsynsbegäran.docx", "A 34310-2022")</f>
        <v/>
      </c>
      <c r="AD293">
        <f>HYPERLINK("https://klasma.github.io/Logging_0480/tillsynsmail/A 34310-2022 tillsynsbegäran mail.docx", "A 34310-2022")</f>
        <v/>
      </c>
    </row>
    <row r="294" ht="15" customHeight="1">
      <c r="A294" t="inlineStr">
        <is>
          <t>A 33107-2022</t>
        </is>
      </c>
      <c r="B294" t="inlineStr">
        <is>
          <t>avverkningsanmälan</t>
        </is>
      </c>
      <c r="C294" t="inlineStr">
        <is>
          <t>Föryngringsavverkning</t>
        </is>
      </c>
      <c r="D294" s="1" t="n">
        <v>44785</v>
      </c>
      <c r="E294" s="1" t="n">
        <v>46313</v>
      </c>
      <c r="F294" t="inlineStr">
        <is>
          <t>SÖDERMANLANDS LÄN</t>
        </is>
      </c>
      <c r="G294" t="inlineStr">
        <is>
          <t>FLEN</t>
        </is>
      </c>
      <c r="I294" t="n">
        <v>5.9</v>
      </c>
      <c r="J294" t="n">
        <v>0</v>
      </c>
      <c r="K294" t="n">
        <v>0</v>
      </c>
      <c r="L294" t="n">
        <v>2</v>
      </c>
      <c r="M294" t="n">
        <v>0</v>
      </c>
      <c r="N294" t="n">
        <v>0</v>
      </c>
      <c r="O294" t="n">
        <v>0</v>
      </c>
      <c r="P294" t="n">
        <v>0</v>
      </c>
      <c r="Q294" t="n">
        <v>2</v>
      </c>
      <c r="R294" t="n">
        <v>0</v>
      </c>
      <c r="S294" t="n">
        <v>2</v>
      </c>
      <c r="T294" t="n">
        <v>2</v>
      </c>
      <c r="U294" t="n">
        <v>2</v>
      </c>
      <c r="V294" s="2" t="inlineStr">
        <is>
          <t>Fjällig taggsvamp s.str.
Gullklöver</t>
        </is>
      </c>
      <c r="W294">
        <f>HYPERLINK("https://klasma.github.io/Logging_0482/artfynd/A 33107-2022 artfynd.xlsx", "A 33107-2022")</f>
        <v/>
      </c>
      <c r="X294">
        <f>HYPERLINK("https://klasma.github.io/Logging_0482/kartor/A 33107-2022 karta.png", "A 33107-2022")</f>
        <v/>
      </c>
      <c r="Y294">
        <f>HYPERLINK("https://klasma.github.io/Logging_0482/kartor_geotiff/A 33107-2022 georefererad karta.tif", "A 33107-2022")</f>
        <v/>
      </c>
      <c r="AA294">
        <f>HYPERLINK("https://klasma.github.io/Logging_0482/klagomål/A 33107-2022 FSC-klagomål.docx", "A 33107-2022")</f>
        <v/>
      </c>
      <c r="AB294">
        <f>HYPERLINK("https://klasma.github.io/Logging_0482/klagomålsmail/A 33107-2022 FSC-klagomål mail.docx", "A 33107-2022")</f>
        <v/>
      </c>
      <c r="AC294">
        <f>HYPERLINK("https://klasma.github.io/Logging_0482/tillsyn/A 33107-2022 tillsynsbegäran.docx", "A 33107-2022")</f>
        <v/>
      </c>
      <c r="AD294">
        <f>HYPERLINK("https://klasma.github.io/Logging_0482/tillsynsmail/A 33107-2022 tillsynsbegäran mail.docx", "A 33107-2022")</f>
        <v/>
      </c>
    </row>
    <row r="295" ht="15" customHeight="1">
      <c r="A295" t="inlineStr">
        <is>
          <t>A 1819-2022</t>
        </is>
      </c>
      <c r="B295" t="inlineStr">
        <is>
          <t>avverkningsanmälan</t>
        </is>
      </c>
      <c r="C295" t="inlineStr">
        <is>
          <t>Föryngringsavverkning</t>
        </is>
      </c>
      <c r="D295" s="1" t="n">
        <v>44574</v>
      </c>
      <c r="E295" s="1" t="n">
        <v>46313</v>
      </c>
      <c r="F295" t="inlineStr">
        <is>
          <t>SÖDERMANLANDS LÄN</t>
        </is>
      </c>
      <c r="G295" t="inlineStr">
        <is>
          <t>STRÄNGNÄS</t>
        </is>
      </c>
      <c r="H295" t="inlineStr">
        <is>
          <t>Sveaskog</t>
        </is>
      </c>
      <c r="I295" t="n">
        <v>4.5</v>
      </c>
      <c r="J295" t="n">
        <v>1</v>
      </c>
      <c r="K295" t="n">
        <v>0</v>
      </c>
      <c r="L295" t="n">
        <v>1</v>
      </c>
      <c r="M295" t="n">
        <v>0</v>
      </c>
      <c r="N295" t="n">
        <v>0</v>
      </c>
      <c r="O295" t="n">
        <v>0</v>
      </c>
      <c r="P295" t="n">
        <v>0</v>
      </c>
      <c r="Q295" t="n">
        <v>1</v>
      </c>
      <c r="R295" t="n">
        <v>0</v>
      </c>
      <c r="S295" t="n">
        <v>2</v>
      </c>
      <c r="T295" t="n">
        <v>2</v>
      </c>
      <c r="U295" t="n">
        <v>2</v>
      </c>
      <c r="V295" s="2" t="inlineStr">
        <is>
          <t>Älg
Tjäder</t>
        </is>
      </c>
      <c r="W295">
        <f>HYPERLINK("https://klasma.github.io/Logging_0486/artfynd/A 1819-2022 artfynd.xlsx", "A 1819-2022")</f>
        <v/>
      </c>
      <c r="X295">
        <f>HYPERLINK("https://klasma.github.io/Logging_0486/kartor/A 1819-2022 karta.png", "A 1819-2022")</f>
        <v/>
      </c>
      <c r="Y295">
        <f>HYPERLINK("https://klasma.github.io/Logging_0486/kartor_geotiff/A 1819-2022 georefererad karta.tif", "A 1819-2022")</f>
        <v/>
      </c>
      <c r="AA295">
        <f>HYPERLINK("https://klasma.github.io/Logging_0486/klagomål/A 1819-2022 FSC-klagomål.docx", "A 1819-2022")</f>
        <v/>
      </c>
      <c r="AB295">
        <f>HYPERLINK("https://klasma.github.io/Logging_0486/klagomålsmail/A 1819-2022 FSC-klagomål mail.docx", "A 1819-2022")</f>
        <v/>
      </c>
      <c r="AC295">
        <f>HYPERLINK("https://klasma.github.io/Logging_0486/tillsyn/A 1819-2022 tillsynsbegäran.docx", "A 1819-2022")</f>
        <v/>
      </c>
      <c r="AD295">
        <f>HYPERLINK("https://klasma.github.io/Logging_0486/tillsynsmail/A 1819-2022 tillsynsbegäran mail.docx", "A 1819-2022")</f>
        <v/>
      </c>
      <c r="AE295">
        <f>HYPERLINK("https://klasma.github.io/Logging_0486/fåglar/A 1819-2022 prioriterade fågelarter.docx", "A 1819-2022")</f>
        <v/>
      </c>
    </row>
    <row r="296" ht="15" customHeight="1">
      <c r="A296" t="inlineStr">
        <is>
          <t>A 62009-2024</t>
        </is>
      </c>
      <c r="B296" t="inlineStr">
        <is>
          <t>avverkningsanmälan</t>
        </is>
      </c>
      <c r="C296" t="inlineStr">
        <is>
          <t>Föryngringsavverkning</t>
        </is>
      </c>
      <c r="D296" s="1" t="n">
        <v>45655</v>
      </c>
      <c r="E296" s="1" t="n">
        <v>46313</v>
      </c>
      <c r="F296" t="inlineStr">
        <is>
          <t>SÖDERMANLANDS LÄN</t>
        </is>
      </c>
      <c r="G296" t="inlineStr">
        <is>
          <t>ESKILSTUNA</t>
        </is>
      </c>
      <c r="H296" t="inlineStr">
        <is>
          <t>Holmen skog AB</t>
        </is>
      </c>
      <c r="I296" t="n">
        <v>11.9</v>
      </c>
      <c r="J296" t="n">
        <v>2</v>
      </c>
      <c r="K296" t="n">
        <v>0</v>
      </c>
      <c r="L296" t="n">
        <v>0</v>
      </c>
      <c r="M296" t="n">
        <v>0</v>
      </c>
      <c r="N296" t="n">
        <v>0</v>
      </c>
      <c r="O296" t="n">
        <v>0</v>
      </c>
      <c r="P296" t="n">
        <v>0</v>
      </c>
      <c r="Q296" t="n">
        <v>0</v>
      </c>
      <c r="R296" t="n">
        <v>0</v>
      </c>
      <c r="S296" t="n">
        <v>2</v>
      </c>
      <c r="T296" t="n">
        <v>3</v>
      </c>
      <c r="U296" t="n">
        <v>1</v>
      </c>
      <c r="V296" s="2" t="inlineStr">
        <is>
          <t>Mattlummer
Revlummer</t>
        </is>
      </c>
      <c r="W296">
        <f>HYPERLINK("https://klasma.github.io/Logging_0484/artfynd/A 62009-2024 artfynd.xlsx", "A 62009-2024")</f>
        <v/>
      </c>
      <c r="X296">
        <f>HYPERLINK("https://klasma.github.io/Logging_0484/kartor/A 62009-2024 karta.png", "A 62009-2024")</f>
        <v/>
      </c>
      <c r="Y296">
        <f>HYPERLINK("https://klasma.github.io/Logging_0484/kartor_geotiff/A 62009-2024 georefererad karta.tif", "A 62009-2024")</f>
        <v/>
      </c>
      <c r="AA296">
        <f>HYPERLINK("https://klasma.github.io/Logging_0484/klagomål/A 62009-2024 FSC-klagomål.docx", "A 62009-2024")</f>
        <v/>
      </c>
      <c r="AB296">
        <f>HYPERLINK("https://klasma.github.io/Logging_0484/klagomålsmail/A 62009-2024 FSC-klagomål mail.docx", "A 62009-2024")</f>
        <v/>
      </c>
      <c r="AC296">
        <f>HYPERLINK("https://klasma.github.io/Logging_0484/tillsyn/A 62009-2024 tillsynsbegäran.docx", "A 62009-2024")</f>
        <v/>
      </c>
      <c r="AD296">
        <f>HYPERLINK("https://klasma.github.io/Logging_0484/tillsynsmail/A 62009-2024 tillsynsbegäran mail.docx", "A 62009-2024")</f>
        <v/>
      </c>
    </row>
    <row r="297" ht="15" customHeight="1">
      <c r="A297" t="inlineStr">
        <is>
          <t>A 38757-2026</t>
        </is>
      </c>
      <c r="B297" t="inlineStr">
        <is>
          <t>avverkningsanmälan</t>
        </is>
      </c>
      <c r="C297" t="inlineStr">
        <is>
          <t>Föryngringsavverkning</t>
        </is>
      </c>
      <c r="D297" s="1" t="n">
        <v>46286</v>
      </c>
      <c r="E297" s="1" t="n">
        <v>46313</v>
      </c>
      <c r="F297" t="inlineStr">
        <is>
          <t>SÖDERMANLANDS LÄN</t>
        </is>
      </c>
      <c r="G297" t="inlineStr">
        <is>
          <t>NYKÖPING</t>
        </is>
      </c>
      <c r="I297" t="n">
        <v>9.1</v>
      </c>
      <c r="J297" t="n">
        <v>0</v>
      </c>
      <c r="K297" t="n">
        <v>0</v>
      </c>
      <c r="L297" t="n">
        <v>2</v>
      </c>
      <c r="M297" t="n">
        <v>0</v>
      </c>
      <c r="N297" t="n">
        <v>0</v>
      </c>
      <c r="O297" t="n">
        <v>0</v>
      </c>
      <c r="P297" t="n">
        <v>0</v>
      </c>
      <c r="Q297" t="n">
        <v>2</v>
      </c>
      <c r="R297" t="n">
        <v>0</v>
      </c>
      <c r="S297" t="n">
        <v>2</v>
      </c>
      <c r="T297" t="n">
        <v>2</v>
      </c>
      <c r="U297" t="n">
        <v>0</v>
      </c>
      <c r="V297" s="2" t="inlineStr">
        <is>
          <t>Blanksvart spiklav
Motaggsvamp</t>
        </is>
      </c>
      <c r="W297">
        <f>HYPERLINK("https://klasma.github.io/Logging_0480/artfynd/A 38757-2026 artfynd.xlsx", "A 38757-2026")</f>
        <v/>
      </c>
      <c r="X297">
        <f>HYPERLINK("https://klasma.github.io/Logging_0480/kartor/A 38757-2026 karta.png", "A 38757-2026")</f>
        <v/>
      </c>
      <c r="Y297">
        <f>HYPERLINK("https://klasma.github.io/Logging_0480/kartor_geotiff/A 38757-2026 georefererad karta.tif", "A 38757-2026")</f>
        <v/>
      </c>
      <c r="AA297">
        <f>HYPERLINK("https://klasma.github.io/Logging_0480/klagomål/A 38757-2026 FSC-klagomål.docx", "A 38757-2026")</f>
        <v/>
      </c>
      <c r="AB297">
        <f>HYPERLINK("https://klasma.github.io/Logging_0480/klagomålsmail/A 38757-2026 FSC-klagomål mail.docx", "A 38757-2026")</f>
        <v/>
      </c>
      <c r="AC297">
        <f>HYPERLINK("https://klasma.github.io/Logging_0480/tillsyn/A 38757-2026 tillsynsbegäran.docx", "A 38757-2026")</f>
        <v/>
      </c>
      <c r="AD297">
        <f>HYPERLINK("https://klasma.github.io/Logging_0480/tillsynsmail/A 38757-2026 tillsynsbegäran mail.docx", "A 38757-2026")</f>
        <v/>
      </c>
    </row>
    <row r="298" ht="15" customHeight="1">
      <c r="A298" t="inlineStr">
        <is>
          <t>A 61105-2025</t>
        </is>
      </c>
      <c r="B298" t="inlineStr">
        <is>
          <t>avverkningsanmälan</t>
        </is>
      </c>
      <c r="C298" t="inlineStr">
        <is>
          <t>Föryngringsavverkning</t>
        </is>
      </c>
      <c r="D298" s="1" t="n">
        <v>46000</v>
      </c>
      <c r="E298" s="1" t="n">
        <v>46313</v>
      </c>
      <c r="F298" t="inlineStr">
        <is>
          <t>SÖDERMANLANDS LÄN</t>
        </is>
      </c>
      <c r="G298" t="inlineStr">
        <is>
          <t>ESKILSTUNA</t>
        </is>
      </c>
      <c r="H298" t="inlineStr">
        <is>
          <t>Allmännings- och besparingsskogar</t>
        </is>
      </c>
      <c r="I298" t="n">
        <v>1.1</v>
      </c>
      <c r="J298" t="n">
        <v>0</v>
      </c>
      <c r="K298" t="n">
        <v>1</v>
      </c>
      <c r="L298" t="n">
        <v>1</v>
      </c>
      <c r="M298" t="n">
        <v>0</v>
      </c>
      <c r="N298" t="n">
        <v>0</v>
      </c>
      <c r="O298" t="n">
        <v>0</v>
      </c>
      <c r="P298" t="n">
        <v>0</v>
      </c>
      <c r="Q298" t="n">
        <v>1</v>
      </c>
      <c r="R298" t="n">
        <v>0</v>
      </c>
      <c r="S298" t="n">
        <v>2</v>
      </c>
      <c r="T298" t="n">
        <v>2</v>
      </c>
      <c r="U298" t="n">
        <v>0</v>
      </c>
      <c r="V298" s="2" t="inlineStr">
        <is>
          <t>Krusfrö
Tibast</t>
        </is>
      </c>
      <c r="W298">
        <f>HYPERLINK("https://klasma.github.io/Logging_0484/artfynd/A 61105-2025 artfynd.xlsx", "A 61105-2025")</f>
        <v/>
      </c>
      <c r="X298">
        <f>HYPERLINK("https://klasma.github.io/Logging_0484/kartor/A 61105-2025 karta.png", "A 61105-2025")</f>
        <v/>
      </c>
      <c r="Y298">
        <f>HYPERLINK("https://klasma.github.io/Logging_0484/kartor_geotiff/A 61105-2025 georefererad karta.tif", "A 61105-2025")</f>
        <v/>
      </c>
      <c r="AA298">
        <f>HYPERLINK("https://klasma.github.io/Logging_0484/klagomål/A 61105-2025 FSC-klagomål.docx", "A 61105-2025")</f>
        <v/>
      </c>
      <c r="AB298">
        <f>HYPERLINK("https://klasma.github.io/Logging_0484/klagomålsmail/A 61105-2025 FSC-klagomål mail.docx", "A 61105-2025")</f>
        <v/>
      </c>
      <c r="AC298">
        <f>HYPERLINK("https://klasma.github.io/Logging_0484/tillsyn/A 61105-2025 tillsynsbegäran.docx", "A 61105-2025")</f>
        <v/>
      </c>
      <c r="AD298">
        <f>HYPERLINK("https://klasma.github.io/Logging_0484/tillsynsmail/A 61105-2025 tillsynsbegäran mail.docx", "A 61105-2025")</f>
        <v/>
      </c>
    </row>
    <row r="299" ht="15" customHeight="1">
      <c r="A299" t="inlineStr">
        <is>
          <t>A 56560-2022</t>
        </is>
      </c>
      <c r="B299" t="inlineStr">
        <is>
          <t>avverkningsanmälan</t>
        </is>
      </c>
      <c r="C299" t="inlineStr">
        <is>
          <t>Föryngringsavverkning</t>
        </is>
      </c>
      <c r="D299" s="1" t="n">
        <v>44893</v>
      </c>
      <c r="E299" s="1" t="n">
        <v>46313</v>
      </c>
      <c r="F299" t="inlineStr">
        <is>
          <t>SÖDERMANLANDS LÄN</t>
        </is>
      </c>
      <c r="G299" t="inlineStr">
        <is>
          <t>NYKÖPING</t>
        </is>
      </c>
      <c r="H299" t="inlineStr">
        <is>
          <t>Övriga Aktiebolag</t>
        </is>
      </c>
      <c r="I299" t="n">
        <v>1.1</v>
      </c>
      <c r="J299" t="n">
        <v>2</v>
      </c>
      <c r="K299" t="n">
        <v>0</v>
      </c>
      <c r="L299" t="n">
        <v>0</v>
      </c>
      <c r="M299" t="n">
        <v>0</v>
      </c>
      <c r="N299" t="n">
        <v>0</v>
      </c>
      <c r="O299" t="n">
        <v>0</v>
      </c>
      <c r="P299" t="n">
        <v>0</v>
      </c>
      <c r="Q299" t="n">
        <v>0</v>
      </c>
      <c r="R299" t="n">
        <v>0</v>
      </c>
      <c r="S299" t="n">
        <v>2</v>
      </c>
      <c r="T299" t="n">
        <v>2</v>
      </c>
      <c r="U299" t="n">
        <v>2</v>
      </c>
      <c r="V299" s="2" t="inlineStr">
        <is>
          <t>Fjällvråk
Kråka</t>
        </is>
      </c>
      <c r="W299">
        <f>HYPERLINK("https://klasma.github.io/Logging_0480/artfynd/A 56560-2022 artfynd.xlsx", "A 56560-2022")</f>
        <v/>
      </c>
      <c r="X299">
        <f>HYPERLINK("https://klasma.github.io/Logging_0480/kartor/A 56560-2022 karta.png", "A 56560-2022")</f>
        <v/>
      </c>
      <c r="Y299">
        <f>HYPERLINK("https://klasma.github.io/Logging_0480/kartor_geotiff/A 56560-2022 georefererad karta.tif", "A 56560-2022")</f>
        <v/>
      </c>
      <c r="AA299">
        <f>HYPERLINK("https://klasma.github.io/Logging_0480/klagomål/A 56560-2022 FSC-klagomål.docx", "A 56560-2022")</f>
        <v/>
      </c>
      <c r="AB299">
        <f>HYPERLINK("https://klasma.github.io/Logging_0480/klagomålsmail/A 56560-2022 FSC-klagomål mail.docx", "A 56560-2022")</f>
        <v/>
      </c>
      <c r="AC299">
        <f>HYPERLINK("https://klasma.github.io/Logging_0480/tillsyn/A 56560-2022 tillsynsbegäran.docx", "A 56560-2022")</f>
        <v/>
      </c>
      <c r="AD299">
        <f>HYPERLINK("https://klasma.github.io/Logging_0480/tillsynsmail/A 56560-2022 tillsynsbegäran mail.docx", "A 56560-2022")</f>
        <v/>
      </c>
      <c r="AE299">
        <f>HYPERLINK("https://klasma.github.io/Logging_0480/fåglar/A 56560-2022 prioriterade fågelarter.docx", "A 56560-2022")</f>
        <v/>
      </c>
    </row>
    <row r="300" ht="15" customHeight="1">
      <c r="A300" t="inlineStr">
        <is>
          <t>A 22511-2026</t>
        </is>
      </c>
      <c r="B300" t="inlineStr">
        <is>
          <t>avverkningsanmälan</t>
        </is>
      </c>
      <c r="C300" t="inlineStr">
        <is>
          <t>Föryngringsavverkning</t>
        </is>
      </c>
      <c r="D300" s="1" t="n">
        <v>46155</v>
      </c>
      <c r="E300" s="1" t="n">
        <v>46313</v>
      </c>
      <c r="F300" t="inlineStr">
        <is>
          <t>SÖDERMANLANDS LÄN</t>
        </is>
      </c>
      <c r="G300" t="inlineStr">
        <is>
          <t>FLEN</t>
        </is>
      </c>
      <c r="I300" t="n">
        <v>2.3</v>
      </c>
      <c r="J300" t="n">
        <v>0</v>
      </c>
      <c r="K300" t="n">
        <v>0</v>
      </c>
      <c r="L300" t="n">
        <v>0</v>
      </c>
      <c r="M300" t="n">
        <v>0</v>
      </c>
      <c r="N300" t="n">
        <v>0</v>
      </c>
      <c r="O300" t="n">
        <v>0</v>
      </c>
      <c r="P300" t="n">
        <v>0</v>
      </c>
      <c r="Q300" t="n">
        <v>0</v>
      </c>
      <c r="R300" t="n">
        <v>0</v>
      </c>
      <c r="S300" t="n">
        <v>2</v>
      </c>
      <c r="T300" t="n">
        <v>2</v>
      </c>
      <c r="U300" t="n">
        <v>2</v>
      </c>
      <c r="V300" s="2" t="inlineStr">
        <is>
          <t>Ormbär
Skriftlav</t>
        </is>
      </c>
      <c r="W300">
        <f>HYPERLINK("https://klasma.github.io/Logging_0482/artfynd/A 22511-2026 artfynd.xlsx", "A 22511-2026")</f>
        <v/>
      </c>
      <c r="X300">
        <f>HYPERLINK("https://klasma.github.io/Logging_0482/kartor/A 22511-2026 karta.png", "A 22511-2026")</f>
        <v/>
      </c>
      <c r="Y300">
        <f>HYPERLINK("https://klasma.github.io/Logging_0482/kartor_geotiff/A 22511-2026 georefererad karta.tif", "A 22511-2026")</f>
        <v/>
      </c>
      <c r="AA300">
        <f>HYPERLINK("https://klasma.github.io/Logging_0482/klagomål/A 22511-2026 FSC-klagomål.docx", "A 22511-2026")</f>
        <v/>
      </c>
      <c r="AB300">
        <f>HYPERLINK("https://klasma.github.io/Logging_0482/klagomålsmail/A 22511-2026 FSC-klagomål mail.docx", "A 22511-2026")</f>
        <v/>
      </c>
      <c r="AC300">
        <f>HYPERLINK("https://klasma.github.io/Logging_0482/tillsyn/A 22511-2026 tillsynsbegäran.docx", "A 22511-2026")</f>
        <v/>
      </c>
      <c r="AD300">
        <f>HYPERLINK("https://klasma.github.io/Logging_0482/tillsynsmail/A 22511-2026 tillsynsbegäran mail.docx", "A 22511-2026")</f>
        <v/>
      </c>
    </row>
    <row r="301" ht="15" customHeight="1">
      <c r="A301" t="inlineStr">
        <is>
          <t>A 1037-2026</t>
        </is>
      </c>
      <c r="B301" t="inlineStr">
        <is>
          <t>avverkningsanmälan</t>
        </is>
      </c>
      <c r="C301" t="inlineStr">
        <is>
          <t>Föryngringsavverkning</t>
        </is>
      </c>
      <c r="D301" s="1" t="n">
        <v>46030</v>
      </c>
      <c r="E301" s="1" t="n">
        <v>46313</v>
      </c>
      <c r="F301" t="inlineStr">
        <is>
          <t>SÖDERMANLANDS LÄN</t>
        </is>
      </c>
      <c r="G301" t="inlineStr">
        <is>
          <t>NYKÖPING</t>
        </is>
      </c>
      <c r="I301" t="n">
        <v>11.6</v>
      </c>
      <c r="J301" t="n">
        <v>2</v>
      </c>
      <c r="K301" t="n">
        <v>0</v>
      </c>
      <c r="L301" t="n">
        <v>1</v>
      </c>
      <c r="M301" t="n">
        <v>0</v>
      </c>
      <c r="N301" t="n">
        <v>0</v>
      </c>
      <c r="O301" t="n">
        <v>0</v>
      </c>
      <c r="P301" t="n">
        <v>0</v>
      </c>
      <c r="Q301" t="n">
        <v>1</v>
      </c>
      <c r="R301" t="n">
        <v>0</v>
      </c>
      <c r="S301" t="n">
        <v>2</v>
      </c>
      <c r="T301" t="n">
        <v>2</v>
      </c>
      <c r="U301" t="n">
        <v>0</v>
      </c>
      <c r="V301" s="2" t="inlineStr">
        <is>
          <t>Talltita
Spillkråka</t>
        </is>
      </c>
      <c r="W301">
        <f>HYPERLINK("https://klasma.github.io/Logging_0480/artfynd/A 1037-2026 artfynd.xlsx", "A 1037-2026")</f>
        <v/>
      </c>
      <c r="X301">
        <f>HYPERLINK("https://klasma.github.io/Logging_0480/kartor/A 1037-2026 karta.png", "A 1037-2026")</f>
        <v/>
      </c>
      <c r="Y301">
        <f>HYPERLINK("https://klasma.github.io/Logging_0480/kartor_geotiff/A 1037-2026 georefererad karta.tif", "A 1037-2026")</f>
        <v/>
      </c>
      <c r="AA301">
        <f>HYPERLINK("https://klasma.github.io/Logging_0480/klagomål/A 1037-2026 FSC-klagomål.docx", "A 1037-2026")</f>
        <v/>
      </c>
      <c r="AB301">
        <f>HYPERLINK("https://klasma.github.io/Logging_0480/klagomålsmail/A 1037-2026 FSC-klagomål mail.docx", "A 1037-2026")</f>
        <v/>
      </c>
      <c r="AC301">
        <f>HYPERLINK("https://klasma.github.io/Logging_0480/tillsyn/A 1037-2026 tillsynsbegäran.docx", "A 1037-2026")</f>
        <v/>
      </c>
      <c r="AD301">
        <f>HYPERLINK("https://klasma.github.io/Logging_0480/tillsynsmail/A 1037-2026 tillsynsbegäran mail.docx", "A 1037-2026")</f>
        <v/>
      </c>
      <c r="AE301">
        <f>HYPERLINK("https://klasma.github.io/Logging_0480/fåglar/A 1037-2026 prioriterade fågelarter.docx", "A 1037-2026")</f>
        <v/>
      </c>
    </row>
    <row r="302" ht="15" customHeight="1">
      <c r="A302" t="inlineStr">
        <is>
          <t>A 10825-2022</t>
        </is>
      </c>
      <c r="B302" t="inlineStr">
        <is>
          <t>avverkningsanmälan</t>
        </is>
      </c>
      <c r="C302" t="inlineStr">
        <is>
          <t>Föryngringsavverkning</t>
        </is>
      </c>
      <c r="D302" s="1" t="n">
        <v>44624</v>
      </c>
      <c r="E302" s="1" t="n">
        <v>46313</v>
      </c>
      <c r="F302" t="inlineStr">
        <is>
          <t>SÖDERMANLANDS LÄN</t>
        </is>
      </c>
      <c r="G302" t="inlineStr">
        <is>
          <t>FLEN</t>
        </is>
      </c>
      <c r="I302" t="n">
        <v>4.7</v>
      </c>
      <c r="J302" t="n">
        <v>0</v>
      </c>
      <c r="K302" t="n">
        <v>0</v>
      </c>
      <c r="L302" t="n">
        <v>2</v>
      </c>
      <c r="M302" t="n">
        <v>0</v>
      </c>
      <c r="N302" t="n">
        <v>0</v>
      </c>
      <c r="O302" t="n">
        <v>0</v>
      </c>
      <c r="P302" t="n">
        <v>0</v>
      </c>
      <c r="Q302" t="n">
        <v>2</v>
      </c>
      <c r="R302" t="n">
        <v>0</v>
      </c>
      <c r="S302" t="n">
        <v>2</v>
      </c>
      <c r="T302" t="n">
        <v>2</v>
      </c>
      <c r="U302" t="n">
        <v>0</v>
      </c>
      <c r="V302" s="2" t="inlineStr">
        <is>
          <t>Svinrot
Vanlig backsmörblomma</t>
        </is>
      </c>
      <c r="W302">
        <f>HYPERLINK("https://klasma.github.io/Logging_0482/artfynd/A 10825-2022 artfynd.xlsx", "A 10825-2022")</f>
        <v/>
      </c>
      <c r="X302">
        <f>HYPERLINK("https://klasma.github.io/Logging_0482/kartor/A 10825-2022 karta.png", "A 10825-2022")</f>
        <v/>
      </c>
      <c r="Y302">
        <f>HYPERLINK("https://klasma.github.io/Logging_0482/kartor_geotiff/A 10825-2022 georefererad karta.tif", "A 10825-2022")</f>
        <v/>
      </c>
      <c r="AA302">
        <f>HYPERLINK("https://klasma.github.io/Logging_0482/klagomål/A 10825-2022 FSC-klagomål.docx", "A 10825-2022")</f>
        <v/>
      </c>
      <c r="AB302">
        <f>HYPERLINK("https://klasma.github.io/Logging_0482/klagomålsmail/A 10825-2022 FSC-klagomål mail.docx", "A 10825-2022")</f>
        <v/>
      </c>
      <c r="AC302">
        <f>HYPERLINK("https://klasma.github.io/Logging_0482/tillsyn/A 10825-2022 tillsynsbegäran.docx", "A 10825-2022")</f>
        <v/>
      </c>
      <c r="AD302">
        <f>HYPERLINK("https://klasma.github.io/Logging_0482/tillsynsmail/A 10825-2022 tillsynsbegäran mail.docx", "A 10825-2022")</f>
        <v/>
      </c>
    </row>
    <row r="303" ht="15" customHeight="1">
      <c r="A303" t="inlineStr">
        <is>
          <t>A 11103-2023</t>
        </is>
      </c>
      <c r="B303" t="inlineStr">
        <is>
          <t>avverkningsanmälan</t>
        </is>
      </c>
      <c r="C303" t="inlineStr">
        <is>
          <t>Föryngringsavverkning</t>
        </is>
      </c>
      <c r="D303" s="1" t="n">
        <v>44986</v>
      </c>
      <c r="E303" s="1" t="n">
        <v>46313</v>
      </c>
      <c r="F303" t="inlineStr">
        <is>
          <t>SÖDERMANLANDS LÄN</t>
        </is>
      </c>
      <c r="G303" t="inlineStr">
        <is>
          <t>FLEN</t>
        </is>
      </c>
      <c r="I303" t="n">
        <v>8.9</v>
      </c>
      <c r="J303" t="n">
        <v>0</v>
      </c>
      <c r="K303" t="n">
        <v>1</v>
      </c>
      <c r="L303" t="n">
        <v>0</v>
      </c>
      <c r="M303" t="n">
        <v>0</v>
      </c>
      <c r="N303" t="n">
        <v>1</v>
      </c>
      <c r="O303" t="n">
        <v>0</v>
      </c>
      <c r="P303" t="n">
        <v>0</v>
      </c>
      <c r="Q303" t="n">
        <v>1</v>
      </c>
      <c r="R303" t="n">
        <v>1</v>
      </c>
      <c r="S303" t="n">
        <v>2</v>
      </c>
      <c r="T303" t="n">
        <v>2</v>
      </c>
      <c r="U303" t="n">
        <v>0</v>
      </c>
      <c r="V303" s="2" t="inlineStr">
        <is>
          <t>Ask
Blåmossa</t>
        </is>
      </c>
      <c r="W303">
        <f>HYPERLINK("https://klasma.github.io/Logging_0482/artfynd/A 11103-2023 artfynd.xlsx", "A 11103-2023")</f>
        <v/>
      </c>
      <c r="X303">
        <f>HYPERLINK("https://klasma.github.io/Logging_0482/kartor/A 11103-2023 karta.png", "A 11103-2023")</f>
        <v/>
      </c>
      <c r="Y303">
        <f>HYPERLINK("https://klasma.github.io/Logging_0482/kartor_geotiff/A 11103-2023 georefererad karta.tif", "A 11103-2023")</f>
        <v/>
      </c>
      <c r="AA303">
        <f>HYPERLINK("https://klasma.github.io/Logging_0482/klagomål/A 11103-2023 FSC-klagomål.docx", "A 11103-2023")</f>
        <v/>
      </c>
      <c r="AB303">
        <f>HYPERLINK("https://klasma.github.io/Logging_0482/klagomålsmail/A 11103-2023 FSC-klagomål mail.docx", "A 11103-2023")</f>
        <v/>
      </c>
      <c r="AC303">
        <f>HYPERLINK("https://klasma.github.io/Logging_0482/tillsyn/A 11103-2023 tillsynsbegäran.docx", "A 11103-2023")</f>
        <v/>
      </c>
      <c r="AD303">
        <f>HYPERLINK("https://klasma.github.io/Logging_0482/tillsynsmail/A 11103-2023 tillsynsbegäran mail.docx", "A 11103-2023")</f>
        <v/>
      </c>
    </row>
    <row r="304" ht="15" customHeight="1">
      <c r="A304" t="inlineStr">
        <is>
          <t>A 14655-2023</t>
        </is>
      </c>
      <c r="B304" t="inlineStr">
        <is>
          <t>avverkningsanmälan</t>
        </is>
      </c>
      <c r="C304" t="inlineStr">
        <is>
          <t>Avverkning för annat ändamål</t>
        </is>
      </c>
      <c r="D304" s="1" t="n">
        <v>45013</v>
      </c>
      <c r="E304" s="1" t="n">
        <v>46313</v>
      </c>
      <c r="F304" t="inlineStr">
        <is>
          <t>SÖDERMANLANDS LÄN</t>
        </is>
      </c>
      <c r="G304" t="inlineStr">
        <is>
          <t>KATRINEHOLM</t>
        </is>
      </c>
      <c r="I304" t="n">
        <v>4.4</v>
      </c>
      <c r="J304" t="n">
        <v>2</v>
      </c>
      <c r="K304" t="n">
        <v>0</v>
      </c>
      <c r="L304" t="n">
        <v>0</v>
      </c>
      <c r="M304" t="n">
        <v>0</v>
      </c>
      <c r="N304" t="n">
        <v>0</v>
      </c>
      <c r="O304" t="n">
        <v>0</v>
      </c>
      <c r="P304" t="n">
        <v>0</v>
      </c>
      <c r="Q304" t="n">
        <v>0</v>
      </c>
      <c r="R304" t="n">
        <v>0</v>
      </c>
      <c r="S304" t="n">
        <v>2</v>
      </c>
      <c r="T304" t="n">
        <v>2</v>
      </c>
      <c r="U304" t="n">
        <v>2</v>
      </c>
      <c r="V304" s="2" t="inlineStr">
        <is>
          <t>Spillkråka
Gröngöling</t>
        </is>
      </c>
      <c r="W304">
        <f>HYPERLINK("https://klasma.github.io/Logging_0483/artfynd/A 14655-2023 artfynd.xlsx", "A 14655-2023")</f>
        <v/>
      </c>
      <c r="X304">
        <f>HYPERLINK("https://klasma.github.io/Logging_0483/kartor/A 14655-2023 karta.png", "A 14655-2023")</f>
        <v/>
      </c>
      <c r="Y304">
        <f>HYPERLINK("https://klasma.github.io/Logging_0483/kartor_geotiff/A 14655-2023 georefererad karta.tif", "A 14655-2023")</f>
        <v/>
      </c>
      <c r="AA304">
        <f>HYPERLINK("https://klasma.github.io/Logging_0483/klagomål/A 14655-2023 FSC-klagomål.docx", "A 14655-2023")</f>
        <v/>
      </c>
      <c r="AB304">
        <f>HYPERLINK("https://klasma.github.io/Logging_0483/klagomålsmail/A 14655-2023 FSC-klagomål mail.docx", "A 14655-2023")</f>
        <v/>
      </c>
      <c r="AC304">
        <f>HYPERLINK("https://klasma.github.io/Logging_0483/tillsyn/A 14655-2023 tillsynsbegäran.docx", "A 14655-2023")</f>
        <v/>
      </c>
      <c r="AD304">
        <f>HYPERLINK("https://klasma.github.io/Logging_0483/tillsynsmail/A 14655-2023 tillsynsbegäran mail.docx", "A 14655-2023")</f>
        <v/>
      </c>
      <c r="AE304">
        <f>HYPERLINK("https://klasma.github.io/Logging_0483/fåglar/A 14655-2023 prioriterade fågelarter.docx", "A 14655-2023")</f>
        <v/>
      </c>
    </row>
    <row r="305" ht="15" customHeight="1">
      <c r="A305" t="inlineStr">
        <is>
          <t>A 32314-2023</t>
        </is>
      </c>
      <c r="B305" t="inlineStr">
        <is>
          <t>avverkningsanmälan</t>
        </is>
      </c>
      <c r="C305" t="inlineStr">
        <is>
          <t>Föryngringsavverkning</t>
        </is>
      </c>
      <c r="D305" s="1" t="n">
        <v>45120</v>
      </c>
      <c r="E305" s="1" t="n">
        <v>46313</v>
      </c>
      <c r="F305" t="inlineStr">
        <is>
          <t>SÖDERMANLANDS LÄN</t>
        </is>
      </c>
      <c r="G305" t="inlineStr">
        <is>
          <t>ESKILSTUNA</t>
        </is>
      </c>
      <c r="H305" t="inlineStr">
        <is>
          <t>Sveaskog</t>
        </is>
      </c>
      <c r="I305" t="n">
        <v>4</v>
      </c>
      <c r="J305" t="n">
        <v>0</v>
      </c>
      <c r="K305" t="n">
        <v>2</v>
      </c>
      <c r="L305" t="n">
        <v>0</v>
      </c>
      <c r="M305" t="n">
        <v>0</v>
      </c>
      <c r="N305" t="n">
        <v>0</v>
      </c>
      <c r="O305" t="n">
        <v>0</v>
      </c>
      <c r="P305" t="n">
        <v>0</v>
      </c>
      <c r="Q305" t="n">
        <v>0</v>
      </c>
      <c r="R305" t="n">
        <v>0</v>
      </c>
      <c r="S305" t="n">
        <v>2</v>
      </c>
      <c r="T305" t="n">
        <v>2</v>
      </c>
      <c r="U305" t="n">
        <v>1</v>
      </c>
      <c r="V305" s="2" t="inlineStr">
        <is>
          <t>Grovticka
Svavelriska</t>
        </is>
      </c>
      <c r="W305">
        <f>HYPERLINK("https://klasma.github.io/Logging_0484/artfynd/A 32314-2023 artfynd.xlsx", "A 32314-2023")</f>
        <v/>
      </c>
      <c r="X305">
        <f>HYPERLINK("https://klasma.github.io/Logging_0484/kartor/A 32314-2023 karta.png", "A 32314-2023")</f>
        <v/>
      </c>
      <c r="Y305">
        <f>HYPERLINK("https://klasma.github.io/Logging_0484/kartor_geotiff/A 32314-2023 georefererad karta.tif", "A 32314-2023")</f>
        <v/>
      </c>
      <c r="AA305">
        <f>HYPERLINK("https://klasma.github.io/Logging_0484/klagomål/A 32314-2023 FSC-klagomål.docx", "A 32314-2023")</f>
        <v/>
      </c>
      <c r="AB305">
        <f>HYPERLINK("https://klasma.github.io/Logging_0484/klagomålsmail/A 32314-2023 FSC-klagomål mail.docx", "A 32314-2023")</f>
        <v/>
      </c>
      <c r="AC305">
        <f>HYPERLINK("https://klasma.github.io/Logging_0484/tillsyn/A 32314-2023 tillsynsbegäran.docx", "A 32314-2023")</f>
        <v/>
      </c>
      <c r="AD305">
        <f>HYPERLINK("https://klasma.github.io/Logging_0484/tillsynsmail/A 32314-2023 tillsynsbegäran mail.docx", "A 32314-2023")</f>
        <v/>
      </c>
    </row>
    <row r="306" ht="15" customHeight="1">
      <c r="A306" t="inlineStr">
        <is>
          <t>A 38923-2024</t>
        </is>
      </c>
      <c r="B306" t="inlineStr">
        <is>
          <t>avverkningsanmälan</t>
        </is>
      </c>
      <c r="C306" t="inlineStr">
        <is>
          <t>Föryngringsavverkning</t>
        </is>
      </c>
      <c r="D306" s="1" t="n">
        <v>45547</v>
      </c>
      <c r="E306" s="1" t="n">
        <v>46313</v>
      </c>
      <c r="F306" t="inlineStr">
        <is>
          <t>SÖDERMANLANDS LÄN</t>
        </is>
      </c>
      <c r="G306" t="inlineStr">
        <is>
          <t>NYKÖPING</t>
        </is>
      </c>
      <c r="I306" t="n">
        <v>18.9</v>
      </c>
      <c r="J306" t="n">
        <v>0</v>
      </c>
      <c r="K306" t="n">
        <v>1</v>
      </c>
      <c r="L306" t="n">
        <v>1</v>
      </c>
      <c r="M306" t="n">
        <v>0</v>
      </c>
      <c r="N306" t="n">
        <v>0</v>
      </c>
      <c r="O306" t="n">
        <v>0</v>
      </c>
      <c r="P306" t="n">
        <v>0</v>
      </c>
      <c r="Q306" t="n">
        <v>1</v>
      </c>
      <c r="R306" t="n">
        <v>0</v>
      </c>
      <c r="S306" t="n">
        <v>2</v>
      </c>
      <c r="T306" t="n">
        <v>4</v>
      </c>
      <c r="U306" t="n">
        <v>1</v>
      </c>
      <c r="V306" s="2" t="inlineStr">
        <is>
          <t>Tallticka
Blodticka</t>
        </is>
      </c>
      <c r="W306">
        <f>HYPERLINK("https://klasma.github.io/Logging_0480/artfynd/A 38923-2024 artfynd.xlsx", "A 38923-2024")</f>
        <v/>
      </c>
      <c r="X306">
        <f>HYPERLINK("https://klasma.github.io/Logging_0480/kartor/A 38923-2024 karta.png", "A 38923-2024")</f>
        <v/>
      </c>
      <c r="Y306">
        <f>HYPERLINK("https://klasma.github.io/Logging_0480/kartor_geotiff/A 38923-2024 georefererad karta.tif", "A 38923-2024")</f>
        <v/>
      </c>
      <c r="AA306">
        <f>HYPERLINK("https://klasma.github.io/Logging_0480/klagomål/A 38923-2024 FSC-klagomål.docx", "A 38923-2024")</f>
        <v/>
      </c>
      <c r="AB306">
        <f>HYPERLINK("https://klasma.github.io/Logging_0480/klagomålsmail/A 38923-2024 FSC-klagomål mail.docx", "A 38923-2024")</f>
        <v/>
      </c>
      <c r="AC306">
        <f>HYPERLINK("https://klasma.github.io/Logging_0480/tillsyn/A 38923-2024 tillsynsbegäran.docx", "A 38923-2024")</f>
        <v/>
      </c>
      <c r="AD306">
        <f>HYPERLINK("https://klasma.github.io/Logging_0480/tillsynsmail/A 38923-2024 tillsynsbegäran mail.docx", "A 38923-2024")</f>
        <v/>
      </c>
    </row>
    <row r="307" ht="15" customHeight="1">
      <c r="A307" t="inlineStr">
        <is>
          <t>A 56728-2025</t>
        </is>
      </c>
      <c r="B307" t="inlineStr">
        <is>
          <t>avverkningsanmälan</t>
        </is>
      </c>
      <c r="C307" t="inlineStr">
        <is>
          <t>Föryngringsavverkning</t>
        </is>
      </c>
      <c r="D307" s="1" t="n">
        <v>45978</v>
      </c>
      <c r="E307" s="1" t="n">
        <v>46313</v>
      </c>
      <c r="F307" t="inlineStr">
        <is>
          <t>SÖDERMANLANDS LÄN</t>
        </is>
      </c>
      <c r="G307" t="inlineStr">
        <is>
          <t>NYKÖPING</t>
        </is>
      </c>
      <c r="H307" t="inlineStr">
        <is>
          <t>Sveaskog</t>
        </is>
      </c>
      <c r="I307" t="n">
        <v>2.5</v>
      </c>
      <c r="J307" t="n">
        <v>2</v>
      </c>
      <c r="K307" t="n">
        <v>0</v>
      </c>
      <c r="L307" t="n">
        <v>0</v>
      </c>
      <c r="M307" t="n">
        <v>1</v>
      </c>
      <c r="N307" t="n">
        <v>0</v>
      </c>
      <c r="O307" t="n">
        <v>0</v>
      </c>
      <c r="P307" t="n">
        <v>0</v>
      </c>
      <c r="Q307" t="n">
        <v>1</v>
      </c>
      <c r="R307" t="n">
        <v>1</v>
      </c>
      <c r="S307" t="n">
        <v>2</v>
      </c>
      <c r="T307" t="n">
        <v>10</v>
      </c>
      <c r="U307" t="n">
        <v>0</v>
      </c>
      <c r="V307" s="2" t="inlineStr">
        <is>
          <t>Sandödla
Vanlig snok</t>
        </is>
      </c>
      <c r="W307">
        <f>HYPERLINK("https://klasma.github.io/Logging_0480/artfynd/A 56728-2025 artfynd.xlsx", "A 56728-2025")</f>
        <v/>
      </c>
      <c r="X307">
        <f>HYPERLINK("https://klasma.github.io/Logging_0480/kartor/A 56728-2025 karta.png", "A 56728-2025")</f>
        <v/>
      </c>
      <c r="Y307">
        <f>HYPERLINK("https://klasma.github.io/Logging_0480/kartor_geotiff/A 56728-2025 georefererad karta.tif", "A 56728-2025")</f>
        <v/>
      </c>
      <c r="AA307">
        <f>HYPERLINK("https://klasma.github.io/Logging_0480/klagomål/A 56728-2025 FSC-klagomål.docx", "A 56728-2025")</f>
        <v/>
      </c>
      <c r="AB307">
        <f>HYPERLINK("https://klasma.github.io/Logging_0480/klagomålsmail/A 56728-2025 FSC-klagomål mail.docx", "A 56728-2025")</f>
        <v/>
      </c>
      <c r="AC307">
        <f>HYPERLINK("https://klasma.github.io/Logging_0480/tillsyn/A 56728-2025 tillsynsbegäran.docx", "A 56728-2025")</f>
        <v/>
      </c>
      <c r="AD307">
        <f>HYPERLINK("https://klasma.github.io/Logging_0480/tillsynsmail/A 56728-2025 tillsynsbegäran mail.docx", "A 56728-2025")</f>
        <v/>
      </c>
    </row>
    <row r="308" ht="15" customHeight="1">
      <c r="A308" t="inlineStr">
        <is>
          <t>A 56725-2025</t>
        </is>
      </c>
      <c r="B308" t="inlineStr">
        <is>
          <t>avverkningsanmälan</t>
        </is>
      </c>
      <c r="C308" t="inlineStr">
        <is>
          <t>Föryngringsavverkning</t>
        </is>
      </c>
      <c r="D308" s="1" t="n">
        <v>45978</v>
      </c>
      <c r="E308" s="1" t="n">
        <v>46313</v>
      </c>
      <c r="F308" t="inlineStr">
        <is>
          <t>SÖDERMANLANDS LÄN</t>
        </is>
      </c>
      <c r="G308" t="inlineStr">
        <is>
          <t>NYKÖPING</t>
        </is>
      </c>
      <c r="H308" t="inlineStr">
        <is>
          <t>Sveaskog</t>
        </is>
      </c>
      <c r="I308" t="n">
        <v>0.6</v>
      </c>
      <c r="J308" t="n">
        <v>2</v>
      </c>
      <c r="K308" t="n">
        <v>0</v>
      </c>
      <c r="L308" t="n">
        <v>0</v>
      </c>
      <c r="M308" t="n">
        <v>0</v>
      </c>
      <c r="N308" t="n">
        <v>0</v>
      </c>
      <c r="O308" t="n">
        <v>0</v>
      </c>
      <c r="P308" t="n">
        <v>0</v>
      </c>
      <c r="Q308" t="n">
        <v>0</v>
      </c>
      <c r="R308" t="n">
        <v>0</v>
      </c>
      <c r="S308" t="n">
        <v>2</v>
      </c>
      <c r="T308" t="n">
        <v>2</v>
      </c>
      <c r="U308" t="n">
        <v>0</v>
      </c>
      <c r="V308" s="2" t="inlineStr">
        <is>
          <t>Vanlig snok
Revlummer</t>
        </is>
      </c>
      <c r="W308">
        <f>HYPERLINK("https://klasma.github.io/Logging_0480/artfynd/A 56725-2025 artfynd.xlsx", "A 56725-2025")</f>
        <v/>
      </c>
      <c r="X308">
        <f>HYPERLINK("https://klasma.github.io/Logging_0480/kartor/A 56725-2025 karta.png", "A 56725-2025")</f>
        <v/>
      </c>
      <c r="Y308">
        <f>HYPERLINK("https://klasma.github.io/Logging_0480/kartor_geotiff/A 56725-2025 georefererad karta.tif", "A 56725-2025")</f>
        <v/>
      </c>
      <c r="AA308">
        <f>HYPERLINK("https://klasma.github.io/Logging_0480/klagomål/A 56725-2025 FSC-klagomål.docx", "A 56725-2025")</f>
        <v/>
      </c>
      <c r="AB308">
        <f>HYPERLINK("https://klasma.github.io/Logging_0480/klagomålsmail/A 56725-2025 FSC-klagomål mail.docx", "A 56725-2025")</f>
        <v/>
      </c>
      <c r="AC308">
        <f>HYPERLINK("https://klasma.github.io/Logging_0480/tillsyn/A 56725-2025 tillsynsbegäran.docx", "A 56725-2025")</f>
        <v/>
      </c>
      <c r="AD308">
        <f>HYPERLINK("https://klasma.github.io/Logging_0480/tillsynsmail/A 56725-2025 tillsynsbegäran mail.docx", "A 56725-2025")</f>
        <v/>
      </c>
    </row>
    <row r="309" ht="15" customHeight="1">
      <c r="A309" t="inlineStr">
        <is>
          <t>A 51326-2024</t>
        </is>
      </c>
      <c r="B309" t="inlineStr">
        <is>
          <t>avverkningsanmälan</t>
        </is>
      </c>
      <c r="C309" t="inlineStr">
        <is>
          <t>Föryngringsavverkning</t>
        </is>
      </c>
      <c r="D309" s="1" t="n">
        <v>45603</v>
      </c>
      <c r="E309" s="1" t="n">
        <v>46313</v>
      </c>
      <c r="F309" t="inlineStr">
        <is>
          <t>SÖDERMANLANDS LÄN</t>
        </is>
      </c>
      <c r="G309" t="inlineStr">
        <is>
          <t>ESKILSTUNA</t>
        </is>
      </c>
      <c r="I309" t="n">
        <v>4</v>
      </c>
      <c r="J309" t="n">
        <v>1</v>
      </c>
      <c r="K309" t="n">
        <v>1</v>
      </c>
      <c r="L309" t="n">
        <v>0</v>
      </c>
      <c r="M309" t="n">
        <v>0</v>
      </c>
      <c r="N309" t="n">
        <v>0</v>
      </c>
      <c r="O309" t="n">
        <v>0</v>
      </c>
      <c r="P309" t="n">
        <v>0</v>
      </c>
      <c r="Q309" t="n">
        <v>0</v>
      </c>
      <c r="R309" t="n">
        <v>0</v>
      </c>
      <c r="S309" t="n">
        <v>2</v>
      </c>
      <c r="T309" t="n">
        <v>3</v>
      </c>
      <c r="U309" t="n">
        <v>0</v>
      </c>
      <c r="V309" s="2" t="inlineStr">
        <is>
          <t>Myskbock
Blåsippa</t>
        </is>
      </c>
      <c r="W309">
        <f>HYPERLINK("https://klasma.github.io/Logging_0484/artfynd/A 51326-2024 artfynd.xlsx", "A 51326-2024")</f>
        <v/>
      </c>
      <c r="X309">
        <f>HYPERLINK("https://klasma.github.io/Logging_0484/kartor/A 51326-2024 karta.png", "A 51326-2024")</f>
        <v/>
      </c>
      <c r="Y309">
        <f>HYPERLINK("https://klasma.github.io/Logging_0484/kartor_geotiff/A 51326-2024 georefererad karta.tif", "A 51326-2024")</f>
        <v/>
      </c>
      <c r="AA309">
        <f>HYPERLINK("https://klasma.github.io/Logging_0484/klagomål/A 51326-2024 FSC-klagomål.docx", "A 51326-2024")</f>
        <v/>
      </c>
      <c r="AB309">
        <f>HYPERLINK("https://klasma.github.io/Logging_0484/klagomålsmail/A 51326-2024 FSC-klagomål mail.docx", "A 51326-2024")</f>
        <v/>
      </c>
      <c r="AC309">
        <f>HYPERLINK("https://klasma.github.io/Logging_0484/tillsyn/A 51326-2024 tillsynsbegäran.docx", "A 51326-2024")</f>
        <v/>
      </c>
      <c r="AD309">
        <f>HYPERLINK("https://klasma.github.io/Logging_0484/tillsynsmail/A 51326-2024 tillsynsbegäran mail.docx", "A 51326-2024")</f>
        <v/>
      </c>
    </row>
    <row r="310" ht="15" customHeight="1">
      <c r="A310" t="inlineStr">
        <is>
          <t>A 34849-2026</t>
        </is>
      </c>
      <c r="B310" t="inlineStr">
        <is>
          <t>avverkningsanmälan</t>
        </is>
      </c>
      <c r="C310" t="inlineStr">
        <is>
          <t>Föryngringsavverkning</t>
        </is>
      </c>
      <c r="D310" s="1" t="n">
        <v>46258</v>
      </c>
      <c r="E310" s="1" t="n">
        <v>46313</v>
      </c>
      <c r="F310" t="inlineStr">
        <is>
          <t>SÖDERMANLANDS LÄN</t>
        </is>
      </c>
      <c r="G310" t="inlineStr">
        <is>
          <t>FLEN</t>
        </is>
      </c>
      <c r="H310" t="inlineStr">
        <is>
          <t>Holmen skog AB</t>
        </is>
      </c>
      <c r="I310" t="n">
        <v>7</v>
      </c>
      <c r="J310" t="n">
        <v>0</v>
      </c>
      <c r="K310" t="n">
        <v>0</v>
      </c>
      <c r="L310" t="n">
        <v>2</v>
      </c>
      <c r="M310" t="n">
        <v>0</v>
      </c>
      <c r="N310" t="n">
        <v>0</v>
      </c>
      <c r="O310" t="n">
        <v>0</v>
      </c>
      <c r="P310" t="n">
        <v>0</v>
      </c>
      <c r="Q310" t="n">
        <v>2</v>
      </c>
      <c r="R310" t="n">
        <v>0</v>
      </c>
      <c r="S310" t="n">
        <v>2</v>
      </c>
      <c r="T310" t="n">
        <v>5</v>
      </c>
      <c r="U310" t="n">
        <v>0</v>
      </c>
      <c r="V310" s="2" t="inlineStr">
        <is>
          <t>Motaggsvamp
Vedskivlav</t>
        </is>
      </c>
      <c r="W310">
        <f>HYPERLINK("https://klasma.github.io/Logging_0482/artfynd/A 34849-2026 artfynd.xlsx", "A 34849-2026")</f>
        <v/>
      </c>
      <c r="X310">
        <f>HYPERLINK("https://klasma.github.io/Logging_0482/kartor/A 34849-2026 karta.png", "A 34849-2026")</f>
        <v/>
      </c>
      <c r="Y310">
        <f>HYPERLINK("https://klasma.github.io/Logging_0482/kartor_geotiff/A 34849-2026 georefererad karta.tif", "A 34849-2026")</f>
        <v/>
      </c>
      <c r="AA310">
        <f>HYPERLINK("https://klasma.github.io/Logging_0482/klagomål/A 34849-2026 FSC-klagomål.docx", "A 34849-2026")</f>
        <v/>
      </c>
      <c r="AB310">
        <f>HYPERLINK("https://klasma.github.io/Logging_0482/klagomålsmail/A 34849-2026 FSC-klagomål mail.docx", "A 34849-2026")</f>
        <v/>
      </c>
      <c r="AC310">
        <f>HYPERLINK("https://klasma.github.io/Logging_0482/tillsyn/A 34849-2026 tillsynsbegäran.docx", "A 34849-2026")</f>
        <v/>
      </c>
      <c r="AD310">
        <f>HYPERLINK("https://klasma.github.io/Logging_0482/tillsynsmail/A 34849-2026 tillsynsbegäran mail.docx", "A 34849-2026")</f>
        <v/>
      </c>
    </row>
    <row r="311" ht="15" customHeight="1">
      <c r="A311" t="inlineStr">
        <is>
          <t>A 24464-2025</t>
        </is>
      </c>
      <c r="B311" t="inlineStr">
        <is>
          <t>avverkningsanmälan</t>
        </is>
      </c>
      <c r="C311" t="inlineStr">
        <is>
          <t>Föryngringsavverkning</t>
        </is>
      </c>
      <c r="D311" s="1" t="n">
        <v>45798</v>
      </c>
      <c r="E311" s="1" t="n">
        <v>46313</v>
      </c>
      <c r="F311" t="inlineStr">
        <is>
          <t>SÖDERMANLANDS LÄN</t>
        </is>
      </c>
      <c r="G311" t="inlineStr">
        <is>
          <t>FLEN</t>
        </is>
      </c>
      <c r="H311" t="inlineStr">
        <is>
          <t>Holmen skog AB</t>
        </is>
      </c>
      <c r="I311" t="n">
        <v>1.1</v>
      </c>
      <c r="J311" t="n">
        <v>0</v>
      </c>
      <c r="K311" t="n">
        <v>0</v>
      </c>
      <c r="L311" t="n">
        <v>2</v>
      </c>
      <c r="M311" t="n">
        <v>0</v>
      </c>
      <c r="N311" t="n">
        <v>0</v>
      </c>
      <c r="O311" t="n">
        <v>0</v>
      </c>
      <c r="P311" t="n">
        <v>0</v>
      </c>
      <c r="Q311" t="n">
        <v>2</v>
      </c>
      <c r="R311" t="n">
        <v>0</v>
      </c>
      <c r="S311" t="n">
        <v>2</v>
      </c>
      <c r="T311" t="n">
        <v>3</v>
      </c>
      <c r="U311" t="n">
        <v>0</v>
      </c>
      <c r="V311" s="2" t="inlineStr">
        <is>
          <t>Motaggsvamp
Vedskivlav</t>
        </is>
      </c>
      <c r="W311">
        <f>HYPERLINK("https://klasma.github.io/Logging_0482/artfynd/A 24464-2025 artfynd.xlsx", "A 24464-2025")</f>
        <v/>
      </c>
      <c r="X311">
        <f>HYPERLINK("https://klasma.github.io/Logging_0482/kartor/A 24464-2025 karta.png", "A 24464-2025")</f>
        <v/>
      </c>
      <c r="Y311">
        <f>HYPERLINK("https://klasma.github.io/Logging_0482/kartor_geotiff/A 24464-2025 georefererad karta.tif", "A 24464-2025")</f>
        <v/>
      </c>
      <c r="AA311">
        <f>HYPERLINK("https://klasma.github.io/Logging_0482/klagomål/A 24464-2025 FSC-klagomål.docx", "A 24464-2025")</f>
        <v/>
      </c>
      <c r="AB311">
        <f>HYPERLINK("https://klasma.github.io/Logging_0482/klagomålsmail/A 24464-2025 FSC-klagomål mail.docx", "A 24464-2025")</f>
        <v/>
      </c>
      <c r="AC311">
        <f>HYPERLINK("https://klasma.github.io/Logging_0482/tillsyn/A 24464-2025 tillsynsbegäran.docx", "A 24464-2025")</f>
        <v/>
      </c>
      <c r="AD311">
        <f>HYPERLINK("https://klasma.github.io/Logging_0482/tillsynsmail/A 24464-2025 tillsynsbegäran mail.docx", "A 24464-2025")</f>
        <v/>
      </c>
    </row>
    <row r="312" ht="15" customHeight="1">
      <c r="A312" t="inlineStr">
        <is>
          <t>A 34986-2025</t>
        </is>
      </c>
      <c r="B312" t="inlineStr">
        <is>
          <t>avverkningsanmälan</t>
        </is>
      </c>
      <c r="C312" t="inlineStr">
        <is>
          <t>Föryngringsavverkning</t>
        </is>
      </c>
      <c r="D312" s="1" t="n">
        <v>45849</v>
      </c>
      <c r="E312" s="1" t="n">
        <v>46313</v>
      </c>
      <c r="F312" t="inlineStr">
        <is>
          <t>SÖDERMANLANDS LÄN</t>
        </is>
      </c>
      <c r="G312" t="inlineStr">
        <is>
          <t>ESKILSTUNA</t>
        </is>
      </c>
      <c r="H312" t="inlineStr">
        <is>
          <t>Allmännings- och besparingsskogar</t>
        </is>
      </c>
      <c r="I312" t="n">
        <v>1.1</v>
      </c>
      <c r="J312" t="n">
        <v>1</v>
      </c>
      <c r="K312" t="n">
        <v>1</v>
      </c>
      <c r="L312" t="n">
        <v>0</v>
      </c>
      <c r="M312" t="n">
        <v>0</v>
      </c>
      <c r="N312" t="n">
        <v>0</v>
      </c>
      <c r="O312" t="n">
        <v>0</v>
      </c>
      <c r="P312" t="n">
        <v>0</v>
      </c>
      <c r="Q312" t="n">
        <v>0</v>
      </c>
      <c r="R312" t="n">
        <v>0</v>
      </c>
      <c r="S312" t="n">
        <v>2</v>
      </c>
      <c r="T312" t="n">
        <v>2</v>
      </c>
      <c r="U312" t="n">
        <v>1</v>
      </c>
      <c r="V312" s="2" t="inlineStr">
        <is>
          <t>Svart trolldruva
Spillkråka</t>
        </is>
      </c>
      <c r="W312">
        <f>HYPERLINK("https://klasma.github.io/Logging_0484/artfynd/A 34986-2025 artfynd.xlsx", "A 34986-2025")</f>
        <v/>
      </c>
      <c r="X312">
        <f>HYPERLINK("https://klasma.github.io/Logging_0484/kartor/A 34986-2025 karta.png", "A 34986-2025")</f>
        <v/>
      </c>
      <c r="Y312">
        <f>HYPERLINK("https://klasma.github.io/Logging_0484/kartor_geotiff/A 34986-2025 georefererad karta.tif", "A 34986-2025")</f>
        <v/>
      </c>
      <c r="AA312">
        <f>HYPERLINK("https://klasma.github.io/Logging_0484/klagomål/A 34986-2025 FSC-klagomål.docx", "A 34986-2025")</f>
        <v/>
      </c>
      <c r="AB312">
        <f>HYPERLINK("https://klasma.github.io/Logging_0484/klagomålsmail/A 34986-2025 FSC-klagomål mail.docx", "A 34986-2025")</f>
        <v/>
      </c>
      <c r="AC312">
        <f>HYPERLINK("https://klasma.github.io/Logging_0484/tillsyn/A 34986-2025 tillsynsbegäran.docx", "A 34986-2025")</f>
        <v/>
      </c>
      <c r="AD312">
        <f>HYPERLINK("https://klasma.github.io/Logging_0484/tillsynsmail/A 34986-2025 tillsynsbegäran mail.docx", "A 34986-2025")</f>
        <v/>
      </c>
      <c r="AE312">
        <f>HYPERLINK("https://klasma.github.io/Logging_0484/fåglar/A 34986-2025 prioriterade fågelarter.docx", "A 34986-2025")</f>
        <v/>
      </c>
    </row>
    <row r="313" ht="15" customHeight="1">
      <c r="A313" t="inlineStr">
        <is>
          <t>S 1332-2020</t>
        </is>
      </c>
      <c r="B313" t="inlineStr">
        <is>
          <t>samrådsanmälan</t>
        </is>
      </c>
      <c r="C313" t="inlineStr">
        <is>
          <t>Åtgärd i nyckelbiotop</t>
        </is>
      </c>
      <c r="D313" s="1" t="n">
        <v>43993</v>
      </c>
      <c r="E313" s="1" t="n">
        <v>46313</v>
      </c>
      <c r="F313" t="inlineStr">
        <is>
          <t>SÖDERMANLANDS LÄN</t>
        </is>
      </c>
      <c r="G313" t="inlineStr">
        <is>
          <t>ESKILSTUNA</t>
        </is>
      </c>
      <c r="I313" t="n">
        <v>0.9</v>
      </c>
      <c r="J313" t="n">
        <v>2</v>
      </c>
      <c r="K313" t="n">
        <v>0</v>
      </c>
      <c r="L313" t="n">
        <v>0</v>
      </c>
      <c r="M313" t="n">
        <v>0</v>
      </c>
      <c r="N313" t="n">
        <v>0</v>
      </c>
      <c r="O313" t="n">
        <v>0</v>
      </c>
      <c r="P313" t="n">
        <v>0</v>
      </c>
      <c r="Q313" t="n">
        <v>0</v>
      </c>
      <c r="R313" t="n">
        <v>0</v>
      </c>
      <c r="S313" t="n">
        <v>2</v>
      </c>
      <c r="T313" t="n">
        <v>2</v>
      </c>
      <c r="U313" t="n">
        <v>1</v>
      </c>
      <c r="V313" s="2" t="inlineStr">
        <is>
          <t>Blåsippa
Törnskata</t>
        </is>
      </c>
      <c r="W313">
        <f>HYPERLINK("https://klasma.github.io/Logging_0484/artfynd/S 1332-2020 artfynd.xlsx", "S 1332-2020")</f>
        <v/>
      </c>
      <c r="X313">
        <f>HYPERLINK("https://klasma.github.io/Logging_0484/kartor/S 1332-2020 karta.png", "S 1332-2020")</f>
        <v/>
      </c>
      <c r="Y313">
        <f>HYPERLINK("https://klasma.github.io/Logging_0484/kartor_geotiff/S 1332-2020 georefererad karta.tif", "S 1332-2020")</f>
        <v/>
      </c>
      <c r="AA313">
        <f>HYPERLINK("https://klasma.github.io/Logging_0484/klagomål/S 1332-2020 FSC-klagomål.docx", "S 1332-2020")</f>
        <v/>
      </c>
      <c r="AB313">
        <f>HYPERLINK("https://klasma.github.io/Logging_0484/klagomålsmail/S 1332-2020 FSC-klagomål mail.docx", "S 1332-2020")</f>
        <v/>
      </c>
      <c r="AC313">
        <f>HYPERLINK("https://klasma.github.io/Logging_0484/tillsyn/S 1332-2020 tillsynsbegäran.docx", "S 1332-2020")</f>
        <v/>
      </c>
      <c r="AD313">
        <f>HYPERLINK("https://klasma.github.io/Logging_0484/tillsynsmail/S 1332-2020 tillsynsbegäran mail.docx", "S 1332-2020")</f>
        <v/>
      </c>
      <c r="AE313">
        <f>HYPERLINK("https://klasma.github.io/Logging_0484/fåglar/S 1332-2020 prioriterade fågelarter.docx", "S 1332-2020")</f>
        <v/>
      </c>
    </row>
    <row r="314" ht="15" customHeight="1">
      <c r="A314" t="inlineStr">
        <is>
          <t>S 5250-2022</t>
        </is>
      </c>
      <c r="B314" t="inlineStr">
        <is>
          <t>samrådsanmälan</t>
        </is>
      </c>
      <c r="C314" t="inlineStr">
        <is>
          <t>Annan skogsbruksåtgärd</t>
        </is>
      </c>
      <c r="D314" s="1" t="n">
        <v>44825</v>
      </c>
      <c r="E314" s="1" t="n">
        <v>46313</v>
      </c>
      <c r="F314" t="inlineStr">
        <is>
          <t>SÖDERMANLANDS LÄN</t>
        </is>
      </c>
      <c r="G314" t="inlineStr">
        <is>
          <t>NYKÖPING</t>
        </is>
      </c>
      <c r="I314" t="n">
        <v>3.1</v>
      </c>
      <c r="J314" t="n">
        <v>1</v>
      </c>
      <c r="K314" t="n">
        <v>1</v>
      </c>
      <c r="L314" t="n">
        <v>0</v>
      </c>
      <c r="M314" t="n">
        <v>0</v>
      </c>
      <c r="N314" t="n">
        <v>1</v>
      </c>
      <c r="O314" t="n">
        <v>0</v>
      </c>
      <c r="P314" t="n">
        <v>0</v>
      </c>
      <c r="Q314" t="n">
        <v>1</v>
      </c>
      <c r="R314" t="n">
        <v>1</v>
      </c>
      <c r="S314" t="n">
        <v>2</v>
      </c>
      <c r="T314" t="n">
        <v>2</v>
      </c>
      <c r="U314" t="n">
        <v>0</v>
      </c>
      <c r="V314" s="2" t="inlineStr">
        <is>
          <t>Ask
Grön sköldmossa</t>
        </is>
      </c>
      <c r="W314">
        <f>HYPERLINK("https://klasma.github.io/Logging_0480/artfynd/S 5250-2022 artfynd.xlsx", "S 5250-2022")</f>
        <v/>
      </c>
      <c r="X314">
        <f>HYPERLINK("https://klasma.github.io/Logging_0480/kartor/S 5250-2022 karta.png", "S 5250-2022")</f>
        <v/>
      </c>
      <c r="Y314">
        <f>HYPERLINK("https://klasma.github.io/Logging_0480/kartor_geotiff/S 5250-2022 georefererad karta.tif", "S 5250-2022")</f>
        <v/>
      </c>
      <c r="AA314">
        <f>HYPERLINK("https://klasma.github.io/Logging_0480/klagomål/S 5250-2022 FSC-klagomål.docx", "S 5250-2022")</f>
        <v/>
      </c>
      <c r="AB314">
        <f>HYPERLINK("https://klasma.github.io/Logging_0480/klagomålsmail/S 5250-2022 FSC-klagomål mail.docx", "S 5250-2022")</f>
        <v/>
      </c>
      <c r="AC314">
        <f>HYPERLINK("https://klasma.github.io/Logging_0480/tillsyn/S 5250-2022 tillsynsbegäran.docx", "S 5250-2022")</f>
        <v/>
      </c>
      <c r="AD314">
        <f>HYPERLINK("https://klasma.github.io/Logging_0480/tillsynsmail/S 5250-2022 tillsynsbegäran mail.docx", "S 5250-2022")</f>
        <v/>
      </c>
    </row>
    <row r="315" ht="15" customHeight="1">
      <c r="A315" t="inlineStr">
        <is>
          <t>S 165-2024</t>
        </is>
      </c>
      <c r="B315" t="inlineStr">
        <is>
          <t>samrådsanmälan</t>
        </is>
      </c>
      <c r="C315" t="inlineStr">
        <is>
          <t>Annan skogsbruksåtgärd</t>
        </is>
      </c>
      <c r="D315" s="1" t="n">
        <v>45310</v>
      </c>
      <c r="E315" s="1" t="n">
        <v>46313</v>
      </c>
      <c r="F315" t="inlineStr">
        <is>
          <t>SÖDERMANLANDS LÄN</t>
        </is>
      </c>
      <c r="G315" t="inlineStr">
        <is>
          <t>STRÄNGNÄS</t>
        </is>
      </c>
      <c r="I315" t="n">
        <v>1.8</v>
      </c>
      <c r="J315" t="n">
        <v>2</v>
      </c>
      <c r="K315" t="n">
        <v>0</v>
      </c>
      <c r="L315" t="n">
        <v>0</v>
      </c>
      <c r="M315" t="n">
        <v>0</v>
      </c>
      <c r="N315" t="n">
        <v>0</v>
      </c>
      <c r="O315" t="n">
        <v>0</v>
      </c>
      <c r="P315" t="n">
        <v>0</v>
      </c>
      <c r="Q315" t="n">
        <v>0</v>
      </c>
      <c r="R315" t="n">
        <v>0</v>
      </c>
      <c r="S315" t="n">
        <v>2</v>
      </c>
      <c r="T315" t="n">
        <v>4</v>
      </c>
      <c r="U315" t="n">
        <v>0</v>
      </c>
      <c r="V315" s="2" t="inlineStr">
        <is>
          <t>Gröngöling
Mistel</t>
        </is>
      </c>
      <c r="W315">
        <f>HYPERLINK("https://klasma.github.io/Logging_0486/artfynd/S 165-2024 artfynd.xlsx", "S 165-2024")</f>
        <v/>
      </c>
      <c r="X315">
        <f>HYPERLINK("https://klasma.github.io/Logging_0486/kartor/S 165-2024 karta.png", "S 165-2024")</f>
        <v/>
      </c>
      <c r="Y315">
        <f>HYPERLINK("https://klasma.github.io/Logging_0486/kartor_geotiff/S 165-2024 georefererad karta.tif", "S 165-2024")</f>
        <v/>
      </c>
      <c r="AA315">
        <f>HYPERLINK("https://klasma.github.io/Logging_0486/klagomål/S 165-2024 FSC-klagomål.docx", "S 165-2024")</f>
        <v/>
      </c>
      <c r="AB315">
        <f>HYPERLINK("https://klasma.github.io/Logging_0486/klagomålsmail/S 165-2024 FSC-klagomål mail.docx", "S 165-2024")</f>
        <v/>
      </c>
      <c r="AC315">
        <f>HYPERLINK("https://klasma.github.io/Logging_0486/tillsyn/S 165-2024 tillsynsbegäran.docx", "S 165-2024")</f>
        <v/>
      </c>
      <c r="AD315">
        <f>HYPERLINK("https://klasma.github.io/Logging_0486/tillsynsmail/S 165-2024 tillsynsbegäran mail.docx", "S 165-2024")</f>
        <v/>
      </c>
    </row>
    <row r="316" ht="15" customHeight="1">
      <c r="A316" t="inlineStr">
        <is>
          <t>S 9518-2021</t>
        </is>
      </c>
      <c r="B316" t="inlineStr">
        <is>
          <t>samrådsanmälan</t>
        </is>
      </c>
      <c r="C316" t="inlineStr">
        <is>
          <t>Annan skogsbruksåtgärd</t>
        </is>
      </c>
      <c r="D316" s="1" t="n">
        <v>44525</v>
      </c>
      <c r="E316" s="1" t="n">
        <v>46313</v>
      </c>
      <c r="F316" t="inlineStr">
        <is>
          <t>SÖDERMANLANDS LÄN</t>
        </is>
      </c>
      <c r="G316" t="inlineStr">
        <is>
          <t>ESKILSTUNA</t>
        </is>
      </c>
      <c r="I316" t="n">
        <v>1.8</v>
      </c>
      <c r="J316" t="n">
        <v>2</v>
      </c>
      <c r="K316" t="n">
        <v>0</v>
      </c>
      <c r="L316" t="n">
        <v>0</v>
      </c>
      <c r="M316" t="n">
        <v>0</v>
      </c>
      <c r="N316" t="n">
        <v>0</v>
      </c>
      <c r="O316" t="n">
        <v>0</v>
      </c>
      <c r="P316" t="n">
        <v>0</v>
      </c>
      <c r="Q316" t="n">
        <v>0</v>
      </c>
      <c r="R316" t="n">
        <v>0</v>
      </c>
      <c r="S316" t="n">
        <v>2</v>
      </c>
      <c r="T316" t="n">
        <v>2</v>
      </c>
      <c r="U316" t="n">
        <v>0</v>
      </c>
      <c r="V316" s="2" t="inlineStr">
        <is>
          <t>Nattviol
Lopplummer (aggregat)</t>
        </is>
      </c>
      <c r="W316">
        <f>HYPERLINK("https://klasma.github.io/Logging_0484/artfynd/S 9518-2021 artfynd.xlsx", "S 9518-2021")</f>
        <v/>
      </c>
      <c r="X316">
        <f>HYPERLINK("https://klasma.github.io/Logging_0484/kartor/S 9518-2021 karta.png", "S 9518-2021")</f>
        <v/>
      </c>
      <c r="Y316">
        <f>HYPERLINK("https://klasma.github.io/Logging_0484/kartor_geotiff/S 9518-2021 georefererad karta.tif", "S 9518-2021")</f>
        <v/>
      </c>
      <c r="AA316">
        <f>HYPERLINK("https://klasma.github.io/Logging_0484/klagomål/S 9518-2021 FSC-klagomål.docx", "S 9518-2021")</f>
        <v/>
      </c>
      <c r="AB316">
        <f>HYPERLINK("https://klasma.github.io/Logging_0484/klagomålsmail/S 9518-2021 FSC-klagomål mail.docx", "S 9518-2021")</f>
        <v/>
      </c>
      <c r="AC316">
        <f>HYPERLINK("https://klasma.github.io/Logging_0484/tillsyn/S 9518-2021 tillsynsbegäran.docx", "S 9518-2021")</f>
        <v/>
      </c>
      <c r="AD316">
        <f>HYPERLINK("https://klasma.github.io/Logging_0484/tillsynsmail/S 9518-2021 tillsynsbegäran mail.docx", "S 9518-2021")</f>
        <v/>
      </c>
    </row>
    <row r="317" ht="15" customHeight="1">
      <c r="A317" t="inlineStr">
        <is>
          <t>S 40-2026</t>
        </is>
      </c>
      <c r="B317" t="inlineStr">
        <is>
          <t>samrådsanmälan</t>
        </is>
      </c>
      <c r="C317" t="inlineStr">
        <is>
          <t>Skogsgödsling</t>
        </is>
      </c>
      <c r="D317" s="1" t="n">
        <v>46030</v>
      </c>
      <c r="E317" s="1" t="n">
        <v>46313</v>
      </c>
      <c r="F317" t="inlineStr">
        <is>
          <t>SÖDERMANLANDS LÄN</t>
        </is>
      </c>
      <c r="G317" t="inlineStr">
        <is>
          <t>STRÄNGNÄS</t>
        </is>
      </c>
      <c r="I317" t="n">
        <v>129.9</v>
      </c>
      <c r="J317" t="n">
        <v>1</v>
      </c>
      <c r="K317" t="n">
        <v>0</v>
      </c>
      <c r="L317" t="n">
        <v>1</v>
      </c>
      <c r="M317" t="n">
        <v>0</v>
      </c>
      <c r="N317" t="n">
        <v>0</v>
      </c>
      <c r="O317" t="n">
        <v>0</v>
      </c>
      <c r="P317" t="n">
        <v>0</v>
      </c>
      <c r="Q317" t="n">
        <v>1</v>
      </c>
      <c r="R317" t="n">
        <v>0</v>
      </c>
      <c r="S317" t="n">
        <v>2</v>
      </c>
      <c r="T317" t="n">
        <v>2</v>
      </c>
      <c r="U317" t="n">
        <v>2</v>
      </c>
      <c r="V317" s="2" t="inlineStr">
        <is>
          <t>Jungfrulin
Gullviva</t>
        </is>
      </c>
      <c r="W317">
        <f>HYPERLINK("https://klasma.github.io/Logging_0486/artfynd/S 40-2026 artfynd.xlsx", "S 40-2026")</f>
        <v/>
      </c>
      <c r="X317">
        <f>HYPERLINK("https://klasma.github.io/Logging_0486/kartor/S 40-2026 karta.png", "S 40-2026")</f>
        <v/>
      </c>
      <c r="Y317">
        <f>HYPERLINK("https://klasma.github.io/Logging_0486/kartor_geotiff/S 40-2026 georefererad karta.tif", "S 40-2026")</f>
        <v/>
      </c>
      <c r="AA317">
        <f>HYPERLINK("https://klasma.github.io/Logging_0486/klagomål/S 40-2026 FSC-klagomål.docx", "S 40-2026")</f>
        <v/>
      </c>
      <c r="AB317">
        <f>HYPERLINK("https://klasma.github.io/Logging_0486/klagomålsmail/S 40-2026 FSC-klagomål mail.docx", "S 40-2026")</f>
        <v/>
      </c>
      <c r="AC317">
        <f>HYPERLINK("https://klasma.github.io/Logging_0486/tillsyn/S 40-2026 tillsynsbegäran.docx", "S 40-2026")</f>
        <v/>
      </c>
      <c r="AD317">
        <f>HYPERLINK("https://klasma.github.io/Logging_0486/tillsynsmail/S 40-2026 tillsynsbegäran mail.docx", "S 40-2026")</f>
        <v/>
      </c>
    </row>
    <row r="318" ht="15" customHeight="1">
      <c r="A318" t="inlineStr">
        <is>
          <t>S 1445-2026</t>
        </is>
      </c>
      <c r="B318" t="inlineStr">
        <is>
          <t>samrådsanmälan</t>
        </is>
      </c>
      <c r="C318" t="inlineStr">
        <is>
          <t>Annan skogsbruksåtgärd</t>
        </is>
      </c>
      <c r="D318" s="1" t="n">
        <v>46160</v>
      </c>
      <c r="E318" s="1" t="n">
        <v>46313</v>
      </c>
      <c r="F318" t="inlineStr">
        <is>
          <t>SÖDERMANLANDS LÄN</t>
        </is>
      </c>
      <c r="G318" t="inlineStr">
        <is>
          <t>STRÄNGNÄS</t>
        </is>
      </c>
      <c r="I318" t="n">
        <v>1.9</v>
      </c>
      <c r="J318" t="n">
        <v>2</v>
      </c>
      <c r="K318" t="n">
        <v>0</v>
      </c>
      <c r="L318" t="n">
        <v>1</v>
      </c>
      <c r="M318" t="n">
        <v>0</v>
      </c>
      <c r="N318" t="n">
        <v>0</v>
      </c>
      <c r="O318" t="n">
        <v>0</v>
      </c>
      <c r="P318" t="n">
        <v>0</v>
      </c>
      <c r="Q318" t="n">
        <v>1</v>
      </c>
      <c r="R318" t="n">
        <v>0</v>
      </c>
      <c r="S318" t="n">
        <v>2</v>
      </c>
      <c r="T318" t="n">
        <v>2</v>
      </c>
      <c r="U318" t="n">
        <v>0</v>
      </c>
      <c r="V318" s="2" t="inlineStr">
        <is>
          <t>Mindre hackspett
Grönsiska</t>
        </is>
      </c>
      <c r="W318">
        <f>HYPERLINK("https://klasma.github.io/Logging_0486/artfynd/S 1445-2026 artfynd.xlsx", "S 1445-2026")</f>
        <v/>
      </c>
      <c r="X318">
        <f>HYPERLINK("https://klasma.github.io/Logging_0486/kartor/S 1445-2026 karta.png", "S 1445-2026")</f>
        <v/>
      </c>
      <c r="Y318">
        <f>HYPERLINK("https://klasma.github.io/Logging_0486/kartor_geotiff/S 1445-2026 georefererad karta.tif", "S 1445-2026")</f>
        <v/>
      </c>
      <c r="AA318">
        <f>HYPERLINK("https://klasma.github.io/Logging_0486/klagomål/S 1445-2026 FSC-klagomål.docx", "S 1445-2026")</f>
        <v/>
      </c>
      <c r="AB318">
        <f>HYPERLINK("https://klasma.github.io/Logging_0486/klagomålsmail/S 1445-2026 FSC-klagomål mail.docx", "S 1445-2026")</f>
        <v/>
      </c>
      <c r="AC318">
        <f>HYPERLINK("https://klasma.github.io/Logging_0486/tillsyn/S 1445-2026 tillsynsbegäran.docx", "S 1445-2026")</f>
        <v/>
      </c>
      <c r="AD318">
        <f>HYPERLINK("https://klasma.github.io/Logging_0486/tillsynsmail/S 1445-2026 tillsynsbegäran mail.docx", "S 1445-2026")</f>
        <v/>
      </c>
      <c r="AE318">
        <f>HYPERLINK("https://klasma.github.io/Logging_0486/fåglar/S 1445-2026 prioriterade fågelarter.docx", "S 1445-2026")</f>
        <v/>
      </c>
    </row>
    <row r="319" ht="15" customHeight="1">
      <c r="A319" t="inlineStr">
        <is>
          <t>A 36140-2022</t>
        </is>
      </c>
      <c r="B319" t="inlineStr">
        <is>
          <t>avverkningsanmälan</t>
        </is>
      </c>
      <c r="C319" t="inlineStr">
        <is>
          <t>Föryngringsavverkning</t>
        </is>
      </c>
      <c r="D319" s="1" t="n">
        <v>44803</v>
      </c>
      <c r="E319" s="1" t="n">
        <v>46313</v>
      </c>
      <c r="F319" t="inlineStr">
        <is>
          <t>SÖDERMANLANDS LÄN</t>
        </is>
      </c>
      <c r="G319" t="inlineStr">
        <is>
          <t>ESKILSTUNA</t>
        </is>
      </c>
      <c r="I319" t="n">
        <v>5</v>
      </c>
      <c r="J319" t="n">
        <v>1</v>
      </c>
      <c r="K319" t="n">
        <v>0</v>
      </c>
      <c r="L319" t="n">
        <v>0</v>
      </c>
      <c r="M319" t="n">
        <v>0</v>
      </c>
      <c r="N319" t="n">
        <v>0</v>
      </c>
      <c r="O319" t="n">
        <v>0</v>
      </c>
      <c r="P319" t="n">
        <v>0</v>
      </c>
      <c r="Q319" t="n">
        <v>0</v>
      </c>
      <c r="R319" t="n">
        <v>0</v>
      </c>
      <c r="S319" t="n">
        <v>1</v>
      </c>
      <c r="T319" t="n">
        <v>1</v>
      </c>
      <c r="U319" t="n">
        <v>0</v>
      </c>
      <c r="V319" s="2" t="inlineStr">
        <is>
          <t>Blåsippa</t>
        </is>
      </c>
      <c r="W319">
        <f>HYPERLINK("https://klasma.github.io/Logging_0484/artfynd/A 36140-2022 artfynd.xlsx", "A 36140-2022")</f>
        <v/>
      </c>
      <c r="X319">
        <f>HYPERLINK("https://klasma.github.io/Logging_0484/kartor/A 36140-2022 karta.png", "A 36140-2022")</f>
        <v/>
      </c>
      <c r="Y319">
        <f>HYPERLINK("https://klasma.github.io/Logging_0484/kartor_geotiff/A 36140-2022 georefererad karta.tif", "A 36140-2022")</f>
        <v/>
      </c>
      <c r="AA319">
        <f>HYPERLINK("https://klasma.github.io/Logging_0484/klagomål/A 36140-2022 FSC-klagomål.docx", "A 36140-2022")</f>
        <v/>
      </c>
      <c r="AB319">
        <f>HYPERLINK("https://klasma.github.io/Logging_0484/klagomålsmail/A 36140-2022 FSC-klagomål mail.docx", "A 36140-2022")</f>
        <v/>
      </c>
      <c r="AC319">
        <f>HYPERLINK("https://klasma.github.io/Logging_0484/tillsyn/A 36140-2022 tillsynsbegäran.docx", "A 36140-2022")</f>
        <v/>
      </c>
      <c r="AD319">
        <f>HYPERLINK("https://klasma.github.io/Logging_0484/tillsynsmail/A 36140-2022 tillsynsbegäran mail.docx", "A 36140-2022")</f>
        <v/>
      </c>
    </row>
    <row r="320" ht="15" customHeight="1">
      <c r="A320" t="inlineStr">
        <is>
          <t>A 44782-2022</t>
        </is>
      </c>
      <c r="B320" t="inlineStr">
        <is>
          <t>avverkningsanmälan</t>
        </is>
      </c>
      <c r="C320" t="inlineStr">
        <is>
          <t>Föryngringsavverkning</t>
        </is>
      </c>
      <c r="D320" s="1" t="n">
        <v>44839</v>
      </c>
      <c r="E320" s="1" t="n">
        <v>46313</v>
      </c>
      <c r="F320" t="inlineStr">
        <is>
          <t>SÖDERMANLANDS LÄN</t>
        </is>
      </c>
      <c r="G320" t="inlineStr">
        <is>
          <t>GNESTA</t>
        </is>
      </c>
      <c r="I320" t="n">
        <v>5.6</v>
      </c>
      <c r="J320" t="n">
        <v>0</v>
      </c>
      <c r="K320" t="n">
        <v>0</v>
      </c>
      <c r="L320" t="n">
        <v>0</v>
      </c>
      <c r="M320" t="n">
        <v>1</v>
      </c>
      <c r="N320" t="n">
        <v>0</v>
      </c>
      <c r="O320" t="n">
        <v>0</v>
      </c>
      <c r="P320" t="n">
        <v>0</v>
      </c>
      <c r="Q320" t="n">
        <v>1</v>
      </c>
      <c r="R320" t="n">
        <v>1</v>
      </c>
      <c r="S320" t="n">
        <v>1</v>
      </c>
      <c r="T320" t="n">
        <v>1</v>
      </c>
      <c r="U320" t="n">
        <v>0</v>
      </c>
      <c r="V320" s="2" t="inlineStr">
        <is>
          <t>Bredbrämad bastardsvärmare</t>
        </is>
      </c>
      <c r="W320">
        <f>HYPERLINK("https://klasma.github.io/Logging_0461/artfynd/A 44782-2022 artfynd.xlsx", "A 44782-2022")</f>
        <v/>
      </c>
      <c r="X320">
        <f>HYPERLINK("https://klasma.github.io/Logging_0461/kartor/A 44782-2022 karta.png", "A 44782-2022")</f>
        <v/>
      </c>
      <c r="Y320">
        <f>HYPERLINK("https://klasma.github.io/Logging_0461/kartor_geotiff/A 44782-2022 georefererad karta.tif", "A 44782-2022")</f>
        <v/>
      </c>
      <c r="AA320">
        <f>HYPERLINK("https://klasma.github.io/Logging_0461/klagomål/A 44782-2022 FSC-klagomål.docx", "A 44782-2022")</f>
        <v/>
      </c>
      <c r="AB320">
        <f>HYPERLINK("https://klasma.github.io/Logging_0461/klagomålsmail/A 44782-2022 FSC-klagomål mail.docx", "A 44782-2022")</f>
        <v/>
      </c>
      <c r="AC320">
        <f>HYPERLINK("https://klasma.github.io/Logging_0461/tillsyn/A 44782-2022 tillsynsbegäran.docx", "A 44782-2022")</f>
        <v/>
      </c>
      <c r="AD320">
        <f>HYPERLINK("https://klasma.github.io/Logging_0461/tillsynsmail/A 44782-2022 tillsynsbegäran mail.docx", "A 44782-2022")</f>
        <v/>
      </c>
    </row>
    <row r="321" ht="15" customHeight="1">
      <c r="A321" t="inlineStr">
        <is>
          <t>A 69966-2021</t>
        </is>
      </c>
      <c r="B321" t="inlineStr">
        <is>
          <t>avverkningsanmälan</t>
        </is>
      </c>
      <c r="C321" t="inlineStr">
        <is>
          <t>Föryngringsavverkning</t>
        </is>
      </c>
      <c r="D321" s="1" t="n">
        <v>44533</v>
      </c>
      <c r="E321" s="1" t="n">
        <v>46313</v>
      </c>
      <c r="F321" t="inlineStr">
        <is>
          <t>SÖDERMANLANDS LÄN</t>
        </is>
      </c>
      <c r="G321" t="inlineStr">
        <is>
          <t>TROSA</t>
        </is>
      </c>
      <c r="I321" t="n">
        <v>1.9</v>
      </c>
      <c r="J321" t="n">
        <v>0</v>
      </c>
      <c r="K321" t="n">
        <v>0</v>
      </c>
      <c r="L321" t="n">
        <v>0</v>
      </c>
      <c r="M321" t="n">
        <v>1</v>
      </c>
      <c r="N321" t="n">
        <v>0</v>
      </c>
      <c r="O321" t="n">
        <v>0</v>
      </c>
      <c r="P321" t="n">
        <v>0</v>
      </c>
      <c r="Q321" t="n">
        <v>1</v>
      </c>
      <c r="R321" t="n">
        <v>1</v>
      </c>
      <c r="S321" t="n">
        <v>1</v>
      </c>
      <c r="T321" t="n">
        <v>1</v>
      </c>
      <c r="U321" t="n">
        <v>1</v>
      </c>
      <c r="V321" s="2" t="inlineStr">
        <is>
          <t>Igelkott</t>
        </is>
      </c>
      <c r="W321">
        <f>HYPERLINK("https://klasma.github.io/Logging_0488/artfynd/A 69966-2021 artfynd.xlsx", "A 69966-2021")</f>
        <v/>
      </c>
      <c r="X321">
        <f>HYPERLINK("https://klasma.github.io/Logging_0488/kartor/A 69966-2021 karta.png", "A 69966-2021")</f>
        <v/>
      </c>
      <c r="Y321">
        <f>HYPERLINK("https://klasma.github.io/Logging_0488/kartor_geotiff/A 69966-2021 georefererad karta.tif", "A 69966-2021")</f>
        <v/>
      </c>
      <c r="AA321">
        <f>HYPERLINK("https://klasma.github.io/Logging_0488/klagomål/A 69966-2021 FSC-klagomål.docx", "A 69966-2021")</f>
        <v/>
      </c>
      <c r="AB321">
        <f>HYPERLINK("https://klasma.github.io/Logging_0488/klagomålsmail/A 69966-2021 FSC-klagomål mail.docx", "A 69966-2021")</f>
        <v/>
      </c>
      <c r="AC321">
        <f>HYPERLINK("https://klasma.github.io/Logging_0488/tillsyn/A 69966-2021 tillsynsbegäran.docx", "A 69966-2021")</f>
        <v/>
      </c>
      <c r="AD321">
        <f>HYPERLINK("https://klasma.github.io/Logging_0488/tillsynsmail/A 69966-2021 tillsynsbegäran mail.docx", "A 69966-2021")</f>
        <v/>
      </c>
    </row>
    <row r="322" ht="15" customHeight="1">
      <c r="A322" t="inlineStr">
        <is>
          <t>A 65330-2021</t>
        </is>
      </c>
      <c r="B322" t="inlineStr">
        <is>
          <t>avverkningsanmälan</t>
        </is>
      </c>
      <c r="C322" t="inlineStr">
        <is>
          <t>Föryngringsavverkning</t>
        </is>
      </c>
      <c r="D322" s="1" t="n">
        <v>44515</v>
      </c>
      <c r="E322" s="1" t="n">
        <v>46313</v>
      </c>
      <c r="F322" t="inlineStr">
        <is>
          <t>SÖDERMANLANDS LÄN</t>
        </is>
      </c>
      <c r="G322" t="inlineStr">
        <is>
          <t>STRÄNGNÄS</t>
        </is>
      </c>
      <c r="I322" t="n">
        <v>6.4</v>
      </c>
      <c r="J322" t="n">
        <v>1</v>
      </c>
      <c r="K322" t="n">
        <v>0</v>
      </c>
      <c r="L322" t="n">
        <v>1</v>
      </c>
      <c r="M322" t="n">
        <v>0</v>
      </c>
      <c r="N322" t="n">
        <v>0</v>
      </c>
      <c r="O322" t="n">
        <v>0</v>
      </c>
      <c r="P322" t="n">
        <v>0</v>
      </c>
      <c r="Q322" t="n">
        <v>1</v>
      </c>
      <c r="R322" t="n">
        <v>0</v>
      </c>
      <c r="S322" t="n">
        <v>1</v>
      </c>
      <c r="T322" t="n">
        <v>1</v>
      </c>
      <c r="U322" t="n">
        <v>0</v>
      </c>
      <c r="V322" s="2" t="inlineStr">
        <is>
          <t>Duvhök</t>
        </is>
      </c>
      <c r="W322">
        <f>HYPERLINK("https://klasma.github.io/Logging_0486/artfynd/A 65330-2021 artfynd.xlsx", "A 65330-2021")</f>
        <v/>
      </c>
      <c r="X322">
        <f>HYPERLINK("https://klasma.github.io/Logging_0486/kartor/A 65330-2021 karta.png", "A 65330-2021")</f>
        <v/>
      </c>
      <c r="Y322">
        <f>HYPERLINK("https://klasma.github.io/Logging_0486/kartor_geotiff/A 65330-2021 georefererad karta.tif", "A 65330-2021")</f>
        <v/>
      </c>
      <c r="AA322">
        <f>HYPERLINK("https://klasma.github.io/Logging_0486/klagomål/A 65330-2021 FSC-klagomål.docx", "A 65330-2021")</f>
        <v/>
      </c>
      <c r="AB322">
        <f>HYPERLINK("https://klasma.github.io/Logging_0486/klagomålsmail/A 65330-2021 FSC-klagomål mail.docx", "A 65330-2021")</f>
        <v/>
      </c>
      <c r="AC322">
        <f>HYPERLINK("https://klasma.github.io/Logging_0486/tillsyn/A 65330-2021 tillsynsbegäran.docx", "A 65330-2021")</f>
        <v/>
      </c>
      <c r="AD322">
        <f>HYPERLINK("https://klasma.github.io/Logging_0486/tillsynsmail/A 65330-2021 tillsynsbegäran mail.docx", "A 65330-2021")</f>
        <v/>
      </c>
      <c r="AE322">
        <f>HYPERLINK("https://klasma.github.io/Logging_0486/fåglar/A 65330-2021 prioriterade fågelarter.docx", "A 65330-2021")</f>
        <v/>
      </c>
    </row>
    <row r="323" ht="15" customHeight="1">
      <c r="A323" t="inlineStr">
        <is>
          <t>A 52095-2022</t>
        </is>
      </c>
      <c r="B323" t="inlineStr">
        <is>
          <t>avverkningsanmälan</t>
        </is>
      </c>
      <c r="C323" t="inlineStr">
        <is>
          <t>Föryngringsavverkning</t>
        </is>
      </c>
      <c r="D323" s="1" t="n">
        <v>44873</v>
      </c>
      <c r="E323" s="1" t="n">
        <v>46313</v>
      </c>
      <c r="F323" t="inlineStr">
        <is>
          <t>SÖDERMANLANDS LÄN</t>
        </is>
      </c>
      <c r="G323" t="inlineStr">
        <is>
          <t>NYKÖPING</t>
        </is>
      </c>
      <c r="I323" t="n">
        <v>1.8</v>
      </c>
      <c r="J323" t="n">
        <v>1</v>
      </c>
      <c r="K323" t="n">
        <v>0</v>
      </c>
      <c r="L323" t="n">
        <v>1</v>
      </c>
      <c r="M323" t="n">
        <v>0</v>
      </c>
      <c r="N323" t="n">
        <v>0</v>
      </c>
      <c r="O323" t="n">
        <v>0</v>
      </c>
      <c r="P323" t="n">
        <v>0</v>
      </c>
      <c r="Q323" t="n">
        <v>1</v>
      </c>
      <c r="R323" t="n">
        <v>0</v>
      </c>
      <c r="S323" t="n">
        <v>1</v>
      </c>
      <c r="T323" t="n">
        <v>1</v>
      </c>
      <c r="U323" t="n">
        <v>1</v>
      </c>
      <c r="V323" s="2" t="inlineStr">
        <is>
          <t>Drillsnäppa</t>
        </is>
      </c>
      <c r="W323">
        <f>HYPERLINK("https://klasma.github.io/Logging_0480/artfynd/A 52095-2022 artfynd.xlsx", "A 52095-2022")</f>
        <v/>
      </c>
      <c r="X323">
        <f>HYPERLINK("https://klasma.github.io/Logging_0480/kartor/A 52095-2022 karta.png", "A 52095-2022")</f>
        <v/>
      </c>
      <c r="Y323">
        <f>HYPERLINK("https://klasma.github.io/Logging_0480/kartor_geotiff/A 52095-2022 georefererad karta.tif", "A 52095-2022")</f>
        <v/>
      </c>
      <c r="AA323">
        <f>HYPERLINK("https://klasma.github.io/Logging_0480/klagomål/A 52095-2022 FSC-klagomål.docx", "A 52095-2022")</f>
        <v/>
      </c>
      <c r="AB323">
        <f>HYPERLINK("https://klasma.github.io/Logging_0480/klagomålsmail/A 52095-2022 FSC-klagomål mail.docx", "A 52095-2022")</f>
        <v/>
      </c>
      <c r="AC323">
        <f>HYPERLINK("https://klasma.github.io/Logging_0480/tillsyn/A 52095-2022 tillsynsbegäran.docx", "A 52095-2022")</f>
        <v/>
      </c>
      <c r="AD323">
        <f>HYPERLINK("https://klasma.github.io/Logging_0480/tillsynsmail/A 52095-2022 tillsynsbegäran mail.docx", "A 52095-2022")</f>
        <v/>
      </c>
      <c r="AE323">
        <f>HYPERLINK("https://klasma.github.io/Logging_0480/fåglar/A 52095-2022 prioriterade fågelarter.docx", "A 52095-2022")</f>
        <v/>
      </c>
    </row>
    <row r="324" ht="15" customHeight="1">
      <c r="A324" t="inlineStr">
        <is>
          <t>A 67817-2021</t>
        </is>
      </c>
      <c r="B324" t="inlineStr">
        <is>
          <t>avverkningsanmälan</t>
        </is>
      </c>
      <c r="C324" t="inlineStr">
        <is>
          <t>Föryngringsavverkning</t>
        </is>
      </c>
      <c r="D324" s="1" t="n">
        <v>44525</v>
      </c>
      <c r="E324" s="1" t="n">
        <v>46313</v>
      </c>
      <c r="F324" t="inlineStr">
        <is>
          <t>SÖDERMANLANDS LÄN</t>
        </is>
      </c>
      <c r="G324" t="inlineStr">
        <is>
          <t>NYKÖPING</t>
        </is>
      </c>
      <c r="H324" t="inlineStr">
        <is>
          <t>Sveaskog</t>
        </is>
      </c>
      <c r="I324" t="n">
        <v>0.9</v>
      </c>
      <c r="J324" t="n">
        <v>0</v>
      </c>
      <c r="K324" t="n">
        <v>0</v>
      </c>
      <c r="L324" t="n">
        <v>1</v>
      </c>
      <c r="M324" t="n">
        <v>0</v>
      </c>
      <c r="N324" t="n">
        <v>0</v>
      </c>
      <c r="O324" t="n">
        <v>0</v>
      </c>
      <c r="P324" t="n">
        <v>0</v>
      </c>
      <c r="Q324" t="n">
        <v>1</v>
      </c>
      <c r="R324" t="n">
        <v>0</v>
      </c>
      <c r="S324" t="n">
        <v>1</v>
      </c>
      <c r="T324" t="n">
        <v>1</v>
      </c>
      <c r="U324" t="n">
        <v>0</v>
      </c>
      <c r="V324" s="2" t="inlineStr">
        <is>
          <t>Svedjenäva</t>
        </is>
      </c>
      <c r="W324">
        <f>HYPERLINK("https://klasma.github.io/Logging_0480/artfynd/A 67817-2021 artfynd.xlsx", "A 67817-2021")</f>
        <v/>
      </c>
      <c r="X324">
        <f>HYPERLINK("https://klasma.github.io/Logging_0480/kartor/A 67817-2021 karta.png", "A 67817-2021")</f>
        <v/>
      </c>
      <c r="Y324">
        <f>HYPERLINK("https://klasma.github.io/Logging_0480/kartor_geotiff/A 67817-2021 georefererad karta.tif", "A 67817-2021")</f>
        <v/>
      </c>
      <c r="AA324">
        <f>HYPERLINK("https://klasma.github.io/Logging_0480/klagomål/A 67817-2021 FSC-klagomål.docx", "A 67817-2021")</f>
        <v/>
      </c>
      <c r="AB324">
        <f>HYPERLINK("https://klasma.github.io/Logging_0480/klagomålsmail/A 67817-2021 FSC-klagomål mail.docx", "A 67817-2021")</f>
        <v/>
      </c>
      <c r="AC324">
        <f>HYPERLINK("https://klasma.github.io/Logging_0480/tillsyn/A 67817-2021 tillsynsbegäran.docx", "A 67817-2021")</f>
        <v/>
      </c>
      <c r="AD324">
        <f>HYPERLINK("https://klasma.github.io/Logging_0480/tillsynsmail/A 67817-2021 tillsynsbegäran mail.docx", "A 67817-2021")</f>
        <v/>
      </c>
    </row>
    <row r="325" ht="15" customHeight="1">
      <c r="A325" t="inlineStr">
        <is>
          <t>A 19994-2022</t>
        </is>
      </c>
      <c r="B325" t="inlineStr">
        <is>
          <t>avverkningsanmälan</t>
        </is>
      </c>
      <c r="C325" t="inlineStr">
        <is>
          <t>Föryngringsavverkning</t>
        </is>
      </c>
      <c r="D325" s="1" t="n">
        <v>44697</v>
      </c>
      <c r="E325" s="1" t="n">
        <v>46313</v>
      </c>
      <c r="F325" t="inlineStr">
        <is>
          <t>SÖDERMANLANDS LÄN</t>
        </is>
      </c>
      <c r="G325" t="inlineStr">
        <is>
          <t>FLEN</t>
        </is>
      </c>
      <c r="H325" t="inlineStr">
        <is>
          <t>Kyrkan</t>
        </is>
      </c>
      <c r="I325" t="n">
        <v>3.2</v>
      </c>
      <c r="J325" t="n">
        <v>0</v>
      </c>
      <c r="K325" t="n">
        <v>1</v>
      </c>
      <c r="L325" t="n">
        <v>0</v>
      </c>
      <c r="M325" t="n">
        <v>0</v>
      </c>
      <c r="N325" t="n">
        <v>0</v>
      </c>
      <c r="O325" t="n">
        <v>0</v>
      </c>
      <c r="P325" t="n">
        <v>0</v>
      </c>
      <c r="Q325" t="n">
        <v>0</v>
      </c>
      <c r="R325" t="n">
        <v>0</v>
      </c>
      <c r="S325" t="n">
        <v>1</v>
      </c>
      <c r="T325" t="n">
        <v>1</v>
      </c>
      <c r="U325" t="n">
        <v>0</v>
      </c>
      <c r="V325" s="2" t="inlineStr">
        <is>
          <t>Mandelriska</t>
        </is>
      </c>
      <c r="W325">
        <f>HYPERLINK("https://klasma.github.io/Logging_0482/artfynd/A 19994-2022 artfynd.xlsx", "A 19994-2022")</f>
        <v/>
      </c>
      <c r="X325">
        <f>HYPERLINK("https://klasma.github.io/Logging_0482/kartor/A 19994-2022 karta.png", "A 19994-2022")</f>
        <v/>
      </c>
      <c r="Y325">
        <f>HYPERLINK("https://klasma.github.io/Logging_0482/kartor_geotiff/A 19994-2022 georefererad karta.tif", "A 19994-2022")</f>
        <v/>
      </c>
      <c r="AA325">
        <f>HYPERLINK("https://klasma.github.io/Logging_0482/klagomål/A 19994-2022 FSC-klagomål.docx", "A 19994-2022")</f>
        <v/>
      </c>
      <c r="AB325">
        <f>HYPERLINK("https://klasma.github.io/Logging_0482/klagomålsmail/A 19994-2022 FSC-klagomål mail.docx", "A 19994-2022")</f>
        <v/>
      </c>
      <c r="AC325">
        <f>HYPERLINK("https://klasma.github.io/Logging_0482/tillsyn/A 19994-2022 tillsynsbegäran.docx", "A 19994-2022")</f>
        <v/>
      </c>
      <c r="AD325">
        <f>HYPERLINK("https://klasma.github.io/Logging_0482/tillsynsmail/A 19994-2022 tillsynsbegäran mail.docx", "A 19994-2022")</f>
        <v/>
      </c>
    </row>
    <row r="326" ht="15" customHeight="1">
      <c r="A326" t="inlineStr">
        <is>
          <t>A 23239-2022</t>
        </is>
      </c>
      <c r="B326" t="inlineStr">
        <is>
          <t>avverkningsanmälan</t>
        </is>
      </c>
      <c r="C326" t="inlineStr">
        <is>
          <t>Föryngringsavverkning</t>
        </is>
      </c>
      <c r="D326" s="1" t="n">
        <v>44719</v>
      </c>
      <c r="E326" s="1" t="n">
        <v>46313</v>
      </c>
      <c r="F326" t="inlineStr">
        <is>
          <t>SÖDERMANLANDS LÄN</t>
        </is>
      </c>
      <c r="G326" t="inlineStr">
        <is>
          <t>KATRINEHOLM</t>
        </is>
      </c>
      <c r="I326" t="n">
        <v>7.4</v>
      </c>
      <c r="J326" t="n">
        <v>0</v>
      </c>
      <c r="K326" t="n">
        <v>0</v>
      </c>
      <c r="L326" t="n">
        <v>1</v>
      </c>
      <c r="M326" t="n">
        <v>0</v>
      </c>
      <c r="N326" t="n">
        <v>0</v>
      </c>
      <c r="O326" t="n">
        <v>0</v>
      </c>
      <c r="P326" t="n">
        <v>0</v>
      </c>
      <c r="Q326" t="n">
        <v>1</v>
      </c>
      <c r="R326" t="n">
        <v>0</v>
      </c>
      <c r="S326" t="n">
        <v>1</v>
      </c>
      <c r="T326" t="n">
        <v>1</v>
      </c>
      <c r="U326" t="n">
        <v>1</v>
      </c>
      <c r="V326" s="2" t="inlineStr">
        <is>
          <t>Bronspraktbagge</t>
        </is>
      </c>
      <c r="W326">
        <f>HYPERLINK("https://klasma.github.io/Logging_0483/artfynd/A 23239-2022 artfynd.xlsx", "A 23239-2022")</f>
        <v/>
      </c>
      <c r="X326">
        <f>HYPERLINK("https://klasma.github.io/Logging_0483/kartor/A 23239-2022 karta.png", "A 23239-2022")</f>
        <v/>
      </c>
      <c r="Y326">
        <f>HYPERLINK("https://klasma.github.io/Logging_0483/kartor_geotiff/A 23239-2022 georefererad karta.tif", "A 23239-2022")</f>
        <v/>
      </c>
      <c r="AA326">
        <f>HYPERLINK("https://klasma.github.io/Logging_0483/klagomål/A 23239-2022 FSC-klagomål.docx", "A 23239-2022")</f>
        <v/>
      </c>
      <c r="AB326">
        <f>HYPERLINK("https://klasma.github.io/Logging_0483/klagomålsmail/A 23239-2022 FSC-klagomål mail.docx", "A 23239-2022")</f>
        <v/>
      </c>
      <c r="AC326">
        <f>HYPERLINK("https://klasma.github.io/Logging_0483/tillsyn/A 23239-2022 tillsynsbegäran.docx", "A 23239-2022")</f>
        <v/>
      </c>
      <c r="AD326">
        <f>HYPERLINK("https://klasma.github.io/Logging_0483/tillsynsmail/A 23239-2022 tillsynsbegäran mail.docx", "A 23239-2022")</f>
        <v/>
      </c>
    </row>
    <row r="327" ht="15" customHeight="1">
      <c r="A327" t="inlineStr">
        <is>
          <t>A 6768-2022</t>
        </is>
      </c>
      <c r="B327" t="inlineStr">
        <is>
          <t>avverkningsanmälan</t>
        </is>
      </c>
      <c r="C327" t="inlineStr">
        <is>
          <t>Föryngringsavverkning</t>
        </is>
      </c>
      <c r="D327" s="1" t="n">
        <v>44602</v>
      </c>
      <c r="E327" s="1" t="n">
        <v>46313</v>
      </c>
      <c r="F327" t="inlineStr">
        <is>
          <t>SÖDERMANLANDS LÄN</t>
        </is>
      </c>
      <c r="G327" t="inlineStr">
        <is>
          <t>KATRINEHOLM</t>
        </is>
      </c>
      <c r="I327" t="n">
        <v>12</v>
      </c>
      <c r="J327" t="n">
        <v>0</v>
      </c>
      <c r="K327" t="n">
        <v>0</v>
      </c>
      <c r="L327" t="n">
        <v>0</v>
      </c>
      <c r="M327" t="n">
        <v>1</v>
      </c>
      <c r="N327" t="n">
        <v>0</v>
      </c>
      <c r="O327" t="n">
        <v>0</v>
      </c>
      <c r="P327" t="n">
        <v>0</v>
      </c>
      <c r="Q327" t="n">
        <v>1</v>
      </c>
      <c r="R327" t="n">
        <v>1</v>
      </c>
      <c r="S327" t="n">
        <v>1</v>
      </c>
      <c r="T327" t="n">
        <v>1</v>
      </c>
      <c r="U327" t="n">
        <v>1</v>
      </c>
      <c r="V327" s="2" t="inlineStr">
        <is>
          <t>Igelkott</t>
        </is>
      </c>
      <c r="W327">
        <f>HYPERLINK("https://klasma.github.io/Logging_0483/artfynd/A 6768-2022 artfynd.xlsx", "A 6768-2022")</f>
        <v/>
      </c>
      <c r="X327">
        <f>HYPERLINK("https://klasma.github.io/Logging_0483/kartor/A 6768-2022 karta.png", "A 6768-2022")</f>
        <v/>
      </c>
      <c r="Y327">
        <f>HYPERLINK("https://klasma.github.io/Logging_0483/kartor_geotiff/A 6768-2022 georefererad karta.tif", "A 6768-2022")</f>
        <v/>
      </c>
      <c r="AA327">
        <f>HYPERLINK("https://klasma.github.io/Logging_0483/klagomål/A 6768-2022 FSC-klagomål.docx", "A 6768-2022")</f>
        <v/>
      </c>
      <c r="AB327">
        <f>HYPERLINK("https://klasma.github.io/Logging_0483/klagomålsmail/A 6768-2022 FSC-klagomål mail.docx", "A 6768-2022")</f>
        <v/>
      </c>
      <c r="AC327">
        <f>HYPERLINK("https://klasma.github.io/Logging_0483/tillsyn/A 6768-2022 tillsynsbegäran.docx", "A 6768-2022")</f>
        <v/>
      </c>
      <c r="AD327">
        <f>HYPERLINK("https://klasma.github.io/Logging_0483/tillsynsmail/A 6768-2022 tillsynsbegäran mail.docx", "A 6768-2022")</f>
        <v/>
      </c>
    </row>
    <row r="328" ht="15" customHeight="1">
      <c r="A328" t="inlineStr">
        <is>
          <t>A 58396-2021</t>
        </is>
      </c>
      <c r="B328" t="inlineStr">
        <is>
          <t>avverkningsanmälan</t>
        </is>
      </c>
      <c r="C328" t="inlineStr">
        <is>
          <t>Föryngringsavverkning</t>
        </is>
      </c>
      <c r="D328" s="1" t="n">
        <v>44488</v>
      </c>
      <c r="E328" s="1" t="n">
        <v>46313</v>
      </c>
      <c r="F328" t="inlineStr">
        <is>
          <t>SÖDERMANLANDS LÄN</t>
        </is>
      </c>
      <c r="G328" t="inlineStr">
        <is>
          <t>NYKÖPING</t>
        </is>
      </c>
      <c r="I328" t="n">
        <v>1.5</v>
      </c>
      <c r="J328" t="n">
        <v>1</v>
      </c>
      <c r="K328" t="n">
        <v>0</v>
      </c>
      <c r="L328" t="n">
        <v>0</v>
      </c>
      <c r="M328" t="n">
        <v>0</v>
      </c>
      <c r="N328" t="n">
        <v>0</v>
      </c>
      <c r="O328" t="n">
        <v>0</v>
      </c>
      <c r="P328" t="n">
        <v>0</v>
      </c>
      <c r="Q328" t="n">
        <v>0</v>
      </c>
      <c r="R328" t="n">
        <v>0</v>
      </c>
      <c r="S328" t="n">
        <v>1</v>
      </c>
      <c r="T328" t="n">
        <v>1</v>
      </c>
      <c r="U328" t="n">
        <v>1</v>
      </c>
      <c r="V328" s="2" t="inlineStr">
        <is>
          <t>Havsörn</t>
        </is>
      </c>
      <c r="W328">
        <f>HYPERLINK("https://klasma.github.io/Logging_0480/artfynd/A 58396-2021 artfynd.xlsx", "A 58396-2021")</f>
        <v/>
      </c>
      <c r="X328">
        <f>HYPERLINK("https://klasma.github.io/Logging_0480/kartor/A 58396-2021 karta.png", "A 58396-2021")</f>
        <v/>
      </c>
      <c r="Y328">
        <f>HYPERLINK("https://klasma.github.io/Logging_0480/kartor_geotiff/A 58396-2021 georefererad karta.tif", "A 58396-2021")</f>
        <v/>
      </c>
      <c r="AA328">
        <f>HYPERLINK("https://klasma.github.io/Logging_0480/klagomål/A 58396-2021 FSC-klagomål.docx", "A 58396-2021")</f>
        <v/>
      </c>
      <c r="AB328">
        <f>HYPERLINK("https://klasma.github.io/Logging_0480/klagomålsmail/A 58396-2021 FSC-klagomål mail.docx", "A 58396-2021")</f>
        <v/>
      </c>
      <c r="AC328">
        <f>HYPERLINK("https://klasma.github.io/Logging_0480/tillsyn/A 58396-2021 tillsynsbegäran.docx", "A 58396-2021")</f>
        <v/>
      </c>
      <c r="AD328">
        <f>HYPERLINK("https://klasma.github.io/Logging_0480/tillsynsmail/A 58396-2021 tillsynsbegäran mail.docx", "A 58396-2021")</f>
        <v/>
      </c>
      <c r="AE328">
        <f>HYPERLINK("https://klasma.github.io/Logging_0480/fåglar/A 58396-2021 prioriterade fågelarter.docx", "A 58396-2021")</f>
        <v/>
      </c>
    </row>
    <row r="329" ht="15" customHeight="1">
      <c r="A329" t="inlineStr">
        <is>
          <t>A 18780-2022</t>
        </is>
      </c>
      <c r="B329" t="inlineStr">
        <is>
          <t>avverkningsanmälan</t>
        </is>
      </c>
      <c r="C329" t="inlineStr">
        <is>
          <t>Föryngringsavverkning</t>
        </is>
      </c>
      <c r="D329" s="1" t="n">
        <v>44689</v>
      </c>
      <c r="E329" s="1" t="n">
        <v>46313</v>
      </c>
      <c r="F329" t="inlineStr">
        <is>
          <t>SÖDERMANLANDS LÄN</t>
        </is>
      </c>
      <c r="G329" t="inlineStr">
        <is>
          <t>ESKILSTUNA</t>
        </is>
      </c>
      <c r="I329" t="n">
        <v>3.2</v>
      </c>
      <c r="J329" t="n">
        <v>1</v>
      </c>
      <c r="K329" t="n">
        <v>0</v>
      </c>
      <c r="L329" t="n">
        <v>0</v>
      </c>
      <c r="M329" t="n">
        <v>0</v>
      </c>
      <c r="N329" t="n">
        <v>0</v>
      </c>
      <c r="O329" t="n">
        <v>0</v>
      </c>
      <c r="P329" t="n">
        <v>0</v>
      </c>
      <c r="Q329" t="n">
        <v>0</v>
      </c>
      <c r="R329" t="n">
        <v>0</v>
      </c>
      <c r="S329" t="n">
        <v>1</v>
      </c>
      <c r="T329" t="n">
        <v>1</v>
      </c>
      <c r="U329" t="n">
        <v>1</v>
      </c>
      <c r="V329" s="2" t="inlineStr">
        <is>
          <t>Skogsduva</t>
        </is>
      </c>
      <c r="W329">
        <f>HYPERLINK("https://klasma.github.io/Logging_0484/artfynd/A 18780-2022 artfynd.xlsx", "A 18780-2022")</f>
        <v/>
      </c>
      <c r="X329">
        <f>HYPERLINK("https://klasma.github.io/Logging_0484/kartor/A 18780-2022 karta.png", "A 18780-2022")</f>
        <v/>
      </c>
      <c r="Y329">
        <f>HYPERLINK("https://klasma.github.io/Logging_0484/kartor_geotiff/A 18780-2022 georefererad karta.tif", "A 18780-2022")</f>
        <v/>
      </c>
      <c r="AA329">
        <f>HYPERLINK("https://klasma.github.io/Logging_0484/klagomål/A 18780-2022 FSC-klagomål.docx", "A 18780-2022")</f>
        <v/>
      </c>
      <c r="AB329">
        <f>HYPERLINK("https://klasma.github.io/Logging_0484/klagomålsmail/A 18780-2022 FSC-klagomål mail.docx", "A 18780-2022")</f>
        <v/>
      </c>
      <c r="AC329">
        <f>HYPERLINK("https://klasma.github.io/Logging_0484/tillsyn/A 18780-2022 tillsynsbegäran.docx", "A 18780-2022")</f>
        <v/>
      </c>
      <c r="AD329">
        <f>HYPERLINK("https://klasma.github.io/Logging_0484/tillsynsmail/A 18780-2022 tillsynsbegäran mail.docx", "A 18780-2022")</f>
        <v/>
      </c>
    </row>
    <row r="330" ht="15" customHeight="1">
      <c r="A330" t="inlineStr">
        <is>
          <t>A 28269-2022</t>
        </is>
      </c>
      <c r="B330" t="inlineStr">
        <is>
          <t>avverkningsanmälan</t>
        </is>
      </c>
      <c r="C330" t="inlineStr">
        <is>
          <t>Föryngringsavverkning</t>
        </is>
      </c>
      <c r="D330" s="1" t="n">
        <v>44746</v>
      </c>
      <c r="E330" s="1" t="n">
        <v>46313</v>
      </c>
      <c r="F330" t="inlineStr">
        <is>
          <t>SÖDERMANLANDS LÄN</t>
        </is>
      </c>
      <c r="G330" t="inlineStr">
        <is>
          <t>ESKILSTUNA</t>
        </is>
      </c>
      <c r="H330" t="inlineStr">
        <is>
          <t>Kommuner</t>
        </is>
      </c>
      <c r="I330" t="n">
        <v>0.9</v>
      </c>
      <c r="J330" t="n">
        <v>0</v>
      </c>
      <c r="K330" t="n">
        <v>1</v>
      </c>
      <c r="L330" t="n">
        <v>0</v>
      </c>
      <c r="M330" t="n">
        <v>0</v>
      </c>
      <c r="N330" t="n">
        <v>0</v>
      </c>
      <c r="O330" t="n">
        <v>0</v>
      </c>
      <c r="P330" t="n">
        <v>0</v>
      </c>
      <c r="Q330" t="n">
        <v>0</v>
      </c>
      <c r="R330" t="n">
        <v>0</v>
      </c>
      <c r="S330" t="n">
        <v>1</v>
      </c>
      <c r="T330" t="n">
        <v>1</v>
      </c>
      <c r="U330" t="n">
        <v>0</v>
      </c>
      <c r="V330" s="2" t="inlineStr">
        <is>
          <t>Hasselticka</t>
        </is>
      </c>
      <c r="W330">
        <f>HYPERLINK("https://klasma.github.io/Logging_0484/artfynd/A 28269-2022 artfynd.xlsx", "A 28269-2022")</f>
        <v/>
      </c>
      <c r="X330">
        <f>HYPERLINK("https://klasma.github.io/Logging_0484/kartor/A 28269-2022 karta.png", "A 28269-2022")</f>
        <v/>
      </c>
      <c r="Y330">
        <f>HYPERLINK("https://klasma.github.io/Logging_0484/kartor_geotiff/A 28269-2022 georefererad karta.tif", "A 28269-2022")</f>
        <v/>
      </c>
      <c r="AA330">
        <f>HYPERLINK("https://klasma.github.io/Logging_0484/klagomål/A 28269-2022 FSC-klagomål.docx", "A 28269-2022")</f>
        <v/>
      </c>
      <c r="AB330">
        <f>HYPERLINK("https://klasma.github.io/Logging_0484/klagomålsmail/A 28269-2022 FSC-klagomål mail.docx", "A 28269-2022")</f>
        <v/>
      </c>
      <c r="AC330">
        <f>HYPERLINK("https://klasma.github.io/Logging_0484/tillsyn/A 28269-2022 tillsynsbegäran.docx", "A 28269-2022")</f>
        <v/>
      </c>
      <c r="AD330">
        <f>HYPERLINK("https://klasma.github.io/Logging_0484/tillsynsmail/A 28269-2022 tillsynsbegäran mail.docx", "A 28269-2022")</f>
        <v/>
      </c>
    </row>
    <row r="331" ht="15" customHeight="1">
      <c r="A331" t="inlineStr">
        <is>
          <t>A 28153-2022</t>
        </is>
      </c>
      <c r="B331" t="inlineStr">
        <is>
          <t>avverkningsanmälan</t>
        </is>
      </c>
      <c r="C331" t="inlineStr">
        <is>
          <t>Föryngringsavverkning</t>
        </is>
      </c>
      <c r="D331" s="1" t="n">
        <v>44746</v>
      </c>
      <c r="E331" s="1" t="n">
        <v>46313</v>
      </c>
      <c r="F331" t="inlineStr">
        <is>
          <t>SÖDERMANLANDS LÄN</t>
        </is>
      </c>
      <c r="G331" t="inlineStr">
        <is>
          <t>FLEN</t>
        </is>
      </c>
      <c r="I331" t="n">
        <v>3</v>
      </c>
      <c r="J331" t="n">
        <v>0</v>
      </c>
      <c r="K331" t="n">
        <v>0</v>
      </c>
      <c r="L331" t="n">
        <v>1</v>
      </c>
      <c r="M331" t="n">
        <v>0</v>
      </c>
      <c r="N331" t="n">
        <v>0</v>
      </c>
      <c r="O331" t="n">
        <v>0</v>
      </c>
      <c r="P331" t="n">
        <v>0</v>
      </c>
      <c r="Q331" t="n">
        <v>1</v>
      </c>
      <c r="R331" t="n">
        <v>0</v>
      </c>
      <c r="S331" t="n">
        <v>1</v>
      </c>
      <c r="T331" t="n">
        <v>1</v>
      </c>
      <c r="U331" t="n">
        <v>0</v>
      </c>
      <c r="V331" s="2" t="inlineStr">
        <is>
          <t>Älg</t>
        </is>
      </c>
      <c r="W331">
        <f>HYPERLINK("https://klasma.github.io/Logging_0482/artfynd/A 28153-2022 artfynd.xlsx", "A 28153-2022")</f>
        <v/>
      </c>
      <c r="X331">
        <f>HYPERLINK("https://klasma.github.io/Logging_0482/kartor/A 28153-2022 karta.png", "A 28153-2022")</f>
        <v/>
      </c>
      <c r="Y331">
        <f>HYPERLINK("https://klasma.github.io/Logging_0482/kartor_geotiff/A 28153-2022 georefererad karta.tif", "A 28153-2022")</f>
        <v/>
      </c>
      <c r="AA331">
        <f>HYPERLINK("https://klasma.github.io/Logging_0482/klagomål/A 28153-2022 FSC-klagomål.docx", "A 28153-2022")</f>
        <v/>
      </c>
      <c r="AB331">
        <f>HYPERLINK("https://klasma.github.io/Logging_0482/klagomålsmail/A 28153-2022 FSC-klagomål mail.docx", "A 28153-2022")</f>
        <v/>
      </c>
      <c r="AC331">
        <f>HYPERLINK("https://klasma.github.io/Logging_0482/tillsyn/A 28153-2022 tillsynsbegäran.docx", "A 28153-2022")</f>
        <v/>
      </c>
      <c r="AD331">
        <f>HYPERLINK("https://klasma.github.io/Logging_0482/tillsynsmail/A 28153-2022 tillsynsbegäran mail.docx", "A 28153-2022")</f>
        <v/>
      </c>
    </row>
    <row r="332" ht="15" customHeight="1">
      <c r="A332" t="inlineStr">
        <is>
          <t>A 72851-2021</t>
        </is>
      </c>
      <c r="B332" t="inlineStr">
        <is>
          <t>avverkningsanmälan</t>
        </is>
      </c>
      <c r="C332" t="inlineStr">
        <is>
          <t>Föryngringsavverkning</t>
        </is>
      </c>
      <c r="D332" s="1" t="n">
        <v>44546</v>
      </c>
      <c r="E332" s="1" t="n">
        <v>46313</v>
      </c>
      <c r="F332" t="inlineStr">
        <is>
          <t>SÖDERMANLANDS LÄN</t>
        </is>
      </c>
      <c r="G332" t="inlineStr">
        <is>
          <t>KATRINEHOLM</t>
        </is>
      </c>
      <c r="I332" t="n">
        <v>0.7</v>
      </c>
      <c r="J332" t="n">
        <v>0</v>
      </c>
      <c r="K332" t="n">
        <v>0</v>
      </c>
      <c r="L332" t="n">
        <v>1</v>
      </c>
      <c r="M332" t="n">
        <v>0</v>
      </c>
      <c r="N332" t="n">
        <v>0</v>
      </c>
      <c r="O332" t="n">
        <v>0</v>
      </c>
      <c r="P332" t="n">
        <v>0</v>
      </c>
      <c r="Q332" t="n">
        <v>1</v>
      </c>
      <c r="R332" t="n">
        <v>0</v>
      </c>
      <c r="S332" t="n">
        <v>1</v>
      </c>
      <c r="T332" t="n">
        <v>1</v>
      </c>
      <c r="U332" t="n">
        <v>0</v>
      </c>
      <c r="V332" s="2" t="inlineStr">
        <is>
          <t>Klasefibbla</t>
        </is>
      </c>
      <c r="W332">
        <f>HYPERLINK("https://klasma.github.io/Logging_0483/artfynd/A 72851-2021 artfynd.xlsx", "A 72851-2021")</f>
        <v/>
      </c>
      <c r="X332">
        <f>HYPERLINK("https://klasma.github.io/Logging_0483/kartor/A 72851-2021 karta.png", "A 72851-2021")</f>
        <v/>
      </c>
      <c r="Y332">
        <f>HYPERLINK("https://klasma.github.io/Logging_0483/kartor_geotiff/A 72851-2021 georefererad karta.tif", "A 72851-2021")</f>
        <v/>
      </c>
      <c r="AA332">
        <f>HYPERLINK("https://klasma.github.io/Logging_0483/klagomål/A 72851-2021 FSC-klagomål.docx", "A 72851-2021")</f>
        <v/>
      </c>
      <c r="AB332">
        <f>HYPERLINK("https://klasma.github.io/Logging_0483/klagomålsmail/A 72851-2021 FSC-klagomål mail.docx", "A 72851-2021")</f>
        <v/>
      </c>
      <c r="AC332">
        <f>HYPERLINK("https://klasma.github.io/Logging_0483/tillsyn/A 72851-2021 tillsynsbegäran.docx", "A 72851-2021")</f>
        <v/>
      </c>
      <c r="AD332">
        <f>HYPERLINK("https://klasma.github.io/Logging_0483/tillsynsmail/A 72851-2021 tillsynsbegäran mail.docx", "A 72851-2021")</f>
        <v/>
      </c>
    </row>
    <row r="333" ht="15" customHeight="1">
      <c r="A333" t="inlineStr">
        <is>
          <t>A 62355-2021</t>
        </is>
      </c>
      <c r="B333" t="inlineStr">
        <is>
          <t>avverkningsanmälan</t>
        </is>
      </c>
      <c r="C333" t="inlineStr">
        <is>
          <t>Föryngringsavverkning</t>
        </is>
      </c>
      <c r="D333" s="1" t="n">
        <v>44503</v>
      </c>
      <c r="E333" s="1" t="n">
        <v>46313</v>
      </c>
      <c r="F333" t="inlineStr">
        <is>
          <t>SÖDERMANLANDS LÄN</t>
        </is>
      </c>
      <c r="G333" t="inlineStr">
        <is>
          <t>FLEN</t>
        </is>
      </c>
      <c r="I333" t="n">
        <v>1</v>
      </c>
      <c r="J333" t="n">
        <v>0</v>
      </c>
      <c r="K333" t="n">
        <v>0</v>
      </c>
      <c r="L333" t="n">
        <v>1</v>
      </c>
      <c r="M333" t="n">
        <v>0</v>
      </c>
      <c r="N333" t="n">
        <v>0</v>
      </c>
      <c r="O333" t="n">
        <v>0</v>
      </c>
      <c r="P333" t="n">
        <v>0</v>
      </c>
      <c r="Q333" t="n">
        <v>1</v>
      </c>
      <c r="R333" t="n">
        <v>0</v>
      </c>
      <c r="S333" t="n">
        <v>1</v>
      </c>
      <c r="T333" t="n">
        <v>1</v>
      </c>
      <c r="U333" t="n">
        <v>0</v>
      </c>
      <c r="V333" s="2" t="inlineStr">
        <is>
          <t>Svinrot</t>
        </is>
      </c>
      <c r="W333">
        <f>HYPERLINK("https://klasma.github.io/Logging_0482/artfynd/A 62355-2021 artfynd.xlsx", "A 62355-2021")</f>
        <v/>
      </c>
      <c r="X333">
        <f>HYPERLINK("https://klasma.github.io/Logging_0482/kartor/A 62355-2021 karta.png", "A 62355-2021")</f>
        <v/>
      </c>
      <c r="Y333">
        <f>HYPERLINK("https://klasma.github.io/Logging_0482/kartor_geotiff/A 62355-2021 georefererad karta.tif", "A 62355-2021")</f>
        <v/>
      </c>
      <c r="AA333">
        <f>HYPERLINK("https://klasma.github.io/Logging_0482/klagomål/A 62355-2021 FSC-klagomål.docx", "A 62355-2021")</f>
        <v/>
      </c>
      <c r="AB333">
        <f>HYPERLINK("https://klasma.github.io/Logging_0482/klagomålsmail/A 62355-2021 FSC-klagomål mail.docx", "A 62355-2021")</f>
        <v/>
      </c>
      <c r="AC333">
        <f>HYPERLINK("https://klasma.github.io/Logging_0482/tillsyn/A 62355-2021 tillsynsbegäran.docx", "A 62355-2021")</f>
        <v/>
      </c>
      <c r="AD333">
        <f>HYPERLINK("https://klasma.github.io/Logging_0482/tillsynsmail/A 62355-2021 tillsynsbegäran mail.docx", "A 62355-2021")</f>
        <v/>
      </c>
    </row>
    <row r="334" ht="15" customHeight="1">
      <c r="A334" t="inlineStr">
        <is>
          <t>A 7767-2022</t>
        </is>
      </c>
      <c r="B334" t="inlineStr">
        <is>
          <t>avverkningsanmälan</t>
        </is>
      </c>
      <c r="C334" t="inlineStr">
        <is>
          <t>Föryngringsavverkning</t>
        </is>
      </c>
      <c r="D334" s="1" t="n">
        <v>44608</v>
      </c>
      <c r="E334" s="1" t="n">
        <v>46313</v>
      </c>
      <c r="F334" t="inlineStr">
        <is>
          <t>SÖDERMANLANDS LÄN</t>
        </is>
      </c>
      <c r="G334" t="inlineStr">
        <is>
          <t>VINGÅKER</t>
        </is>
      </c>
      <c r="I334" t="n">
        <v>11.5</v>
      </c>
      <c r="J334" t="n">
        <v>0</v>
      </c>
      <c r="K334" t="n">
        <v>1</v>
      </c>
      <c r="L334" t="n">
        <v>0</v>
      </c>
      <c r="M334" t="n">
        <v>0</v>
      </c>
      <c r="N334" t="n">
        <v>0</v>
      </c>
      <c r="O334" t="n">
        <v>0</v>
      </c>
      <c r="P334" t="n">
        <v>0</v>
      </c>
      <c r="Q334" t="n">
        <v>0</v>
      </c>
      <c r="R334" t="n">
        <v>0</v>
      </c>
      <c r="S334" t="n">
        <v>1</v>
      </c>
      <c r="T334" t="n">
        <v>1</v>
      </c>
      <c r="U334" t="n">
        <v>0</v>
      </c>
      <c r="V334" s="2" t="inlineStr">
        <is>
          <t>Blomkålssvamp</t>
        </is>
      </c>
      <c r="W334">
        <f>HYPERLINK("https://klasma.github.io/Logging_0428/artfynd/A 7767-2022 artfynd.xlsx", "A 7767-2022")</f>
        <v/>
      </c>
      <c r="X334">
        <f>HYPERLINK("https://klasma.github.io/Logging_0428/kartor/A 7767-2022 karta.png", "A 7767-2022")</f>
        <v/>
      </c>
      <c r="Y334">
        <f>HYPERLINK("https://klasma.github.io/Logging_0428/kartor_geotiff/A 7767-2022 georefererad karta.tif", "A 7767-2022")</f>
        <v/>
      </c>
      <c r="AA334">
        <f>HYPERLINK("https://klasma.github.io/Logging_0428/klagomål/A 7767-2022 FSC-klagomål.docx", "A 7767-2022")</f>
        <v/>
      </c>
      <c r="AB334">
        <f>HYPERLINK("https://klasma.github.io/Logging_0428/klagomålsmail/A 7767-2022 FSC-klagomål mail.docx", "A 7767-2022")</f>
        <v/>
      </c>
      <c r="AC334">
        <f>HYPERLINK("https://klasma.github.io/Logging_0428/tillsyn/A 7767-2022 tillsynsbegäran.docx", "A 7767-2022")</f>
        <v/>
      </c>
      <c r="AD334">
        <f>HYPERLINK("https://klasma.github.io/Logging_0428/tillsynsmail/A 7767-2022 tillsynsbegäran mail.docx", "A 7767-2022")</f>
        <v/>
      </c>
    </row>
    <row r="335" ht="15" customHeight="1">
      <c r="A335" t="inlineStr">
        <is>
          <t>A 22990-2022</t>
        </is>
      </c>
      <c r="B335" t="inlineStr">
        <is>
          <t>avverkningsanmälan</t>
        </is>
      </c>
      <c r="C335" t="inlineStr">
        <is>
          <t>Föryngringsavverkning</t>
        </is>
      </c>
      <c r="D335" s="1" t="n">
        <v>44718</v>
      </c>
      <c r="E335" s="1" t="n">
        <v>46313</v>
      </c>
      <c r="F335" t="inlineStr">
        <is>
          <t>SÖDERMANLANDS LÄN</t>
        </is>
      </c>
      <c r="G335" t="inlineStr">
        <is>
          <t>NYKÖPING</t>
        </is>
      </c>
      <c r="I335" t="n">
        <v>2</v>
      </c>
      <c r="J335" t="n">
        <v>0</v>
      </c>
      <c r="K335" t="n">
        <v>0</v>
      </c>
      <c r="L335" t="n">
        <v>1</v>
      </c>
      <c r="M335" t="n">
        <v>0</v>
      </c>
      <c r="N335" t="n">
        <v>0</v>
      </c>
      <c r="O335" t="n">
        <v>0</v>
      </c>
      <c r="P335" t="n">
        <v>0</v>
      </c>
      <c r="Q335" t="n">
        <v>1</v>
      </c>
      <c r="R335" t="n">
        <v>0</v>
      </c>
      <c r="S335" t="n">
        <v>1</v>
      </c>
      <c r="T335" t="n">
        <v>1</v>
      </c>
      <c r="U335" t="n">
        <v>0</v>
      </c>
      <c r="V335" s="2" t="inlineStr">
        <is>
          <t>Jungfrulin</t>
        </is>
      </c>
      <c r="W335">
        <f>HYPERLINK("https://klasma.github.io/Logging_0480/artfynd/A 22990-2022 artfynd.xlsx", "A 22990-2022")</f>
        <v/>
      </c>
      <c r="X335">
        <f>HYPERLINK("https://klasma.github.io/Logging_0480/kartor/A 22990-2022 karta.png", "A 22990-2022")</f>
        <v/>
      </c>
      <c r="Y335">
        <f>HYPERLINK("https://klasma.github.io/Logging_0480/kartor_geotiff/A 22990-2022 georefererad karta.tif", "A 22990-2022")</f>
        <v/>
      </c>
      <c r="AA335">
        <f>HYPERLINK("https://klasma.github.io/Logging_0480/klagomål/A 22990-2022 FSC-klagomål.docx", "A 22990-2022")</f>
        <v/>
      </c>
      <c r="AB335">
        <f>HYPERLINK("https://klasma.github.io/Logging_0480/klagomålsmail/A 22990-2022 FSC-klagomål mail.docx", "A 22990-2022")</f>
        <v/>
      </c>
      <c r="AC335">
        <f>HYPERLINK("https://klasma.github.io/Logging_0480/tillsyn/A 22990-2022 tillsynsbegäran.docx", "A 22990-2022")</f>
        <v/>
      </c>
      <c r="AD335">
        <f>HYPERLINK("https://klasma.github.io/Logging_0480/tillsynsmail/A 22990-2022 tillsynsbegäran mail.docx", "A 22990-2022")</f>
        <v/>
      </c>
    </row>
    <row r="336" ht="15" customHeight="1">
      <c r="A336" t="inlineStr">
        <is>
          <t>A 7883-2022</t>
        </is>
      </c>
      <c r="B336" t="inlineStr">
        <is>
          <t>avverkningsanmälan</t>
        </is>
      </c>
      <c r="C336" t="inlineStr">
        <is>
          <t>Föryngringsavverkning</t>
        </is>
      </c>
      <c r="D336" s="1" t="n">
        <v>44608</v>
      </c>
      <c r="E336" s="1" t="n">
        <v>46313</v>
      </c>
      <c r="F336" t="inlineStr">
        <is>
          <t>SÖDERMANLANDS LÄN</t>
        </is>
      </c>
      <c r="G336" t="inlineStr">
        <is>
          <t>FLEN</t>
        </is>
      </c>
      <c r="H336" t="inlineStr">
        <is>
          <t>Övriga statliga verk och myndigheter</t>
        </is>
      </c>
      <c r="I336" t="n">
        <v>2.2</v>
      </c>
      <c r="J336" t="n">
        <v>1</v>
      </c>
      <c r="K336" t="n">
        <v>1</v>
      </c>
      <c r="L336" t="n">
        <v>0</v>
      </c>
      <c r="M336" t="n">
        <v>0</v>
      </c>
      <c r="N336" t="n">
        <v>0</v>
      </c>
      <c r="O336" t="n">
        <v>0</v>
      </c>
      <c r="P336" t="n">
        <v>0</v>
      </c>
      <c r="Q336" t="n">
        <v>0</v>
      </c>
      <c r="R336" t="n">
        <v>0</v>
      </c>
      <c r="S336" t="n">
        <v>1</v>
      </c>
      <c r="T336" t="n">
        <v>1</v>
      </c>
      <c r="U336" t="n">
        <v>1</v>
      </c>
      <c r="V336" s="2" t="inlineStr">
        <is>
          <t>Plattlummer</t>
        </is>
      </c>
      <c r="W336">
        <f>HYPERLINK("https://klasma.github.io/Logging_0482/artfynd/A 7883-2022 artfynd.xlsx", "A 7883-2022")</f>
        <v/>
      </c>
      <c r="X336">
        <f>HYPERLINK("https://klasma.github.io/Logging_0482/kartor/A 7883-2022 karta.png", "A 7883-2022")</f>
        <v/>
      </c>
      <c r="Y336">
        <f>HYPERLINK("https://klasma.github.io/Logging_0482/kartor_geotiff/A 7883-2022 georefererad karta.tif", "A 7883-2022")</f>
        <v/>
      </c>
      <c r="AA336">
        <f>HYPERLINK("https://klasma.github.io/Logging_0482/klagomål/A 7883-2022 FSC-klagomål.docx", "A 7883-2022")</f>
        <v/>
      </c>
      <c r="AB336">
        <f>HYPERLINK("https://klasma.github.io/Logging_0482/klagomålsmail/A 7883-2022 FSC-klagomål mail.docx", "A 7883-2022")</f>
        <v/>
      </c>
      <c r="AC336">
        <f>HYPERLINK("https://klasma.github.io/Logging_0482/tillsyn/A 7883-2022 tillsynsbegäran.docx", "A 7883-2022")</f>
        <v/>
      </c>
      <c r="AD336">
        <f>HYPERLINK("https://klasma.github.io/Logging_0482/tillsynsmail/A 7883-2022 tillsynsbegäran mail.docx", "A 7883-2022")</f>
        <v/>
      </c>
    </row>
    <row r="337" ht="15" customHeight="1">
      <c r="A337" t="inlineStr">
        <is>
          <t>A 3162-2022</t>
        </is>
      </c>
      <c r="B337" t="inlineStr">
        <is>
          <t>avverkningsanmälan</t>
        </is>
      </c>
      <c r="C337" t="inlineStr">
        <is>
          <t>Föryngringsavverkning</t>
        </is>
      </c>
      <c r="D337" s="1" t="n">
        <v>44582</v>
      </c>
      <c r="E337" s="1" t="n">
        <v>46313</v>
      </c>
      <c r="F337" t="inlineStr">
        <is>
          <t>SÖDERMANLANDS LÄN</t>
        </is>
      </c>
      <c r="G337" t="inlineStr">
        <is>
          <t>ESKILSTUNA</t>
        </is>
      </c>
      <c r="H337" t="inlineStr">
        <is>
          <t>Kommuner</t>
        </is>
      </c>
      <c r="I337" t="n">
        <v>2.6</v>
      </c>
      <c r="J337" t="n">
        <v>0</v>
      </c>
      <c r="K337" t="n">
        <v>0</v>
      </c>
      <c r="L337" t="n">
        <v>1</v>
      </c>
      <c r="M337" t="n">
        <v>0</v>
      </c>
      <c r="N337" t="n">
        <v>0</v>
      </c>
      <c r="O337" t="n">
        <v>0</v>
      </c>
      <c r="P337" t="n">
        <v>0</v>
      </c>
      <c r="Q337" t="n">
        <v>1</v>
      </c>
      <c r="R337" t="n">
        <v>0</v>
      </c>
      <c r="S337" t="n">
        <v>1</v>
      </c>
      <c r="T337" t="n">
        <v>1</v>
      </c>
      <c r="U337" t="n">
        <v>0</v>
      </c>
      <c r="V337" s="2" t="inlineStr">
        <is>
          <t>Ullticka</t>
        </is>
      </c>
      <c r="W337">
        <f>HYPERLINK("https://klasma.github.io/Logging_0484/artfynd/A 3162-2022 artfynd.xlsx", "A 3162-2022")</f>
        <v/>
      </c>
      <c r="X337">
        <f>HYPERLINK("https://klasma.github.io/Logging_0484/kartor/A 3162-2022 karta.png", "A 3162-2022")</f>
        <v/>
      </c>
      <c r="Y337">
        <f>HYPERLINK("https://klasma.github.io/Logging_0484/kartor_geotiff/A 3162-2022 georefererad karta.tif", "A 3162-2022")</f>
        <v/>
      </c>
      <c r="AA337">
        <f>HYPERLINK("https://klasma.github.io/Logging_0484/klagomål/A 3162-2022 FSC-klagomål.docx", "A 3162-2022")</f>
        <v/>
      </c>
      <c r="AB337">
        <f>HYPERLINK("https://klasma.github.io/Logging_0484/klagomålsmail/A 3162-2022 FSC-klagomål mail.docx", "A 3162-2022")</f>
        <v/>
      </c>
      <c r="AC337">
        <f>HYPERLINK("https://klasma.github.io/Logging_0484/tillsyn/A 3162-2022 tillsynsbegäran.docx", "A 3162-2022")</f>
        <v/>
      </c>
      <c r="AD337">
        <f>HYPERLINK("https://klasma.github.io/Logging_0484/tillsynsmail/A 3162-2022 tillsynsbegäran mail.docx", "A 3162-2022")</f>
        <v/>
      </c>
    </row>
    <row r="338" ht="15" customHeight="1">
      <c r="A338" t="inlineStr">
        <is>
          <t>A 2877-2022</t>
        </is>
      </c>
      <c r="B338" t="inlineStr">
        <is>
          <t>avverkningsanmälan</t>
        </is>
      </c>
      <c r="C338" t="inlineStr">
        <is>
          <t>Föryngringsavverkning</t>
        </is>
      </c>
      <c r="D338" s="1" t="n">
        <v>44581</v>
      </c>
      <c r="E338" s="1" t="n">
        <v>46313</v>
      </c>
      <c r="F338" t="inlineStr">
        <is>
          <t>SÖDERMANLANDS LÄN</t>
        </is>
      </c>
      <c r="G338" t="inlineStr">
        <is>
          <t>KATRINEHOLM</t>
        </is>
      </c>
      <c r="I338" t="n">
        <v>10.3</v>
      </c>
      <c r="J338" t="n">
        <v>1</v>
      </c>
      <c r="K338" t="n">
        <v>0</v>
      </c>
      <c r="L338" t="n">
        <v>0</v>
      </c>
      <c r="M338" t="n">
        <v>0</v>
      </c>
      <c r="N338" t="n">
        <v>0</v>
      </c>
      <c r="O338" t="n">
        <v>0</v>
      </c>
      <c r="P338" t="n">
        <v>0</v>
      </c>
      <c r="Q338" t="n">
        <v>0</v>
      </c>
      <c r="R338" t="n">
        <v>0</v>
      </c>
      <c r="S338" t="n">
        <v>1</v>
      </c>
      <c r="T338" t="n">
        <v>1</v>
      </c>
      <c r="U338" t="n">
        <v>0</v>
      </c>
      <c r="V338" s="2" t="inlineStr">
        <is>
          <t>Kungsfågel</t>
        </is>
      </c>
      <c r="W338">
        <f>HYPERLINK("https://klasma.github.io/Logging_0483/artfynd/A 2877-2022 artfynd.xlsx", "A 2877-2022")</f>
        <v/>
      </c>
      <c r="X338">
        <f>HYPERLINK("https://klasma.github.io/Logging_0483/kartor/A 2877-2022 karta.png", "A 2877-2022")</f>
        <v/>
      </c>
      <c r="Y338">
        <f>HYPERLINK("https://klasma.github.io/Logging_0483/kartor_geotiff/A 2877-2022 georefererad karta.tif", "A 2877-2022")</f>
        <v/>
      </c>
      <c r="AA338">
        <f>HYPERLINK("https://klasma.github.io/Logging_0483/klagomål/A 2877-2022 FSC-klagomål.docx", "A 2877-2022")</f>
        <v/>
      </c>
      <c r="AB338">
        <f>HYPERLINK("https://klasma.github.io/Logging_0483/klagomålsmail/A 2877-2022 FSC-klagomål mail.docx", "A 2877-2022")</f>
        <v/>
      </c>
      <c r="AC338">
        <f>HYPERLINK("https://klasma.github.io/Logging_0483/tillsyn/A 2877-2022 tillsynsbegäran.docx", "A 2877-2022")</f>
        <v/>
      </c>
      <c r="AD338">
        <f>HYPERLINK("https://klasma.github.io/Logging_0483/tillsynsmail/A 2877-2022 tillsynsbegäran mail.docx", "A 2877-2022")</f>
        <v/>
      </c>
    </row>
    <row r="339" ht="15" customHeight="1">
      <c r="A339" t="inlineStr">
        <is>
          <t>A 61368-2021</t>
        </is>
      </c>
      <c r="B339" t="inlineStr">
        <is>
          <t>avverkningsanmälan</t>
        </is>
      </c>
      <c r="C339" t="inlineStr">
        <is>
          <t>Föryngringsavverkning</t>
        </is>
      </c>
      <c r="D339" s="1" t="n">
        <v>44499</v>
      </c>
      <c r="E339" s="1" t="n">
        <v>46313</v>
      </c>
      <c r="F339" t="inlineStr">
        <is>
          <t>SÖDERMANLANDS LÄN</t>
        </is>
      </c>
      <c r="G339" t="inlineStr">
        <is>
          <t>ESKILSTUNA</t>
        </is>
      </c>
      <c r="I339" t="n">
        <v>5.6</v>
      </c>
      <c r="J339" t="n">
        <v>1</v>
      </c>
      <c r="K339" t="n">
        <v>0</v>
      </c>
      <c r="L339" t="n">
        <v>0</v>
      </c>
      <c r="M339" t="n">
        <v>0</v>
      </c>
      <c r="N339" t="n">
        <v>0</v>
      </c>
      <c r="O339" t="n">
        <v>0</v>
      </c>
      <c r="P339" t="n">
        <v>0</v>
      </c>
      <c r="Q339" t="n">
        <v>0</v>
      </c>
      <c r="R339" t="n">
        <v>0</v>
      </c>
      <c r="S339" t="n">
        <v>1</v>
      </c>
      <c r="T339" t="n">
        <v>1</v>
      </c>
      <c r="U339" t="n">
        <v>0</v>
      </c>
      <c r="V339" s="2" t="inlineStr">
        <is>
          <t>Revlummer</t>
        </is>
      </c>
      <c r="W339">
        <f>HYPERLINK("https://klasma.github.io/Logging_0484/artfynd/A 61368-2021 artfynd.xlsx", "A 61368-2021")</f>
        <v/>
      </c>
      <c r="X339">
        <f>HYPERLINK("https://klasma.github.io/Logging_0484/kartor/A 61368-2021 karta.png", "A 61368-2021")</f>
        <v/>
      </c>
      <c r="Y339">
        <f>HYPERLINK("https://klasma.github.io/Logging_0484/kartor_geotiff/A 61368-2021 georefererad karta.tif", "A 61368-2021")</f>
        <v/>
      </c>
      <c r="AA339">
        <f>HYPERLINK("https://klasma.github.io/Logging_0484/klagomål/A 61368-2021 FSC-klagomål.docx", "A 61368-2021")</f>
        <v/>
      </c>
      <c r="AB339">
        <f>HYPERLINK("https://klasma.github.io/Logging_0484/klagomålsmail/A 61368-2021 FSC-klagomål mail.docx", "A 61368-2021")</f>
        <v/>
      </c>
      <c r="AC339">
        <f>HYPERLINK("https://klasma.github.io/Logging_0484/tillsyn/A 61368-2021 tillsynsbegäran.docx", "A 61368-2021")</f>
        <v/>
      </c>
      <c r="AD339">
        <f>HYPERLINK("https://klasma.github.io/Logging_0484/tillsynsmail/A 61368-2021 tillsynsbegäran mail.docx", "A 61368-2021")</f>
        <v/>
      </c>
    </row>
    <row r="340" ht="15" customHeight="1">
      <c r="A340" t="inlineStr">
        <is>
          <t>A 44563-2022</t>
        </is>
      </c>
      <c r="B340" t="inlineStr">
        <is>
          <t>avverkningsanmälan</t>
        </is>
      </c>
      <c r="C340" t="inlineStr">
        <is>
          <t>Avverkning för annat ändamål</t>
        </is>
      </c>
      <c r="D340" s="1" t="n">
        <v>44838</v>
      </c>
      <c r="E340" s="1" t="n">
        <v>46313</v>
      </c>
      <c r="F340" t="inlineStr">
        <is>
          <t>SÖDERMANLANDS LÄN</t>
        </is>
      </c>
      <c r="G340" t="inlineStr">
        <is>
          <t>FLEN</t>
        </is>
      </c>
      <c r="I340" t="n">
        <v>1.5</v>
      </c>
      <c r="J340" t="n">
        <v>1</v>
      </c>
      <c r="K340" t="n">
        <v>0</v>
      </c>
      <c r="L340" t="n">
        <v>0</v>
      </c>
      <c r="M340" t="n">
        <v>0</v>
      </c>
      <c r="N340" t="n">
        <v>0</v>
      </c>
      <c r="O340" t="n">
        <v>0</v>
      </c>
      <c r="P340" t="n">
        <v>0</v>
      </c>
      <c r="Q340" t="n">
        <v>0</v>
      </c>
      <c r="R340" t="n">
        <v>0</v>
      </c>
      <c r="S340" t="n">
        <v>1</v>
      </c>
      <c r="T340" t="n">
        <v>1</v>
      </c>
      <c r="U340" t="n">
        <v>1</v>
      </c>
      <c r="V340" s="2" t="inlineStr">
        <is>
          <t>Blåsippa</t>
        </is>
      </c>
      <c r="W340">
        <f>HYPERLINK("https://klasma.github.io/Logging_0482/artfynd/A 44563-2022 artfynd.xlsx", "A 44563-2022")</f>
        <v/>
      </c>
      <c r="X340">
        <f>HYPERLINK("https://klasma.github.io/Logging_0482/kartor/A 44563-2022 karta.png", "A 44563-2022")</f>
        <v/>
      </c>
      <c r="Y340">
        <f>HYPERLINK("https://klasma.github.io/Logging_0482/kartor_geotiff/A 44563-2022 georefererad karta.tif", "A 44563-2022")</f>
        <v/>
      </c>
      <c r="AA340">
        <f>HYPERLINK("https://klasma.github.io/Logging_0482/klagomål/A 44563-2022 FSC-klagomål.docx", "A 44563-2022")</f>
        <v/>
      </c>
      <c r="AB340">
        <f>HYPERLINK("https://klasma.github.io/Logging_0482/klagomålsmail/A 44563-2022 FSC-klagomål mail.docx", "A 44563-2022")</f>
        <v/>
      </c>
      <c r="AC340">
        <f>HYPERLINK("https://klasma.github.io/Logging_0482/tillsyn/A 44563-2022 tillsynsbegäran.docx", "A 44563-2022")</f>
        <v/>
      </c>
      <c r="AD340">
        <f>HYPERLINK("https://klasma.github.io/Logging_0482/tillsynsmail/A 44563-2022 tillsynsbegäran mail.docx", "A 44563-2022")</f>
        <v/>
      </c>
    </row>
    <row r="341" ht="15" customHeight="1">
      <c r="A341" t="inlineStr">
        <is>
          <t>A 26245-2022</t>
        </is>
      </c>
      <c r="B341" t="inlineStr">
        <is>
          <t>avverkningsanmälan</t>
        </is>
      </c>
      <c r="C341" t="inlineStr">
        <is>
          <t>Föryngringsavverkning</t>
        </is>
      </c>
      <c r="D341" s="1" t="n">
        <v>44735</v>
      </c>
      <c r="E341" s="1" t="n">
        <v>46313</v>
      </c>
      <c r="F341" t="inlineStr">
        <is>
          <t>SÖDERMANLANDS LÄN</t>
        </is>
      </c>
      <c r="G341" t="inlineStr">
        <is>
          <t>FLEN</t>
        </is>
      </c>
      <c r="I341" t="n">
        <v>2.9</v>
      </c>
      <c r="J341" t="n">
        <v>0</v>
      </c>
      <c r="K341" t="n">
        <v>1</v>
      </c>
      <c r="L341" t="n">
        <v>0</v>
      </c>
      <c r="M341" t="n">
        <v>0</v>
      </c>
      <c r="N341" t="n">
        <v>0</v>
      </c>
      <c r="O341" t="n">
        <v>0</v>
      </c>
      <c r="P341" t="n">
        <v>0</v>
      </c>
      <c r="Q341" t="n">
        <v>0</v>
      </c>
      <c r="R341" t="n">
        <v>0</v>
      </c>
      <c r="S341" t="n">
        <v>1</v>
      </c>
      <c r="T341" t="n">
        <v>1</v>
      </c>
      <c r="U341" t="n">
        <v>0</v>
      </c>
      <c r="V341" s="2" t="inlineStr">
        <is>
          <t>Blanksvart trämyra</t>
        </is>
      </c>
      <c r="W341">
        <f>HYPERLINK("https://klasma.github.io/Logging_0482/artfynd/A 26245-2022 artfynd.xlsx", "A 26245-2022")</f>
        <v/>
      </c>
      <c r="X341">
        <f>HYPERLINK("https://klasma.github.io/Logging_0482/kartor/A 26245-2022 karta.png", "A 26245-2022")</f>
        <v/>
      </c>
      <c r="Y341">
        <f>HYPERLINK("https://klasma.github.io/Logging_0482/kartor_geotiff/A 26245-2022 georefererad karta.tif", "A 26245-2022")</f>
        <v/>
      </c>
      <c r="AA341">
        <f>HYPERLINK("https://klasma.github.io/Logging_0482/klagomål/A 26245-2022 FSC-klagomål.docx", "A 26245-2022")</f>
        <v/>
      </c>
      <c r="AB341">
        <f>HYPERLINK("https://klasma.github.io/Logging_0482/klagomålsmail/A 26245-2022 FSC-klagomål mail.docx", "A 26245-2022")</f>
        <v/>
      </c>
      <c r="AC341">
        <f>HYPERLINK("https://klasma.github.io/Logging_0482/tillsyn/A 26245-2022 tillsynsbegäran.docx", "A 26245-2022")</f>
        <v/>
      </c>
      <c r="AD341">
        <f>HYPERLINK("https://klasma.github.io/Logging_0482/tillsynsmail/A 26245-2022 tillsynsbegäran mail.docx", "A 26245-2022")</f>
        <v/>
      </c>
    </row>
    <row r="342" ht="15" customHeight="1">
      <c r="A342" t="inlineStr">
        <is>
          <t>A 21317-2022</t>
        </is>
      </c>
      <c r="B342" t="inlineStr">
        <is>
          <t>avverkningsanmälan</t>
        </is>
      </c>
      <c r="C342" t="inlineStr">
        <is>
          <t>Föryngringsavverkning</t>
        </is>
      </c>
      <c r="D342" s="1" t="n">
        <v>44705</v>
      </c>
      <c r="E342" s="1" t="n">
        <v>46313</v>
      </c>
      <c r="F342" t="inlineStr">
        <is>
          <t>SÖDERMANLANDS LÄN</t>
        </is>
      </c>
      <c r="G342" t="inlineStr">
        <is>
          <t>STRÄNGNÄS</t>
        </is>
      </c>
      <c r="I342" t="n">
        <v>1.9</v>
      </c>
      <c r="J342" t="n">
        <v>1</v>
      </c>
      <c r="K342" t="n">
        <v>1</v>
      </c>
      <c r="L342" t="n">
        <v>0</v>
      </c>
      <c r="M342" t="n">
        <v>0</v>
      </c>
      <c r="N342" t="n">
        <v>0</v>
      </c>
      <c r="O342" t="n">
        <v>0</v>
      </c>
      <c r="P342" t="n">
        <v>0</v>
      </c>
      <c r="Q342" t="n">
        <v>0</v>
      </c>
      <c r="R342" t="n">
        <v>0</v>
      </c>
      <c r="S342" t="n">
        <v>1</v>
      </c>
      <c r="T342" t="n">
        <v>1</v>
      </c>
      <c r="U342" t="n">
        <v>0</v>
      </c>
      <c r="V342" s="2" t="inlineStr">
        <is>
          <t>Nästrot</t>
        </is>
      </c>
      <c r="W342">
        <f>HYPERLINK("https://klasma.github.io/Logging_0486/artfynd/A 21317-2022 artfynd.xlsx", "A 21317-2022")</f>
        <v/>
      </c>
      <c r="X342">
        <f>HYPERLINK("https://klasma.github.io/Logging_0486/kartor/A 21317-2022 karta.png", "A 21317-2022")</f>
        <v/>
      </c>
      <c r="Y342">
        <f>HYPERLINK("https://klasma.github.io/Logging_0486/kartor_geotiff/A 21317-2022 georefererad karta.tif", "A 21317-2022")</f>
        <v/>
      </c>
      <c r="AA342">
        <f>HYPERLINK("https://klasma.github.io/Logging_0486/klagomål/A 21317-2022 FSC-klagomål.docx", "A 21317-2022")</f>
        <v/>
      </c>
      <c r="AB342">
        <f>HYPERLINK("https://klasma.github.io/Logging_0486/klagomålsmail/A 21317-2022 FSC-klagomål mail.docx", "A 21317-2022")</f>
        <v/>
      </c>
      <c r="AC342">
        <f>HYPERLINK("https://klasma.github.io/Logging_0486/tillsyn/A 21317-2022 tillsynsbegäran.docx", "A 21317-2022")</f>
        <v/>
      </c>
      <c r="AD342">
        <f>HYPERLINK("https://klasma.github.io/Logging_0486/tillsynsmail/A 21317-2022 tillsynsbegäran mail.docx", "A 21317-2022")</f>
        <v/>
      </c>
    </row>
    <row r="343" ht="15" customHeight="1">
      <c r="A343" t="inlineStr">
        <is>
          <t>A 2012-2022</t>
        </is>
      </c>
      <c r="B343" t="inlineStr">
        <is>
          <t>avverkningsanmälan</t>
        </is>
      </c>
      <c r="C343" t="inlineStr">
        <is>
          <t>Föryngringsavverkning</t>
        </is>
      </c>
      <c r="D343" s="1" t="n">
        <v>44575</v>
      </c>
      <c r="E343" s="1" t="n">
        <v>46313</v>
      </c>
      <c r="F343" t="inlineStr">
        <is>
          <t>SÖDERMANLANDS LÄN</t>
        </is>
      </c>
      <c r="G343" t="inlineStr">
        <is>
          <t>GNESTA</t>
        </is>
      </c>
      <c r="I343" t="n">
        <v>5.3</v>
      </c>
      <c r="J343" t="n">
        <v>1</v>
      </c>
      <c r="K343" t="n">
        <v>0</v>
      </c>
      <c r="L343" t="n">
        <v>0</v>
      </c>
      <c r="M343" t="n">
        <v>0</v>
      </c>
      <c r="N343" t="n">
        <v>0</v>
      </c>
      <c r="O343" t="n">
        <v>0</v>
      </c>
      <c r="P343" t="n">
        <v>0</v>
      </c>
      <c r="Q343" t="n">
        <v>0</v>
      </c>
      <c r="R343" t="n">
        <v>0</v>
      </c>
      <c r="S343" t="n">
        <v>1</v>
      </c>
      <c r="T343" t="n">
        <v>1</v>
      </c>
      <c r="U343" t="n">
        <v>1</v>
      </c>
      <c r="V343" s="2" t="inlineStr">
        <is>
          <t>Fläcknycklar</t>
        </is>
      </c>
      <c r="W343">
        <f>HYPERLINK("https://klasma.github.io/Logging_0461/artfynd/A 2012-2022 artfynd.xlsx", "A 2012-2022")</f>
        <v/>
      </c>
      <c r="X343">
        <f>HYPERLINK("https://klasma.github.io/Logging_0461/kartor/A 2012-2022 karta.png", "A 2012-2022")</f>
        <v/>
      </c>
      <c r="Y343">
        <f>HYPERLINK("https://klasma.github.io/Logging_0461/kartor_geotiff/A 2012-2022 georefererad karta.tif", "A 2012-2022")</f>
        <v/>
      </c>
      <c r="AA343">
        <f>HYPERLINK("https://klasma.github.io/Logging_0461/klagomål/A 2012-2022 FSC-klagomål.docx", "A 2012-2022")</f>
        <v/>
      </c>
      <c r="AB343">
        <f>HYPERLINK("https://klasma.github.io/Logging_0461/klagomålsmail/A 2012-2022 FSC-klagomål mail.docx", "A 2012-2022")</f>
        <v/>
      </c>
      <c r="AC343">
        <f>HYPERLINK("https://klasma.github.io/Logging_0461/tillsyn/A 2012-2022 tillsynsbegäran.docx", "A 2012-2022")</f>
        <v/>
      </c>
      <c r="AD343">
        <f>HYPERLINK("https://klasma.github.io/Logging_0461/tillsynsmail/A 2012-2022 tillsynsbegäran mail.docx", "A 2012-2022")</f>
        <v/>
      </c>
    </row>
    <row r="344" ht="15" customHeight="1">
      <c r="A344" t="inlineStr">
        <is>
          <t>A 34823-2023</t>
        </is>
      </c>
      <c r="B344" t="inlineStr">
        <is>
          <t>avverkningsanmälan</t>
        </is>
      </c>
      <c r="C344" t="inlineStr">
        <is>
          <t>Föryngringsavverkning</t>
        </is>
      </c>
      <c r="D344" s="1" t="n">
        <v>45140</v>
      </c>
      <c r="E344" s="1" t="n">
        <v>46313</v>
      </c>
      <c r="F344" t="inlineStr">
        <is>
          <t>SÖDERMANLANDS LÄN</t>
        </is>
      </c>
      <c r="G344" t="inlineStr">
        <is>
          <t>FLEN</t>
        </is>
      </c>
      <c r="I344" t="n">
        <v>1.3</v>
      </c>
      <c r="J344" t="n">
        <v>0</v>
      </c>
      <c r="K344" t="n">
        <v>0</v>
      </c>
      <c r="L344" t="n">
        <v>1</v>
      </c>
      <c r="M344" t="n">
        <v>0</v>
      </c>
      <c r="N344" t="n">
        <v>0</v>
      </c>
      <c r="O344" t="n">
        <v>0</v>
      </c>
      <c r="P344" t="n">
        <v>0</v>
      </c>
      <c r="Q344" t="n">
        <v>1</v>
      </c>
      <c r="R344" t="n">
        <v>0</v>
      </c>
      <c r="S344" t="n">
        <v>1</v>
      </c>
      <c r="T344" t="n">
        <v>1</v>
      </c>
      <c r="U344" t="n">
        <v>1</v>
      </c>
      <c r="V344" s="2" t="inlineStr">
        <is>
          <t>Mörk dunört</t>
        </is>
      </c>
      <c r="W344">
        <f>HYPERLINK("https://klasma.github.io/Logging_0482/artfynd/A 34823-2023 artfynd.xlsx", "A 34823-2023")</f>
        <v/>
      </c>
      <c r="X344">
        <f>HYPERLINK("https://klasma.github.io/Logging_0482/kartor/A 34823-2023 karta.png", "A 34823-2023")</f>
        <v/>
      </c>
      <c r="Y344">
        <f>HYPERLINK("https://klasma.github.io/Logging_0482/kartor_geotiff/A 34823-2023 georefererad karta.tif", "A 34823-2023")</f>
        <v/>
      </c>
      <c r="AA344">
        <f>HYPERLINK("https://klasma.github.io/Logging_0482/klagomål/A 34823-2023 FSC-klagomål.docx", "A 34823-2023")</f>
        <v/>
      </c>
      <c r="AB344">
        <f>HYPERLINK("https://klasma.github.io/Logging_0482/klagomålsmail/A 34823-2023 FSC-klagomål mail.docx", "A 34823-2023")</f>
        <v/>
      </c>
      <c r="AC344">
        <f>HYPERLINK("https://klasma.github.io/Logging_0482/tillsyn/A 34823-2023 tillsynsbegäran.docx", "A 34823-2023")</f>
        <v/>
      </c>
      <c r="AD344">
        <f>HYPERLINK("https://klasma.github.io/Logging_0482/tillsynsmail/A 34823-2023 tillsynsbegäran mail.docx", "A 34823-2023")</f>
        <v/>
      </c>
    </row>
    <row r="345" ht="15" customHeight="1">
      <c r="A345" t="inlineStr">
        <is>
          <t>A 31972-2024</t>
        </is>
      </c>
      <c r="B345" t="inlineStr">
        <is>
          <t>avverkningsanmälan</t>
        </is>
      </c>
      <c r="C345" t="inlineStr">
        <is>
          <t>Föryngringsavverkning</t>
        </is>
      </c>
      <c r="D345" s="1" t="n">
        <v>45510</v>
      </c>
      <c r="E345" s="1" t="n">
        <v>46313</v>
      </c>
      <c r="F345" t="inlineStr">
        <is>
          <t>SÖDERMANLANDS LÄN</t>
        </is>
      </c>
      <c r="G345" t="inlineStr">
        <is>
          <t>FLEN</t>
        </is>
      </c>
      <c r="I345" t="n">
        <v>3.4</v>
      </c>
      <c r="J345" t="n">
        <v>0</v>
      </c>
      <c r="K345" t="n">
        <v>0</v>
      </c>
      <c r="L345" t="n">
        <v>1</v>
      </c>
      <c r="M345" t="n">
        <v>0</v>
      </c>
      <c r="N345" t="n">
        <v>0</v>
      </c>
      <c r="O345" t="n">
        <v>0</v>
      </c>
      <c r="P345" t="n">
        <v>0</v>
      </c>
      <c r="Q345" t="n">
        <v>1</v>
      </c>
      <c r="R345" t="n">
        <v>0</v>
      </c>
      <c r="S345" t="n">
        <v>1</v>
      </c>
      <c r="T345" t="n">
        <v>1</v>
      </c>
      <c r="U345" t="n">
        <v>0</v>
      </c>
      <c r="V345" s="2" t="inlineStr">
        <is>
          <t>Åkerrödtoppa</t>
        </is>
      </c>
      <c r="W345">
        <f>HYPERLINK("https://klasma.github.io/Logging_0482/artfynd/A 31972-2024 artfynd.xlsx", "A 31972-2024")</f>
        <v/>
      </c>
      <c r="X345">
        <f>HYPERLINK("https://klasma.github.io/Logging_0482/kartor/A 31972-2024 karta.png", "A 31972-2024")</f>
        <v/>
      </c>
      <c r="Y345">
        <f>HYPERLINK("https://klasma.github.io/Logging_0482/kartor_geotiff/A 31972-2024 georefererad karta.tif", "A 31972-2024")</f>
        <v/>
      </c>
      <c r="AA345">
        <f>HYPERLINK("https://klasma.github.io/Logging_0482/klagomål/A 31972-2024 FSC-klagomål.docx", "A 31972-2024")</f>
        <v/>
      </c>
      <c r="AB345">
        <f>HYPERLINK("https://klasma.github.io/Logging_0482/klagomålsmail/A 31972-2024 FSC-klagomål mail.docx", "A 31972-2024")</f>
        <v/>
      </c>
      <c r="AC345">
        <f>HYPERLINK("https://klasma.github.io/Logging_0482/tillsyn/A 31972-2024 tillsynsbegäran.docx", "A 31972-2024")</f>
        <v/>
      </c>
      <c r="AD345">
        <f>HYPERLINK("https://klasma.github.io/Logging_0482/tillsynsmail/A 31972-2024 tillsynsbegäran mail.docx", "A 31972-2024")</f>
        <v/>
      </c>
    </row>
    <row r="346" ht="15" customHeight="1">
      <c r="A346" t="inlineStr">
        <is>
          <t>A 33024-2022</t>
        </is>
      </c>
      <c r="B346" t="inlineStr">
        <is>
          <t>avverkningsanmälan</t>
        </is>
      </c>
      <c r="C346" t="inlineStr">
        <is>
          <t>Föryngringsavverkning</t>
        </is>
      </c>
      <c r="D346" s="1" t="n">
        <v>44785</v>
      </c>
      <c r="E346" s="1" t="n">
        <v>46313</v>
      </c>
      <c r="F346" t="inlineStr">
        <is>
          <t>SÖDERMANLANDS LÄN</t>
        </is>
      </c>
      <c r="G346" t="inlineStr">
        <is>
          <t>FLEN</t>
        </is>
      </c>
      <c r="I346" t="n">
        <v>3</v>
      </c>
      <c r="J346" t="n">
        <v>1</v>
      </c>
      <c r="K346" t="n">
        <v>0</v>
      </c>
      <c r="L346" t="n">
        <v>0</v>
      </c>
      <c r="M346" t="n">
        <v>0</v>
      </c>
      <c r="N346" t="n">
        <v>0</v>
      </c>
      <c r="O346" t="n">
        <v>0</v>
      </c>
      <c r="P346" t="n">
        <v>0</v>
      </c>
      <c r="Q346" t="n">
        <v>0</v>
      </c>
      <c r="R346" t="n">
        <v>0</v>
      </c>
      <c r="S346" t="n">
        <v>1</v>
      </c>
      <c r="T346" t="n">
        <v>1</v>
      </c>
      <c r="U346" t="n">
        <v>1</v>
      </c>
      <c r="V346" s="2" t="inlineStr">
        <is>
          <t>Blåsippa</t>
        </is>
      </c>
      <c r="W346">
        <f>HYPERLINK("https://klasma.github.io/Logging_0482/artfynd/A 33024-2022 artfynd.xlsx", "A 33024-2022")</f>
        <v/>
      </c>
      <c r="X346">
        <f>HYPERLINK("https://klasma.github.io/Logging_0482/kartor/A 33024-2022 karta.png", "A 33024-2022")</f>
        <v/>
      </c>
      <c r="Y346">
        <f>HYPERLINK("https://klasma.github.io/Logging_0482/kartor_geotiff/A 33024-2022 georefererad karta.tif", "A 33024-2022")</f>
        <v/>
      </c>
      <c r="AA346">
        <f>HYPERLINK("https://klasma.github.io/Logging_0482/klagomål/A 33024-2022 FSC-klagomål.docx", "A 33024-2022")</f>
        <v/>
      </c>
      <c r="AB346">
        <f>HYPERLINK("https://klasma.github.io/Logging_0482/klagomålsmail/A 33024-2022 FSC-klagomål mail.docx", "A 33024-2022")</f>
        <v/>
      </c>
      <c r="AC346">
        <f>HYPERLINK("https://klasma.github.io/Logging_0482/tillsyn/A 33024-2022 tillsynsbegäran.docx", "A 33024-2022")</f>
        <v/>
      </c>
      <c r="AD346">
        <f>HYPERLINK("https://klasma.github.io/Logging_0482/tillsynsmail/A 33024-2022 tillsynsbegäran mail.docx", "A 33024-2022")</f>
        <v/>
      </c>
    </row>
    <row r="347" ht="15" customHeight="1">
      <c r="A347" t="inlineStr">
        <is>
          <t>A 54737-2022</t>
        </is>
      </c>
      <c r="B347" t="inlineStr">
        <is>
          <t>avverkningsanmälan</t>
        </is>
      </c>
      <c r="C347" t="inlineStr">
        <is>
          <t>Föryngringsavverkning</t>
        </is>
      </c>
      <c r="D347" s="1" t="n">
        <v>44881</v>
      </c>
      <c r="E347" s="1" t="n">
        <v>46313</v>
      </c>
      <c r="F347" t="inlineStr">
        <is>
          <t>SÖDERMANLANDS LÄN</t>
        </is>
      </c>
      <c r="G347" t="inlineStr">
        <is>
          <t>FLEN</t>
        </is>
      </c>
      <c r="I347" t="n">
        <v>5.7</v>
      </c>
      <c r="J347" t="n">
        <v>0</v>
      </c>
      <c r="K347" t="n">
        <v>0</v>
      </c>
      <c r="L347" t="n">
        <v>1</v>
      </c>
      <c r="M347" t="n">
        <v>0</v>
      </c>
      <c r="N347" t="n">
        <v>0</v>
      </c>
      <c r="O347" t="n">
        <v>0</v>
      </c>
      <c r="P347" t="n">
        <v>0</v>
      </c>
      <c r="Q347" t="n">
        <v>1</v>
      </c>
      <c r="R347" t="n">
        <v>0</v>
      </c>
      <c r="S347" t="n">
        <v>1</v>
      </c>
      <c r="T347" t="n">
        <v>1</v>
      </c>
      <c r="U347" t="n">
        <v>0</v>
      </c>
      <c r="V347" s="2" t="inlineStr">
        <is>
          <t>Gullklöver</t>
        </is>
      </c>
      <c r="W347">
        <f>HYPERLINK("https://klasma.github.io/Logging_0482/artfynd/A 54737-2022 artfynd.xlsx", "A 54737-2022")</f>
        <v/>
      </c>
      <c r="X347">
        <f>HYPERLINK("https://klasma.github.io/Logging_0482/kartor/A 54737-2022 karta.png", "A 54737-2022")</f>
        <v/>
      </c>
      <c r="Y347">
        <f>HYPERLINK("https://klasma.github.io/Logging_0482/kartor_geotiff/A 54737-2022 georefererad karta.tif", "A 54737-2022")</f>
        <v/>
      </c>
      <c r="AA347">
        <f>HYPERLINK("https://klasma.github.io/Logging_0482/klagomål/A 54737-2022 FSC-klagomål.docx", "A 54737-2022")</f>
        <v/>
      </c>
      <c r="AB347">
        <f>HYPERLINK("https://klasma.github.io/Logging_0482/klagomålsmail/A 54737-2022 FSC-klagomål mail.docx", "A 54737-2022")</f>
        <v/>
      </c>
      <c r="AC347">
        <f>HYPERLINK("https://klasma.github.io/Logging_0482/tillsyn/A 54737-2022 tillsynsbegäran.docx", "A 54737-2022")</f>
        <v/>
      </c>
      <c r="AD347">
        <f>HYPERLINK("https://klasma.github.io/Logging_0482/tillsynsmail/A 54737-2022 tillsynsbegäran mail.docx", "A 54737-2022")</f>
        <v/>
      </c>
    </row>
    <row r="348" ht="15" customHeight="1">
      <c r="A348" t="inlineStr">
        <is>
          <t>A 23637-2023</t>
        </is>
      </c>
      <c r="B348" t="inlineStr">
        <is>
          <t>avverkningsanmälan</t>
        </is>
      </c>
      <c r="C348" t="inlineStr">
        <is>
          <t>Föryngringsavverkning</t>
        </is>
      </c>
      <c r="D348" s="1" t="n">
        <v>45077</v>
      </c>
      <c r="E348" s="1" t="n">
        <v>46313</v>
      </c>
      <c r="F348" t="inlineStr">
        <is>
          <t>SÖDERMANLANDS LÄN</t>
        </is>
      </c>
      <c r="G348" t="inlineStr">
        <is>
          <t>ESKILSTUNA</t>
        </is>
      </c>
      <c r="I348" t="n">
        <v>15.8</v>
      </c>
      <c r="J348" t="n">
        <v>0</v>
      </c>
      <c r="K348" t="n">
        <v>0</v>
      </c>
      <c r="L348" t="n">
        <v>0</v>
      </c>
      <c r="M348" t="n">
        <v>1</v>
      </c>
      <c r="N348" t="n">
        <v>0</v>
      </c>
      <c r="O348" t="n">
        <v>0</v>
      </c>
      <c r="P348" t="n">
        <v>0</v>
      </c>
      <c r="Q348" t="n">
        <v>1</v>
      </c>
      <c r="R348" t="n">
        <v>1</v>
      </c>
      <c r="S348" t="n">
        <v>1</v>
      </c>
      <c r="T348" t="n">
        <v>1</v>
      </c>
      <c r="U348" t="n">
        <v>0</v>
      </c>
      <c r="V348" s="2" t="inlineStr">
        <is>
          <t>Violett fingersvamp</t>
        </is>
      </c>
      <c r="W348">
        <f>HYPERLINK("https://klasma.github.io/Logging_0484/artfynd/A 23637-2023 artfynd.xlsx", "A 23637-2023")</f>
        <v/>
      </c>
      <c r="X348">
        <f>HYPERLINK("https://klasma.github.io/Logging_0484/kartor/A 23637-2023 karta.png", "A 23637-2023")</f>
        <v/>
      </c>
      <c r="Y348">
        <f>HYPERLINK("https://klasma.github.io/Logging_0484/kartor_geotiff/A 23637-2023 georefererad karta.tif", "A 23637-2023")</f>
        <v/>
      </c>
      <c r="AA348">
        <f>HYPERLINK("https://klasma.github.io/Logging_0484/klagomål/A 23637-2023 FSC-klagomål.docx", "A 23637-2023")</f>
        <v/>
      </c>
      <c r="AB348">
        <f>HYPERLINK("https://klasma.github.io/Logging_0484/klagomålsmail/A 23637-2023 FSC-klagomål mail.docx", "A 23637-2023")</f>
        <v/>
      </c>
      <c r="AC348">
        <f>HYPERLINK("https://klasma.github.io/Logging_0484/tillsyn/A 23637-2023 tillsynsbegäran.docx", "A 23637-2023")</f>
        <v/>
      </c>
      <c r="AD348">
        <f>HYPERLINK("https://klasma.github.io/Logging_0484/tillsynsmail/A 23637-2023 tillsynsbegäran mail.docx", "A 23637-2023")</f>
        <v/>
      </c>
    </row>
    <row r="349" ht="15" customHeight="1">
      <c r="A349" t="inlineStr">
        <is>
          <t>A 28985-2022</t>
        </is>
      </c>
      <c r="B349" t="inlineStr">
        <is>
          <t>avverkningsanmälan</t>
        </is>
      </c>
      <c r="C349" t="inlineStr">
        <is>
          <t>Föryngringsavverkning</t>
        </is>
      </c>
      <c r="D349" s="1" t="n">
        <v>44749</v>
      </c>
      <c r="E349" s="1" t="n">
        <v>46313</v>
      </c>
      <c r="F349" t="inlineStr">
        <is>
          <t>SÖDERMANLANDS LÄN</t>
        </is>
      </c>
      <c r="G349" t="inlineStr">
        <is>
          <t>KATRINEHOLM</t>
        </is>
      </c>
      <c r="I349" t="n">
        <v>6.4</v>
      </c>
      <c r="J349" t="n">
        <v>0</v>
      </c>
      <c r="K349" t="n">
        <v>0</v>
      </c>
      <c r="L349" t="n">
        <v>0</v>
      </c>
      <c r="M349" t="n">
        <v>1</v>
      </c>
      <c r="N349" t="n">
        <v>0</v>
      </c>
      <c r="O349" t="n">
        <v>0</v>
      </c>
      <c r="P349" t="n">
        <v>0</v>
      </c>
      <c r="Q349" t="n">
        <v>1</v>
      </c>
      <c r="R349" t="n">
        <v>1</v>
      </c>
      <c r="S349" t="n">
        <v>1</v>
      </c>
      <c r="T349" t="n">
        <v>1</v>
      </c>
      <c r="U349" t="n">
        <v>1</v>
      </c>
      <c r="V349" s="2" t="inlineStr">
        <is>
          <t>Igelkott</t>
        </is>
      </c>
      <c r="W349">
        <f>HYPERLINK("https://klasma.github.io/Logging_0483/artfynd/A 28985-2022 artfynd.xlsx", "A 28985-2022")</f>
        <v/>
      </c>
      <c r="X349">
        <f>HYPERLINK("https://klasma.github.io/Logging_0483/kartor/A 28985-2022 karta.png", "A 28985-2022")</f>
        <v/>
      </c>
      <c r="Y349">
        <f>HYPERLINK("https://klasma.github.io/Logging_0483/kartor_geotiff/A 28985-2022 georefererad karta.tif", "A 28985-2022")</f>
        <v/>
      </c>
      <c r="AA349">
        <f>HYPERLINK("https://klasma.github.io/Logging_0483/klagomål/A 28985-2022 FSC-klagomål.docx", "A 28985-2022")</f>
        <v/>
      </c>
      <c r="AB349">
        <f>HYPERLINK("https://klasma.github.io/Logging_0483/klagomålsmail/A 28985-2022 FSC-klagomål mail.docx", "A 28985-2022")</f>
        <v/>
      </c>
      <c r="AC349">
        <f>HYPERLINK("https://klasma.github.io/Logging_0483/tillsyn/A 28985-2022 tillsynsbegäran.docx", "A 28985-2022")</f>
        <v/>
      </c>
      <c r="AD349">
        <f>HYPERLINK("https://klasma.github.io/Logging_0483/tillsynsmail/A 28985-2022 tillsynsbegäran mail.docx", "A 28985-2022")</f>
        <v/>
      </c>
    </row>
    <row r="350" ht="15" customHeight="1">
      <c r="A350" t="inlineStr">
        <is>
          <t>A 9134-2024</t>
        </is>
      </c>
      <c r="B350" t="inlineStr">
        <is>
          <t>avverkningsanmälan</t>
        </is>
      </c>
      <c r="C350" t="inlineStr">
        <is>
          <t>Föryngringsavverkning</t>
        </is>
      </c>
      <c r="D350" s="1" t="n">
        <v>45358</v>
      </c>
      <c r="E350" s="1" t="n">
        <v>46313</v>
      </c>
      <c r="F350" t="inlineStr">
        <is>
          <t>SÖDERMANLANDS LÄN</t>
        </is>
      </c>
      <c r="G350" t="inlineStr">
        <is>
          <t>GNESTA</t>
        </is>
      </c>
      <c r="H350" t="inlineStr">
        <is>
          <t>Övriga Aktiebolag</t>
        </is>
      </c>
      <c r="I350" t="n">
        <v>4.9</v>
      </c>
      <c r="J350" t="n">
        <v>1</v>
      </c>
      <c r="K350" t="n">
        <v>0</v>
      </c>
      <c r="L350" t="n">
        <v>1</v>
      </c>
      <c r="M350" t="n">
        <v>0</v>
      </c>
      <c r="N350" t="n">
        <v>0</v>
      </c>
      <c r="O350" t="n">
        <v>0</v>
      </c>
      <c r="P350" t="n">
        <v>0</v>
      </c>
      <c r="Q350" t="n">
        <v>1</v>
      </c>
      <c r="R350" t="n">
        <v>0</v>
      </c>
      <c r="S350" t="n">
        <v>1</v>
      </c>
      <c r="T350" t="n">
        <v>1</v>
      </c>
      <c r="U350" t="n">
        <v>0</v>
      </c>
      <c r="V350" s="2" t="inlineStr">
        <is>
          <t>Järnsparv</t>
        </is>
      </c>
      <c r="W350">
        <f>HYPERLINK("https://klasma.github.io/Logging_0461/artfynd/A 9134-2024 artfynd.xlsx", "A 9134-2024")</f>
        <v/>
      </c>
      <c r="X350">
        <f>HYPERLINK("https://klasma.github.io/Logging_0461/kartor/A 9134-2024 karta.png", "A 9134-2024")</f>
        <v/>
      </c>
      <c r="Y350">
        <f>HYPERLINK("https://klasma.github.io/Logging_0461/kartor_geotiff/A 9134-2024 georefererad karta.tif", "A 9134-2024")</f>
        <v/>
      </c>
      <c r="AA350">
        <f>HYPERLINK("https://klasma.github.io/Logging_0461/klagomål/A 9134-2024 FSC-klagomål.docx", "A 9134-2024")</f>
        <v/>
      </c>
      <c r="AB350">
        <f>HYPERLINK("https://klasma.github.io/Logging_0461/klagomålsmail/A 9134-2024 FSC-klagomål mail.docx", "A 9134-2024")</f>
        <v/>
      </c>
      <c r="AC350">
        <f>HYPERLINK("https://klasma.github.io/Logging_0461/tillsyn/A 9134-2024 tillsynsbegäran.docx", "A 9134-2024")</f>
        <v/>
      </c>
      <c r="AD350">
        <f>HYPERLINK("https://klasma.github.io/Logging_0461/tillsynsmail/A 9134-2024 tillsynsbegäran mail.docx", "A 9134-2024")</f>
        <v/>
      </c>
      <c r="AE350">
        <f>HYPERLINK("https://klasma.github.io/Logging_0461/fåglar/A 9134-2024 prioriterade fågelarter.docx", "A 9134-2024")</f>
        <v/>
      </c>
    </row>
    <row r="351" ht="15" customHeight="1">
      <c r="A351" t="inlineStr">
        <is>
          <t>A 13858-2023</t>
        </is>
      </c>
      <c r="B351" t="inlineStr">
        <is>
          <t>avverkningsanmälan</t>
        </is>
      </c>
      <c r="C351" t="inlineStr">
        <is>
          <t>Föryngringsavverkning</t>
        </is>
      </c>
      <c r="D351" s="1" t="n">
        <v>45007</v>
      </c>
      <c r="E351" s="1" t="n">
        <v>46313</v>
      </c>
      <c r="F351" t="inlineStr">
        <is>
          <t>SÖDERMANLANDS LÄN</t>
        </is>
      </c>
      <c r="G351" t="inlineStr">
        <is>
          <t>FLEN</t>
        </is>
      </c>
      <c r="H351" t="inlineStr">
        <is>
          <t>Holmen skog AB</t>
        </is>
      </c>
      <c r="I351" t="n">
        <v>0.8</v>
      </c>
      <c r="J351" t="n">
        <v>0</v>
      </c>
      <c r="K351" t="n">
        <v>0</v>
      </c>
      <c r="L351" t="n">
        <v>1</v>
      </c>
      <c r="M351" t="n">
        <v>0</v>
      </c>
      <c r="N351" t="n">
        <v>0</v>
      </c>
      <c r="O351" t="n">
        <v>0</v>
      </c>
      <c r="P351" t="n">
        <v>0</v>
      </c>
      <c r="Q351" t="n">
        <v>1</v>
      </c>
      <c r="R351" t="n">
        <v>0</v>
      </c>
      <c r="S351" t="n">
        <v>1</v>
      </c>
      <c r="T351" t="n">
        <v>1</v>
      </c>
      <c r="U351" t="n">
        <v>1</v>
      </c>
      <c r="V351" s="2" t="inlineStr">
        <is>
          <t>Svedjenäva</t>
        </is>
      </c>
      <c r="W351">
        <f>HYPERLINK("https://klasma.github.io/Logging_0482/artfynd/A 13858-2023 artfynd.xlsx", "A 13858-2023")</f>
        <v/>
      </c>
      <c r="X351">
        <f>HYPERLINK("https://klasma.github.io/Logging_0482/kartor/A 13858-2023 karta.png", "A 13858-2023")</f>
        <v/>
      </c>
      <c r="Y351">
        <f>HYPERLINK("https://klasma.github.io/Logging_0482/kartor_geotiff/A 13858-2023 georefererad karta.tif", "A 13858-2023")</f>
        <v/>
      </c>
      <c r="AA351">
        <f>HYPERLINK("https://klasma.github.io/Logging_0482/klagomål/A 13858-2023 FSC-klagomål.docx", "A 13858-2023")</f>
        <v/>
      </c>
      <c r="AB351">
        <f>HYPERLINK("https://klasma.github.io/Logging_0482/klagomålsmail/A 13858-2023 FSC-klagomål mail.docx", "A 13858-2023")</f>
        <v/>
      </c>
      <c r="AC351">
        <f>HYPERLINK("https://klasma.github.io/Logging_0482/tillsyn/A 13858-2023 tillsynsbegäran.docx", "A 13858-2023")</f>
        <v/>
      </c>
      <c r="AD351">
        <f>HYPERLINK("https://klasma.github.io/Logging_0482/tillsynsmail/A 13858-2023 tillsynsbegäran mail.docx", "A 13858-2023")</f>
        <v/>
      </c>
    </row>
    <row r="352" ht="15" customHeight="1">
      <c r="A352" t="inlineStr">
        <is>
          <t>A 42745-2022</t>
        </is>
      </c>
      <c r="B352" t="inlineStr">
        <is>
          <t>avverkningsanmälan</t>
        </is>
      </c>
      <c r="C352" t="inlineStr">
        <is>
          <t>Föryngringsavverkning</t>
        </is>
      </c>
      <c r="D352" s="1" t="n">
        <v>44831</v>
      </c>
      <c r="E352" s="1" t="n">
        <v>46313</v>
      </c>
      <c r="F352" t="inlineStr">
        <is>
          <t>SÖDERMANLANDS LÄN</t>
        </is>
      </c>
      <c r="G352" t="inlineStr">
        <is>
          <t>KATRINEHOLM</t>
        </is>
      </c>
      <c r="I352" t="n">
        <v>4.6</v>
      </c>
      <c r="J352" t="n">
        <v>0</v>
      </c>
      <c r="K352" t="n">
        <v>0</v>
      </c>
      <c r="L352" t="n">
        <v>1</v>
      </c>
      <c r="M352" t="n">
        <v>0</v>
      </c>
      <c r="N352" t="n">
        <v>0</v>
      </c>
      <c r="O352" t="n">
        <v>0</v>
      </c>
      <c r="P352" t="n">
        <v>0</v>
      </c>
      <c r="Q352" t="n">
        <v>1</v>
      </c>
      <c r="R352" t="n">
        <v>0</v>
      </c>
      <c r="S352" t="n">
        <v>1</v>
      </c>
      <c r="T352" t="n">
        <v>1</v>
      </c>
      <c r="U352" t="n">
        <v>0</v>
      </c>
      <c r="V352" s="2" t="inlineStr">
        <is>
          <t>Svedjenäva</t>
        </is>
      </c>
      <c r="W352">
        <f>HYPERLINK("https://klasma.github.io/Logging_0483/artfynd/A 42745-2022 artfynd.xlsx", "A 42745-2022")</f>
        <v/>
      </c>
      <c r="X352">
        <f>HYPERLINK("https://klasma.github.io/Logging_0483/kartor/A 42745-2022 karta.png", "A 42745-2022")</f>
        <v/>
      </c>
      <c r="Y352">
        <f>HYPERLINK("https://klasma.github.io/Logging_0483/kartor_geotiff/A 42745-2022 georefererad karta.tif", "A 42745-2022")</f>
        <v/>
      </c>
      <c r="AA352">
        <f>HYPERLINK("https://klasma.github.io/Logging_0483/klagomål/A 42745-2022 FSC-klagomål.docx", "A 42745-2022")</f>
        <v/>
      </c>
      <c r="AB352">
        <f>HYPERLINK("https://klasma.github.io/Logging_0483/klagomålsmail/A 42745-2022 FSC-klagomål mail.docx", "A 42745-2022")</f>
        <v/>
      </c>
      <c r="AC352">
        <f>HYPERLINK("https://klasma.github.io/Logging_0483/tillsyn/A 42745-2022 tillsynsbegäran.docx", "A 42745-2022")</f>
        <v/>
      </c>
      <c r="AD352">
        <f>HYPERLINK("https://klasma.github.io/Logging_0483/tillsynsmail/A 42745-2022 tillsynsbegäran mail.docx", "A 42745-2022")</f>
        <v/>
      </c>
    </row>
    <row r="353" ht="15" customHeight="1">
      <c r="A353" t="inlineStr">
        <is>
          <t>A 692-2023</t>
        </is>
      </c>
      <c r="B353" t="inlineStr">
        <is>
          <t>avverkningsanmälan</t>
        </is>
      </c>
      <c r="C353" t="inlineStr">
        <is>
          <t>Föryngringsavverkning</t>
        </is>
      </c>
      <c r="D353" s="1" t="n">
        <v>44930</v>
      </c>
      <c r="E353" s="1" t="n">
        <v>46313</v>
      </c>
      <c r="F353" t="inlineStr">
        <is>
          <t>SÖDERMANLANDS LÄN</t>
        </is>
      </c>
      <c r="G353" t="inlineStr">
        <is>
          <t>STRÄNGNÄS</t>
        </is>
      </c>
      <c r="H353" t="inlineStr">
        <is>
          <t>Övriga Aktiebolag</t>
        </is>
      </c>
      <c r="I353" t="n">
        <v>19.8</v>
      </c>
      <c r="J353" t="n">
        <v>0</v>
      </c>
      <c r="K353" t="n">
        <v>1</v>
      </c>
      <c r="L353" t="n">
        <v>0</v>
      </c>
      <c r="M353" t="n">
        <v>0</v>
      </c>
      <c r="N353" t="n">
        <v>0</v>
      </c>
      <c r="O353" t="n">
        <v>0</v>
      </c>
      <c r="P353" t="n">
        <v>0</v>
      </c>
      <c r="Q353" t="n">
        <v>0</v>
      </c>
      <c r="R353" t="n">
        <v>0</v>
      </c>
      <c r="S353" t="n">
        <v>1</v>
      </c>
      <c r="T353" t="n">
        <v>1</v>
      </c>
      <c r="U353" t="n">
        <v>0</v>
      </c>
      <c r="V353" s="2" t="inlineStr">
        <is>
          <t>Åttafläckig praktbagge</t>
        </is>
      </c>
      <c r="W353">
        <f>HYPERLINK("https://klasma.github.io/Logging_0486/artfynd/A 692-2023 artfynd.xlsx", "A 692-2023")</f>
        <v/>
      </c>
      <c r="X353">
        <f>HYPERLINK("https://klasma.github.io/Logging_0486/kartor/A 692-2023 karta.png", "A 692-2023")</f>
        <v/>
      </c>
      <c r="Y353">
        <f>HYPERLINK("https://klasma.github.io/Logging_0486/kartor_geotiff/A 692-2023 georefererad karta.tif", "A 692-2023")</f>
        <v/>
      </c>
      <c r="AA353">
        <f>HYPERLINK("https://klasma.github.io/Logging_0486/klagomål/A 692-2023 FSC-klagomål.docx", "A 692-2023")</f>
        <v/>
      </c>
      <c r="AB353">
        <f>HYPERLINK("https://klasma.github.io/Logging_0486/klagomålsmail/A 692-2023 FSC-klagomål mail.docx", "A 692-2023")</f>
        <v/>
      </c>
      <c r="AC353">
        <f>HYPERLINK("https://klasma.github.io/Logging_0486/tillsyn/A 692-2023 tillsynsbegäran.docx", "A 692-2023")</f>
        <v/>
      </c>
      <c r="AD353">
        <f>HYPERLINK("https://klasma.github.io/Logging_0486/tillsynsmail/A 692-2023 tillsynsbegäran mail.docx", "A 692-2023")</f>
        <v/>
      </c>
    </row>
    <row r="354" ht="15" customHeight="1">
      <c r="A354" t="inlineStr">
        <is>
          <t>A 68018-2021</t>
        </is>
      </c>
      <c r="B354" t="inlineStr">
        <is>
          <t>avverkningsanmälan</t>
        </is>
      </c>
      <c r="C354" t="inlineStr">
        <is>
          <t>Föryngringsavverkning</t>
        </is>
      </c>
      <c r="D354" s="1" t="n">
        <v>44525</v>
      </c>
      <c r="E354" s="1" t="n">
        <v>46313</v>
      </c>
      <c r="F354" t="inlineStr">
        <is>
          <t>SÖDERMANLANDS LÄN</t>
        </is>
      </c>
      <c r="G354" t="inlineStr">
        <is>
          <t>ESKILSTUNA</t>
        </is>
      </c>
      <c r="I354" t="n">
        <v>0.8</v>
      </c>
      <c r="J354" t="n">
        <v>0</v>
      </c>
      <c r="K354" t="n">
        <v>0</v>
      </c>
      <c r="L354" t="n">
        <v>1</v>
      </c>
      <c r="M354" t="n">
        <v>0</v>
      </c>
      <c r="N354" t="n">
        <v>0</v>
      </c>
      <c r="O354" t="n">
        <v>0</v>
      </c>
      <c r="P354" t="n">
        <v>0</v>
      </c>
      <c r="Q354" t="n">
        <v>1</v>
      </c>
      <c r="R354" t="n">
        <v>0</v>
      </c>
      <c r="S354" t="n">
        <v>1</v>
      </c>
      <c r="T354" t="n">
        <v>1</v>
      </c>
      <c r="U354" t="n">
        <v>1</v>
      </c>
      <c r="V354" s="2" t="inlineStr">
        <is>
          <t>Motaggsvamp</t>
        </is>
      </c>
      <c r="W354">
        <f>HYPERLINK("https://klasma.github.io/Logging_0484/artfynd/A 68018-2021 artfynd.xlsx", "A 68018-2021")</f>
        <v/>
      </c>
      <c r="X354">
        <f>HYPERLINK("https://klasma.github.io/Logging_0484/kartor/A 68018-2021 karta.png", "A 68018-2021")</f>
        <v/>
      </c>
      <c r="Y354">
        <f>HYPERLINK("https://klasma.github.io/Logging_0484/kartor_geotiff/A 68018-2021 georefererad karta.tif", "A 68018-2021")</f>
        <v/>
      </c>
      <c r="AA354">
        <f>HYPERLINK("https://klasma.github.io/Logging_0484/klagomål/A 68018-2021 FSC-klagomål.docx", "A 68018-2021")</f>
        <v/>
      </c>
      <c r="AB354">
        <f>HYPERLINK("https://klasma.github.io/Logging_0484/klagomålsmail/A 68018-2021 FSC-klagomål mail.docx", "A 68018-2021")</f>
        <v/>
      </c>
      <c r="AC354">
        <f>HYPERLINK("https://klasma.github.io/Logging_0484/tillsyn/A 68018-2021 tillsynsbegäran.docx", "A 68018-2021")</f>
        <v/>
      </c>
      <c r="AD354">
        <f>HYPERLINK("https://klasma.github.io/Logging_0484/tillsynsmail/A 68018-2021 tillsynsbegäran mail.docx", "A 68018-2021")</f>
        <v/>
      </c>
    </row>
    <row r="355" ht="15" customHeight="1">
      <c r="A355" t="inlineStr">
        <is>
          <t>A 51345-2024</t>
        </is>
      </c>
      <c r="B355" t="inlineStr">
        <is>
          <t>avverkningsanmälan</t>
        </is>
      </c>
      <c r="C355" t="inlineStr">
        <is>
          <t>Föryngringsavverkning</t>
        </is>
      </c>
      <c r="D355" s="1" t="n">
        <v>45603</v>
      </c>
      <c r="E355" s="1" t="n">
        <v>46313</v>
      </c>
      <c r="F355" t="inlineStr">
        <is>
          <t>SÖDERMANLANDS LÄN</t>
        </is>
      </c>
      <c r="G355" t="inlineStr">
        <is>
          <t>ESKILSTUNA</t>
        </is>
      </c>
      <c r="I355" t="n">
        <v>4.9</v>
      </c>
      <c r="J355" t="n">
        <v>1</v>
      </c>
      <c r="K355" t="n">
        <v>0</v>
      </c>
      <c r="L355" t="n">
        <v>0</v>
      </c>
      <c r="M355" t="n">
        <v>0</v>
      </c>
      <c r="N355" t="n">
        <v>0</v>
      </c>
      <c r="O355" t="n">
        <v>0</v>
      </c>
      <c r="P355" t="n">
        <v>0</v>
      </c>
      <c r="Q355" t="n">
        <v>0</v>
      </c>
      <c r="R355" t="n">
        <v>0</v>
      </c>
      <c r="S355" t="n">
        <v>1</v>
      </c>
      <c r="T355" t="n">
        <v>1</v>
      </c>
      <c r="U355" t="n">
        <v>1</v>
      </c>
      <c r="V355" s="2" t="inlineStr">
        <is>
          <t>Revlummer</t>
        </is>
      </c>
      <c r="W355">
        <f>HYPERLINK("https://klasma.github.io/Logging_0484/artfynd/A 51345-2024 artfynd.xlsx", "A 51345-2024")</f>
        <v/>
      </c>
      <c r="X355">
        <f>HYPERLINK("https://klasma.github.io/Logging_0484/kartor/A 51345-2024 karta.png", "A 51345-2024")</f>
        <v/>
      </c>
      <c r="Y355">
        <f>HYPERLINK("https://klasma.github.io/Logging_0484/kartor_geotiff/A 51345-2024 georefererad karta.tif", "A 51345-2024")</f>
        <v/>
      </c>
      <c r="AA355">
        <f>HYPERLINK("https://klasma.github.io/Logging_0484/klagomål/A 51345-2024 FSC-klagomål.docx", "A 51345-2024")</f>
        <v/>
      </c>
      <c r="AB355">
        <f>HYPERLINK("https://klasma.github.io/Logging_0484/klagomålsmail/A 51345-2024 FSC-klagomål mail.docx", "A 51345-2024")</f>
        <v/>
      </c>
      <c r="AC355">
        <f>HYPERLINK("https://klasma.github.io/Logging_0484/tillsyn/A 51345-2024 tillsynsbegäran.docx", "A 51345-2024")</f>
        <v/>
      </c>
      <c r="AD355">
        <f>HYPERLINK("https://klasma.github.io/Logging_0484/tillsynsmail/A 51345-2024 tillsynsbegäran mail.docx", "A 51345-2024")</f>
        <v/>
      </c>
    </row>
    <row r="356" ht="15" customHeight="1">
      <c r="A356" t="inlineStr">
        <is>
          <t>A 1105-2023</t>
        </is>
      </c>
      <c r="B356" t="inlineStr">
        <is>
          <t>avverkningsanmälan</t>
        </is>
      </c>
      <c r="C356" t="inlineStr">
        <is>
          <t>Föryngringsavverkning</t>
        </is>
      </c>
      <c r="D356" s="1" t="n">
        <v>44935</v>
      </c>
      <c r="E356" s="1" t="n">
        <v>46313</v>
      </c>
      <c r="F356" t="inlineStr">
        <is>
          <t>SÖDERMANLANDS LÄN</t>
        </is>
      </c>
      <c r="G356" t="inlineStr">
        <is>
          <t>NYKÖPING</t>
        </is>
      </c>
      <c r="H356" t="inlineStr">
        <is>
          <t>Holmen skog AB</t>
        </is>
      </c>
      <c r="I356" t="n">
        <v>1.1</v>
      </c>
      <c r="J356" t="n">
        <v>0</v>
      </c>
      <c r="K356" t="n">
        <v>0</v>
      </c>
      <c r="L356" t="n">
        <v>1</v>
      </c>
      <c r="M356" t="n">
        <v>0</v>
      </c>
      <c r="N356" t="n">
        <v>0</v>
      </c>
      <c r="O356" t="n">
        <v>0</v>
      </c>
      <c r="P356" t="n">
        <v>0</v>
      </c>
      <c r="Q356" t="n">
        <v>1</v>
      </c>
      <c r="R356" t="n">
        <v>0</v>
      </c>
      <c r="S356" t="n">
        <v>1</v>
      </c>
      <c r="T356" t="n">
        <v>1</v>
      </c>
      <c r="U356" t="n">
        <v>1</v>
      </c>
      <c r="V356" s="2" t="inlineStr">
        <is>
          <t>Skuggblåslav</t>
        </is>
      </c>
      <c r="W356">
        <f>HYPERLINK("https://klasma.github.io/Logging_0480/artfynd/A 1105-2023 artfynd.xlsx", "A 1105-2023")</f>
        <v/>
      </c>
      <c r="X356">
        <f>HYPERLINK("https://klasma.github.io/Logging_0480/kartor/A 1105-2023 karta.png", "A 1105-2023")</f>
        <v/>
      </c>
      <c r="Y356">
        <f>HYPERLINK("https://klasma.github.io/Logging_0480/kartor_geotiff/A 1105-2023 georefererad karta.tif", "A 1105-2023")</f>
        <v/>
      </c>
      <c r="AA356">
        <f>HYPERLINK("https://klasma.github.io/Logging_0480/klagomål/A 1105-2023 FSC-klagomål.docx", "A 1105-2023")</f>
        <v/>
      </c>
      <c r="AB356">
        <f>HYPERLINK("https://klasma.github.io/Logging_0480/klagomålsmail/A 1105-2023 FSC-klagomål mail.docx", "A 1105-2023")</f>
        <v/>
      </c>
      <c r="AC356">
        <f>HYPERLINK("https://klasma.github.io/Logging_0480/tillsyn/A 1105-2023 tillsynsbegäran.docx", "A 1105-2023")</f>
        <v/>
      </c>
      <c r="AD356">
        <f>HYPERLINK("https://klasma.github.io/Logging_0480/tillsynsmail/A 1105-2023 tillsynsbegäran mail.docx", "A 1105-2023")</f>
        <v/>
      </c>
    </row>
    <row r="357" ht="15" customHeight="1">
      <c r="A357" t="inlineStr">
        <is>
          <t>A 2829-2025</t>
        </is>
      </c>
      <c r="B357" t="inlineStr">
        <is>
          <t>avverkningsanmälan</t>
        </is>
      </c>
      <c r="C357" t="inlineStr">
        <is>
          <t>Föryngringsavverkning</t>
        </is>
      </c>
      <c r="D357" s="1" t="n">
        <v>45677</v>
      </c>
      <c r="E357" s="1" t="n">
        <v>46313</v>
      </c>
      <c r="F357" t="inlineStr">
        <is>
          <t>SÖDERMANLANDS LÄN</t>
        </is>
      </c>
      <c r="G357" t="inlineStr">
        <is>
          <t>NYKÖPING</t>
        </is>
      </c>
      <c r="H357" t="inlineStr">
        <is>
          <t>Allmännings- och besparingsskogar</t>
        </is>
      </c>
      <c r="I357" t="n">
        <v>12.1</v>
      </c>
      <c r="J357" t="n">
        <v>1</v>
      </c>
      <c r="K357" t="n">
        <v>0</v>
      </c>
      <c r="L357" t="n">
        <v>0</v>
      </c>
      <c r="M357" t="n">
        <v>0</v>
      </c>
      <c r="N357" t="n">
        <v>0</v>
      </c>
      <c r="O357" t="n">
        <v>0</v>
      </c>
      <c r="P357" t="n">
        <v>0</v>
      </c>
      <c r="Q357" t="n">
        <v>0</v>
      </c>
      <c r="R357" t="n">
        <v>0</v>
      </c>
      <c r="S357" t="n">
        <v>1</v>
      </c>
      <c r="T357" t="n">
        <v>1</v>
      </c>
      <c r="U357" t="n">
        <v>0</v>
      </c>
      <c r="V357" s="2" t="inlineStr">
        <is>
          <t>Nattskärra</t>
        </is>
      </c>
      <c r="W357">
        <f>HYPERLINK("https://klasma.github.io/Logging_0480/artfynd/A 2829-2025 artfynd.xlsx", "A 2829-2025")</f>
        <v/>
      </c>
      <c r="X357">
        <f>HYPERLINK("https://klasma.github.io/Logging_0480/kartor/A 2829-2025 karta.png", "A 2829-2025")</f>
        <v/>
      </c>
      <c r="Y357">
        <f>HYPERLINK("https://klasma.github.io/Logging_0480/kartor_geotiff/A 2829-2025 georefererad karta.tif", "A 2829-2025")</f>
        <v/>
      </c>
      <c r="AA357">
        <f>HYPERLINK("https://klasma.github.io/Logging_0480/klagomål/A 2829-2025 FSC-klagomål.docx", "A 2829-2025")</f>
        <v/>
      </c>
      <c r="AB357">
        <f>HYPERLINK("https://klasma.github.io/Logging_0480/klagomålsmail/A 2829-2025 FSC-klagomål mail.docx", "A 2829-2025")</f>
        <v/>
      </c>
      <c r="AC357">
        <f>HYPERLINK("https://klasma.github.io/Logging_0480/tillsyn/A 2829-2025 tillsynsbegäran.docx", "A 2829-2025")</f>
        <v/>
      </c>
      <c r="AD357">
        <f>HYPERLINK("https://klasma.github.io/Logging_0480/tillsynsmail/A 2829-2025 tillsynsbegäran mail.docx", "A 2829-2025")</f>
        <v/>
      </c>
      <c r="AE357">
        <f>HYPERLINK("https://klasma.github.io/Logging_0480/fåglar/A 2829-2025 prioriterade fågelarter.docx", "A 2829-2025")</f>
        <v/>
      </c>
    </row>
    <row r="358" ht="15" customHeight="1">
      <c r="A358" t="inlineStr">
        <is>
          <t>A 65889-2021</t>
        </is>
      </c>
      <c r="B358" t="inlineStr">
        <is>
          <t>avverkningsanmälan</t>
        </is>
      </c>
      <c r="C358" t="inlineStr">
        <is>
          <t>Föryngringsavverkning</t>
        </is>
      </c>
      <c r="D358" s="1" t="n">
        <v>44517</v>
      </c>
      <c r="E358" s="1" t="n">
        <v>46313</v>
      </c>
      <c r="F358" t="inlineStr">
        <is>
          <t>SÖDERMANLANDS LÄN</t>
        </is>
      </c>
      <c r="G358" t="inlineStr">
        <is>
          <t>NYKÖPING</t>
        </is>
      </c>
      <c r="I358" t="n">
        <v>4.8</v>
      </c>
      <c r="J358" t="n">
        <v>0</v>
      </c>
      <c r="K358" t="n">
        <v>0</v>
      </c>
      <c r="L358" t="n">
        <v>1</v>
      </c>
      <c r="M358" t="n">
        <v>0</v>
      </c>
      <c r="N358" t="n">
        <v>0</v>
      </c>
      <c r="O358" t="n">
        <v>0</v>
      </c>
      <c r="P358" t="n">
        <v>0</v>
      </c>
      <c r="Q358" t="n">
        <v>1</v>
      </c>
      <c r="R358" t="n">
        <v>0</v>
      </c>
      <c r="S358" t="n">
        <v>1</v>
      </c>
      <c r="T358" t="n">
        <v>1</v>
      </c>
      <c r="U358" t="n">
        <v>0</v>
      </c>
      <c r="V358" s="2" t="inlineStr">
        <is>
          <t>Backstarr</t>
        </is>
      </c>
      <c r="W358">
        <f>HYPERLINK("https://klasma.github.io/Logging_0480/artfynd/A 65889-2021 artfynd.xlsx", "A 65889-2021")</f>
        <v/>
      </c>
      <c r="X358">
        <f>HYPERLINK("https://klasma.github.io/Logging_0480/kartor/A 65889-2021 karta.png", "A 65889-2021")</f>
        <v/>
      </c>
      <c r="Y358">
        <f>HYPERLINK("https://klasma.github.io/Logging_0480/kartor_geotiff/A 65889-2021 georefererad karta.tif", "A 65889-2021")</f>
        <v/>
      </c>
      <c r="AA358">
        <f>HYPERLINK("https://klasma.github.io/Logging_0480/klagomål/A 65889-2021 FSC-klagomål.docx", "A 65889-2021")</f>
        <v/>
      </c>
      <c r="AB358">
        <f>HYPERLINK("https://klasma.github.io/Logging_0480/klagomålsmail/A 65889-2021 FSC-klagomål mail.docx", "A 65889-2021")</f>
        <v/>
      </c>
      <c r="AC358">
        <f>HYPERLINK("https://klasma.github.io/Logging_0480/tillsyn/A 65889-2021 tillsynsbegäran.docx", "A 65889-2021")</f>
        <v/>
      </c>
      <c r="AD358">
        <f>HYPERLINK("https://klasma.github.io/Logging_0480/tillsynsmail/A 65889-2021 tillsynsbegäran mail.docx", "A 65889-2021")</f>
        <v/>
      </c>
    </row>
    <row r="359" ht="15" customHeight="1">
      <c r="A359" t="inlineStr">
        <is>
          <t>A 37283-2024</t>
        </is>
      </c>
      <c r="B359" t="inlineStr">
        <is>
          <t>avverkningsanmälan</t>
        </is>
      </c>
      <c r="C359" t="inlineStr">
        <is>
          <t>Föryngringsavverkning</t>
        </is>
      </c>
      <c r="D359" s="1" t="n">
        <v>45540</v>
      </c>
      <c r="E359" s="1" t="n">
        <v>46313</v>
      </c>
      <c r="F359" t="inlineStr">
        <is>
          <t>SÖDERMANLANDS LÄN</t>
        </is>
      </c>
      <c r="G359" t="inlineStr">
        <is>
          <t>FLEN</t>
        </is>
      </c>
      <c r="I359" t="n">
        <v>1.5</v>
      </c>
      <c r="J359" t="n">
        <v>0</v>
      </c>
      <c r="K359" t="n">
        <v>0</v>
      </c>
      <c r="L359" t="n">
        <v>1</v>
      </c>
      <c r="M359" t="n">
        <v>0</v>
      </c>
      <c r="N359" t="n">
        <v>0</v>
      </c>
      <c r="O359" t="n">
        <v>0</v>
      </c>
      <c r="P359" t="n">
        <v>0</v>
      </c>
      <c r="Q359" t="n">
        <v>1</v>
      </c>
      <c r="R359" t="n">
        <v>0</v>
      </c>
      <c r="S359" t="n">
        <v>1</v>
      </c>
      <c r="T359" t="n">
        <v>1</v>
      </c>
      <c r="U359" t="n">
        <v>0</v>
      </c>
      <c r="V359" s="2" t="inlineStr">
        <is>
          <t>Gullklöver</t>
        </is>
      </c>
      <c r="W359">
        <f>HYPERLINK("https://klasma.github.io/Logging_0482/artfynd/A 37283-2024 artfynd.xlsx", "A 37283-2024")</f>
        <v/>
      </c>
      <c r="X359">
        <f>HYPERLINK("https://klasma.github.io/Logging_0482/kartor/A 37283-2024 karta.png", "A 37283-2024")</f>
        <v/>
      </c>
      <c r="Y359">
        <f>HYPERLINK("https://klasma.github.io/Logging_0482/kartor_geotiff/A 37283-2024 georefererad karta.tif", "A 37283-2024")</f>
        <v/>
      </c>
      <c r="AA359">
        <f>HYPERLINK("https://klasma.github.io/Logging_0482/klagomål/A 37283-2024 FSC-klagomål.docx", "A 37283-2024")</f>
        <v/>
      </c>
      <c r="AB359">
        <f>HYPERLINK("https://klasma.github.io/Logging_0482/klagomålsmail/A 37283-2024 FSC-klagomål mail.docx", "A 37283-2024")</f>
        <v/>
      </c>
      <c r="AC359">
        <f>HYPERLINK("https://klasma.github.io/Logging_0482/tillsyn/A 37283-2024 tillsynsbegäran.docx", "A 37283-2024")</f>
        <v/>
      </c>
      <c r="AD359">
        <f>HYPERLINK("https://klasma.github.io/Logging_0482/tillsynsmail/A 37283-2024 tillsynsbegäran mail.docx", "A 37283-2024")</f>
        <v/>
      </c>
    </row>
    <row r="360" ht="15" customHeight="1">
      <c r="A360" t="inlineStr">
        <is>
          <t>A 31427-2022</t>
        </is>
      </c>
      <c r="B360" t="inlineStr">
        <is>
          <t>avverkningsanmälan</t>
        </is>
      </c>
      <c r="C360" t="inlineStr">
        <is>
          <t>Föryngringsavverkning</t>
        </is>
      </c>
      <c r="D360" s="1" t="n">
        <v>44774</v>
      </c>
      <c r="E360" s="1" t="n">
        <v>46313</v>
      </c>
      <c r="F360" t="inlineStr">
        <is>
          <t>SÖDERMANLANDS LÄN</t>
        </is>
      </c>
      <c r="G360" t="inlineStr">
        <is>
          <t>FLEN</t>
        </is>
      </c>
      <c r="I360" t="n">
        <v>3.7</v>
      </c>
      <c r="J360" t="n">
        <v>0</v>
      </c>
      <c r="K360" t="n">
        <v>0</v>
      </c>
      <c r="L360" t="n">
        <v>1</v>
      </c>
      <c r="M360" t="n">
        <v>0</v>
      </c>
      <c r="N360" t="n">
        <v>0</v>
      </c>
      <c r="O360" t="n">
        <v>0</v>
      </c>
      <c r="P360" t="n">
        <v>0</v>
      </c>
      <c r="Q360" t="n">
        <v>1</v>
      </c>
      <c r="R360" t="n">
        <v>0</v>
      </c>
      <c r="S360" t="n">
        <v>1</v>
      </c>
      <c r="T360" t="n">
        <v>1</v>
      </c>
      <c r="U360" t="n">
        <v>0</v>
      </c>
      <c r="V360" s="2" t="inlineStr">
        <is>
          <t>Älg</t>
        </is>
      </c>
      <c r="W360">
        <f>HYPERLINK("https://klasma.github.io/Logging_0482/artfynd/A 31427-2022 artfynd.xlsx", "A 31427-2022")</f>
        <v/>
      </c>
      <c r="X360">
        <f>HYPERLINK("https://klasma.github.io/Logging_0482/kartor/A 31427-2022 karta.png", "A 31427-2022")</f>
        <v/>
      </c>
      <c r="Y360">
        <f>HYPERLINK("https://klasma.github.io/Logging_0482/kartor_geotiff/A 31427-2022 georefererad karta.tif", "A 31427-2022")</f>
        <v/>
      </c>
      <c r="AA360">
        <f>HYPERLINK("https://klasma.github.io/Logging_0482/klagomål/A 31427-2022 FSC-klagomål.docx", "A 31427-2022")</f>
        <v/>
      </c>
      <c r="AB360">
        <f>HYPERLINK("https://klasma.github.io/Logging_0482/klagomålsmail/A 31427-2022 FSC-klagomål mail.docx", "A 31427-2022")</f>
        <v/>
      </c>
      <c r="AC360">
        <f>HYPERLINK("https://klasma.github.io/Logging_0482/tillsyn/A 31427-2022 tillsynsbegäran.docx", "A 31427-2022")</f>
        <v/>
      </c>
      <c r="AD360">
        <f>HYPERLINK("https://klasma.github.io/Logging_0482/tillsynsmail/A 31427-2022 tillsynsbegäran mail.docx", "A 31427-2022")</f>
        <v/>
      </c>
    </row>
    <row r="361" ht="15" customHeight="1">
      <c r="A361" t="inlineStr">
        <is>
          <t>A 14113-2025</t>
        </is>
      </c>
      <c r="B361" t="inlineStr">
        <is>
          <t>avverkningsanmälan</t>
        </is>
      </c>
      <c r="C361" t="inlineStr">
        <is>
          <t>Föryngringsavverkning</t>
        </is>
      </c>
      <c r="D361" s="1" t="n">
        <v>45740</v>
      </c>
      <c r="E361" s="1" t="n">
        <v>46313</v>
      </c>
      <c r="F361" t="inlineStr">
        <is>
          <t>SÖDERMANLANDS LÄN</t>
        </is>
      </c>
      <c r="G361" t="inlineStr">
        <is>
          <t>FLEN</t>
        </is>
      </c>
      <c r="H361" t="inlineStr">
        <is>
          <t>Övriga statliga verk och myndigheter</t>
        </is>
      </c>
      <c r="I361" t="n">
        <v>3.6</v>
      </c>
      <c r="J361" t="n">
        <v>1</v>
      </c>
      <c r="K361" t="n">
        <v>0</v>
      </c>
      <c r="L361" t="n">
        <v>0</v>
      </c>
      <c r="M361" t="n">
        <v>0</v>
      </c>
      <c r="N361" t="n">
        <v>0</v>
      </c>
      <c r="O361" t="n">
        <v>0</v>
      </c>
      <c r="P361" t="n">
        <v>0</v>
      </c>
      <c r="Q361" t="n">
        <v>0</v>
      </c>
      <c r="R361" t="n">
        <v>0</v>
      </c>
      <c r="S361" t="n">
        <v>1</v>
      </c>
      <c r="T361" t="n">
        <v>1</v>
      </c>
      <c r="U361" t="n">
        <v>0</v>
      </c>
      <c r="V361" s="2" t="inlineStr">
        <is>
          <t>Blåsippa</t>
        </is>
      </c>
      <c r="W361">
        <f>HYPERLINK("https://klasma.github.io/Logging_0482/artfynd/A 14113-2025 artfynd.xlsx", "A 14113-2025")</f>
        <v/>
      </c>
      <c r="X361">
        <f>HYPERLINK("https://klasma.github.io/Logging_0482/kartor/A 14113-2025 karta.png", "A 14113-2025")</f>
        <v/>
      </c>
      <c r="Y361">
        <f>HYPERLINK("https://klasma.github.io/Logging_0482/kartor_geotiff/A 14113-2025 georefererad karta.tif", "A 14113-2025")</f>
        <v/>
      </c>
      <c r="AA361">
        <f>HYPERLINK("https://klasma.github.io/Logging_0482/klagomål/A 14113-2025 FSC-klagomål.docx", "A 14113-2025")</f>
        <v/>
      </c>
      <c r="AB361">
        <f>HYPERLINK("https://klasma.github.io/Logging_0482/klagomålsmail/A 14113-2025 FSC-klagomål mail.docx", "A 14113-2025")</f>
        <v/>
      </c>
      <c r="AC361">
        <f>HYPERLINK("https://klasma.github.io/Logging_0482/tillsyn/A 14113-2025 tillsynsbegäran.docx", "A 14113-2025")</f>
        <v/>
      </c>
      <c r="AD361">
        <f>HYPERLINK("https://klasma.github.io/Logging_0482/tillsynsmail/A 14113-2025 tillsynsbegäran mail.docx", "A 14113-2025")</f>
        <v/>
      </c>
    </row>
    <row r="362" ht="15" customHeight="1">
      <c r="A362" t="inlineStr">
        <is>
          <t>A 50760-2023</t>
        </is>
      </c>
      <c r="B362" t="inlineStr">
        <is>
          <t>avverkningsanmälan</t>
        </is>
      </c>
      <c r="C362" t="inlineStr">
        <is>
          <t>Föryngringsavverkning</t>
        </is>
      </c>
      <c r="D362" s="1" t="n">
        <v>45217</v>
      </c>
      <c r="E362" s="1" t="n">
        <v>46313</v>
      </c>
      <c r="F362" t="inlineStr">
        <is>
          <t>SÖDERMANLANDS LÄN</t>
        </is>
      </c>
      <c r="G362" t="inlineStr">
        <is>
          <t>ESKILSTUNA</t>
        </is>
      </c>
      <c r="I362" t="n">
        <v>4.1</v>
      </c>
      <c r="J362" t="n">
        <v>1</v>
      </c>
      <c r="K362" t="n">
        <v>0</v>
      </c>
      <c r="L362" t="n">
        <v>0</v>
      </c>
      <c r="M362" t="n">
        <v>0</v>
      </c>
      <c r="N362" t="n">
        <v>1</v>
      </c>
      <c r="O362" t="n">
        <v>0</v>
      </c>
      <c r="P362" t="n">
        <v>0</v>
      </c>
      <c r="Q362" t="n">
        <v>1</v>
      </c>
      <c r="R362" t="n">
        <v>1</v>
      </c>
      <c r="S362" t="n">
        <v>1</v>
      </c>
      <c r="T362" t="n">
        <v>1</v>
      </c>
      <c r="U362" t="n">
        <v>1</v>
      </c>
      <c r="V362" s="2" t="inlineStr">
        <is>
          <t>Pärluggla</t>
        </is>
      </c>
      <c r="W362">
        <f>HYPERLINK("https://klasma.github.io/Logging_0484/artfynd/A 50760-2023 artfynd.xlsx", "A 50760-2023")</f>
        <v/>
      </c>
      <c r="X362">
        <f>HYPERLINK("https://klasma.github.io/Logging_0484/kartor/A 50760-2023 karta.png", "A 50760-2023")</f>
        <v/>
      </c>
      <c r="Y362">
        <f>HYPERLINK("https://klasma.github.io/Logging_0484/kartor_geotiff/A 50760-2023 georefererad karta.tif", "A 50760-2023")</f>
        <v/>
      </c>
      <c r="AA362">
        <f>HYPERLINK("https://klasma.github.io/Logging_0484/klagomål/A 50760-2023 FSC-klagomål.docx", "A 50760-2023")</f>
        <v/>
      </c>
      <c r="AB362">
        <f>HYPERLINK("https://klasma.github.io/Logging_0484/klagomålsmail/A 50760-2023 FSC-klagomål mail.docx", "A 50760-2023")</f>
        <v/>
      </c>
      <c r="AC362">
        <f>HYPERLINK("https://klasma.github.io/Logging_0484/tillsyn/A 50760-2023 tillsynsbegäran.docx", "A 50760-2023")</f>
        <v/>
      </c>
      <c r="AD362">
        <f>HYPERLINK("https://klasma.github.io/Logging_0484/tillsynsmail/A 50760-2023 tillsynsbegäran mail.docx", "A 50760-2023")</f>
        <v/>
      </c>
      <c r="AE362">
        <f>HYPERLINK("https://klasma.github.io/Logging_0484/fåglar/A 50760-2023 prioriterade fågelarter.docx", "A 50760-2023")</f>
        <v/>
      </c>
    </row>
    <row r="363" ht="15" customHeight="1">
      <c r="A363" t="inlineStr">
        <is>
          <t>A 71976-2021</t>
        </is>
      </c>
      <c r="B363" t="inlineStr">
        <is>
          <t>avverkningsanmälan</t>
        </is>
      </c>
      <c r="C363" t="inlineStr">
        <is>
          <t>Föryngringsavverkning</t>
        </is>
      </c>
      <c r="D363" s="1" t="n">
        <v>44544</v>
      </c>
      <c r="E363" s="1" t="n">
        <v>46313</v>
      </c>
      <c r="F363" t="inlineStr">
        <is>
          <t>SÖDERMANLANDS LÄN</t>
        </is>
      </c>
      <c r="G363" t="inlineStr">
        <is>
          <t>ESKILSTUNA</t>
        </is>
      </c>
      <c r="I363" t="n">
        <v>19.6</v>
      </c>
      <c r="J363" t="n">
        <v>0</v>
      </c>
      <c r="K363" t="n">
        <v>0</v>
      </c>
      <c r="L363" t="n">
        <v>1</v>
      </c>
      <c r="M363" t="n">
        <v>0</v>
      </c>
      <c r="N363" t="n">
        <v>0</v>
      </c>
      <c r="O363" t="n">
        <v>0</v>
      </c>
      <c r="P363" t="n">
        <v>0</v>
      </c>
      <c r="Q363" t="n">
        <v>1</v>
      </c>
      <c r="R363" t="n">
        <v>0</v>
      </c>
      <c r="S363" t="n">
        <v>1</v>
      </c>
      <c r="T363" t="n">
        <v>1</v>
      </c>
      <c r="U363" t="n">
        <v>1</v>
      </c>
      <c r="V363" s="2" t="inlineStr">
        <is>
          <t>Jungfrulin</t>
        </is>
      </c>
      <c r="W363">
        <f>HYPERLINK("https://klasma.github.io/Logging_0484/artfynd/A 71976-2021 artfynd.xlsx", "A 71976-2021")</f>
        <v/>
      </c>
      <c r="X363">
        <f>HYPERLINK("https://klasma.github.io/Logging_0484/kartor/A 71976-2021 karta.png", "A 71976-2021")</f>
        <v/>
      </c>
      <c r="Y363">
        <f>HYPERLINK("https://klasma.github.io/Logging_0484/kartor_geotiff/A 71976-2021 georefererad karta.tif", "A 71976-2021")</f>
        <v/>
      </c>
      <c r="AA363">
        <f>HYPERLINK("https://klasma.github.io/Logging_0484/klagomål/A 71976-2021 FSC-klagomål.docx", "A 71976-2021")</f>
        <v/>
      </c>
      <c r="AB363">
        <f>HYPERLINK("https://klasma.github.io/Logging_0484/klagomålsmail/A 71976-2021 FSC-klagomål mail.docx", "A 71976-2021")</f>
        <v/>
      </c>
      <c r="AC363">
        <f>HYPERLINK("https://klasma.github.io/Logging_0484/tillsyn/A 71976-2021 tillsynsbegäran.docx", "A 71976-2021")</f>
        <v/>
      </c>
      <c r="AD363">
        <f>HYPERLINK("https://klasma.github.io/Logging_0484/tillsynsmail/A 71976-2021 tillsynsbegäran mail.docx", "A 71976-2021")</f>
        <v/>
      </c>
    </row>
    <row r="364" ht="15" customHeight="1">
      <c r="A364" t="inlineStr">
        <is>
          <t>A 18500-2024</t>
        </is>
      </c>
      <c r="B364" t="inlineStr">
        <is>
          <t>avverkningsanmälan</t>
        </is>
      </c>
      <c r="C364" t="inlineStr">
        <is>
          <t>Föryngringsavverkning</t>
        </is>
      </c>
      <c r="D364" s="1" t="n">
        <v>45424</v>
      </c>
      <c r="E364" s="1" t="n">
        <v>46313</v>
      </c>
      <c r="F364" t="inlineStr">
        <is>
          <t>SÖDERMANLANDS LÄN</t>
        </is>
      </c>
      <c r="G364" t="inlineStr">
        <is>
          <t>NYKÖPING</t>
        </is>
      </c>
      <c r="I364" t="n">
        <v>2.4</v>
      </c>
      <c r="J364" t="n">
        <v>1</v>
      </c>
      <c r="K364" t="n">
        <v>0</v>
      </c>
      <c r="L364" t="n">
        <v>0</v>
      </c>
      <c r="M364" t="n">
        <v>1</v>
      </c>
      <c r="N364" t="n">
        <v>0</v>
      </c>
      <c r="O364" t="n">
        <v>0</v>
      </c>
      <c r="P364" t="n">
        <v>0</v>
      </c>
      <c r="Q364" t="n">
        <v>1</v>
      </c>
      <c r="R364" t="n">
        <v>1</v>
      </c>
      <c r="S364" t="n">
        <v>1</v>
      </c>
      <c r="T364" t="n">
        <v>1</v>
      </c>
      <c r="U364" t="n">
        <v>1</v>
      </c>
      <c r="V364" s="2" t="inlineStr">
        <is>
          <t>Tornseglare</t>
        </is>
      </c>
      <c r="W364">
        <f>HYPERLINK("https://klasma.github.io/Logging_0480/artfynd/A 18500-2024 artfynd.xlsx", "A 18500-2024")</f>
        <v/>
      </c>
      <c r="X364">
        <f>HYPERLINK("https://klasma.github.io/Logging_0480/kartor/A 18500-2024 karta.png", "A 18500-2024")</f>
        <v/>
      </c>
      <c r="Y364">
        <f>HYPERLINK("https://klasma.github.io/Logging_0480/kartor_geotiff/A 18500-2024 georefererad karta.tif", "A 18500-2024")</f>
        <v/>
      </c>
      <c r="AA364">
        <f>HYPERLINK("https://klasma.github.io/Logging_0480/klagomål/A 18500-2024 FSC-klagomål.docx", "A 18500-2024")</f>
        <v/>
      </c>
      <c r="AB364">
        <f>HYPERLINK("https://klasma.github.io/Logging_0480/klagomålsmail/A 18500-2024 FSC-klagomål mail.docx", "A 18500-2024")</f>
        <v/>
      </c>
      <c r="AC364">
        <f>HYPERLINK("https://klasma.github.io/Logging_0480/tillsyn/A 18500-2024 tillsynsbegäran.docx", "A 18500-2024")</f>
        <v/>
      </c>
      <c r="AD364">
        <f>HYPERLINK("https://klasma.github.io/Logging_0480/tillsynsmail/A 18500-2024 tillsynsbegäran mail.docx", "A 18500-2024")</f>
        <v/>
      </c>
      <c r="AE364">
        <f>HYPERLINK("https://klasma.github.io/Logging_0480/fåglar/A 18500-2024 prioriterade fågelarter.docx", "A 18500-2024")</f>
        <v/>
      </c>
    </row>
    <row r="365" ht="15" customHeight="1">
      <c r="A365" t="inlineStr">
        <is>
          <t>A 26148-2022</t>
        </is>
      </c>
      <c r="B365" t="inlineStr">
        <is>
          <t>avverkningsanmälan</t>
        </is>
      </c>
      <c r="C365" t="inlineStr">
        <is>
          <t>Föryngringsavverkning</t>
        </is>
      </c>
      <c r="D365" s="1" t="n">
        <v>44735</v>
      </c>
      <c r="E365" s="1" t="n">
        <v>46313</v>
      </c>
      <c r="F365" t="inlineStr">
        <is>
          <t>SÖDERMANLANDS LÄN</t>
        </is>
      </c>
      <c r="G365" t="inlineStr">
        <is>
          <t>ESKILSTUNA</t>
        </is>
      </c>
      <c r="I365" t="n">
        <v>3.3</v>
      </c>
      <c r="J365" t="n">
        <v>1</v>
      </c>
      <c r="K365" t="n">
        <v>0</v>
      </c>
      <c r="L365" t="n">
        <v>1</v>
      </c>
      <c r="M365" t="n">
        <v>0</v>
      </c>
      <c r="N365" t="n">
        <v>0</v>
      </c>
      <c r="O365" t="n">
        <v>0</v>
      </c>
      <c r="P365" t="n">
        <v>0</v>
      </c>
      <c r="Q365" t="n">
        <v>1</v>
      </c>
      <c r="R365" t="n">
        <v>0</v>
      </c>
      <c r="S365" t="n">
        <v>1</v>
      </c>
      <c r="T365" t="n">
        <v>1</v>
      </c>
      <c r="U365" t="n">
        <v>1</v>
      </c>
      <c r="V365" s="2" t="inlineStr">
        <is>
          <t>Rödvingetrast</t>
        </is>
      </c>
      <c r="W365">
        <f>HYPERLINK("https://klasma.github.io/Logging_0484/artfynd/A 26148-2022 artfynd.xlsx", "A 26148-2022")</f>
        <v/>
      </c>
      <c r="X365">
        <f>HYPERLINK("https://klasma.github.io/Logging_0484/kartor/A 26148-2022 karta.png", "A 26148-2022")</f>
        <v/>
      </c>
      <c r="Y365">
        <f>HYPERLINK("https://klasma.github.io/Logging_0484/kartor_geotiff/A 26148-2022 georefererad karta.tif", "A 26148-2022")</f>
        <v/>
      </c>
      <c r="AA365">
        <f>HYPERLINK("https://klasma.github.io/Logging_0484/klagomål/A 26148-2022 FSC-klagomål.docx", "A 26148-2022")</f>
        <v/>
      </c>
      <c r="AB365">
        <f>HYPERLINK("https://klasma.github.io/Logging_0484/klagomålsmail/A 26148-2022 FSC-klagomål mail.docx", "A 26148-2022")</f>
        <v/>
      </c>
      <c r="AC365">
        <f>HYPERLINK("https://klasma.github.io/Logging_0484/tillsyn/A 26148-2022 tillsynsbegäran.docx", "A 26148-2022")</f>
        <v/>
      </c>
      <c r="AD365">
        <f>HYPERLINK("https://klasma.github.io/Logging_0484/tillsynsmail/A 26148-2022 tillsynsbegäran mail.docx", "A 26148-2022")</f>
        <v/>
      </c>
      <c r="AE365">
        <f>HYPERLINK("https://klasma.github.io/Logging_0484/fåglar/A 26148-2022 prioriterade fågelarter.docx", "A 26148-2022")</f>
        <v/>
      </c>
    </row>
    <row r="366" ht="15" customHeight="1">
      <c r="A366" t="inlineStr">
        <is>
          <t>A 12238-2023</t>
        </is>
      </c>
      <c r="B366" t="inlineStr">
        <is>
          <t>avverkningsanmälan</t>
        </is>
      </c>
      <c r="C366" t="inlineStr">
        <is>
          <t>Föryngringsavverkning</t>
        </is>
      </c>
      <c r="D366" s="1" t="n">
        <v>44995</v>
      </c>
      <c r="E366" s="1" t="n">
        <v>46313</v>
      </c>
      <c r="F366" t="inlineStr">
        <is>
          <t>SÖDERMANLANDS LÄN</t>
        </is>
      </c>
      <c r="G366" t="inlineStr">
        <is>
          <t>KATRINEHOLM</t>
        </is>
      </c>
      <c r="H366" t="inlineStr">
        <is>
          <t>Övriga Aktiebolag</t>
        </is>
      </c>
      <c r="I366" t="n">
        <v>58</v>
      </c>
      <c r="J366" t="n">
        <v>0</v>
      </c>
      <c r="K366" t="n">
        <v>0</v>
      </c>
      <c r="L366" t="n">
        <v>1</v>
      </c>
      <c r="M366" t="n">
        <v>0</v>
      </c>
      <c r="N366" t="n">
        <v>0</v>
      </c>
      <c r="O366" t="n">
        <v>0</v>
      </c>
      <c r="P366" t="n">
        <v>0</v>
      </c>
      <c r="Q366" t="n">
        <v>1</v>
      </c>
      <c r="R366" t="n">
        <v>0</v>
      </c>
      <c r="S366" t="n">
        <v>1</v>
      </c>
      <c r="T366" t="n">
        <v>1</v>
      </c>
      <c r="U366" t="n">
        <v>0</v>
      </c>
      <c r="V366" s="2" t="inlineStr">
        <is>
          <t>Skogsklocka</t>
        </is>
      </c>
      <c r="W366">
        <f>HYPERLINK("https://klasma.github.io/Logging_0483/artfynd/A 12238-2023 artfynd.xlsx", "A 12238-2023")</f>
        <v/>
      </c>
      <c r="X366">
        <f>HYPERLINK("https://klasma.github.io/Logging_0483/kartor/A 12238-2023 karta.png", "A 12238-2023")</f>
        <v/>
      </c>
      <c r="Y366">
        <f>HYPERLINK("https://klasma.github.io/Logging_0483/kartor_geotiff/A 12238-2023 georefererad karta.tif", "A 12238-2023")</f>
        <v/>
      </c>
      <c r="AA366">
        <f>HYPERLINK("https://klasma.github.io/Logging_0483/klagomål/A 12238-2023 FSC-klagomål.docx", "A 12238-2023")</f>
        <v/>
      </c>
      <c r="AB366">
        <f>HYPERLINK("https://klasma.github.io/Logging_0483/klagomålsmail/A 12238-2023 FSC-klagomål mail.docx", "A 12238-2023")</f>
        <v/>
      </c>
      <c r="AC366">
        <f>HYPERLINK("https://klasma.github.io/Logging_0483/tillsyn/A 12238-2023 tillsynsbegäran.docx", "A 12238-2023")</f>
        <v/>
      </c>
      <c r="AD366">
        <f>HYPERLINK("https://klasma.github.io/Logging_0483/tillsynsmail/A 12238-2023 tillsynsbegäran mail.docx", "A 12238-2023")</f>
        <v/>
      </c>
    </row>
    <row r="367" ht="15" customHeight="1">
      <c r="A367" t="inlineStr">
        <is>
          <t>A 53990-2023</t>
        </is>
      </c>
      <c r="B367" t="inlineStr">
        <is>
          <t>avverkningsanmälan</t>
        </is>
      </c>
      <c r="C367" t="inlineStr">
        <is>
          <t>Föryngringsavverkning</t>
        </is>
      </c>
      <c r="D367" s="1" t="n">
        <v>45231</v>
      </c>
      <c r="E367" s="1" t="n">
        <v>46313</v>
      </c>
      <c r="F367" t="inlineStr">
        <is>
          <t>SÖDERMANLANDS LÄN</t>
        </is>
      </c>
      <c r="G367" t="inlineStr">
        <is>
          <t>KATRINEHOLM</t>
        </is>
      </c>
      <c r="I367" t="n">
        <v>6.1</v>
      </c>
      <c r="J367" t="n">
        <v>0</v>
      </c>
      <c r="K367" t="n">
        <v>0</v>
      </c>
      <c r="L367" t="n">
        <v>1</v>
      </c>
      <c r="M367" t="n">
        <v>0</v>
      </c>
      <c r="N367" t="n">
        <v>0</v>
      </c>
      <c r="O367" t="n">
        <v>0</v>
      </c>
      <c r="P367" t="n">
        <v>0</v>
      </c>
      <c r="Q367" t="n">
        <v>1</v>
      </c>
      <c r="R367" t="n">
        <v>0</v>
      </c>
      <c r="S367" t="n">
        <v>1</v>
      </c>
      <c r="T367" t="n">
        <v>1</v>
      </c>
      <c r="U367" t="n">
        <v>1</v>
      </c>
      <c r="V367" s="2" t="inlineStr">
        <is>
          <t>Motaggsvamp</t>
        </is>
      </c>
      <c r="W367">
        <f>HYPERLINK("https://klasma.github.io/Logging_0483/artfynd/A 53990-2023 artfynd.xlsx", "A 53990-2023")</f>
        <v/>
      </c>
      <c r="X367">
        <f>HYPERLINK("https://klasma.github.io/Logging_0483/kartor/A 53990-2023 karta.png", "A 53990-2023")</f>
        <v/>
      </c>
      <c r="Y367">
        <f>HYPERLINK("https://klasma.github.io/Logging_0483/kartor_geotiff/A 53990-2023 georefererad karta.tif", "A 53990-2023")</f>
        <v/>
      </c>
      <c r="AA367">
        <f>HYPERLINK("https://klasma.github.io/Logging_0483/klagomål/A 53990-2023 FSC-klagomål.docx", "A 53990-2023")</f>
        <v/>
      </c>
      <c r="AB367">
        <f>HYPERLINK("https://klasma.github.io/Logging_0483/klagomålsmail/A 53990-2023 FSC-klagomål mail.docx", "A 53990-2023")</f>
        <v/>
      </c>
      <c r="AC367">
        <f>HYPERLINK("https://klasma.github.io/Logging_0483/tillsyn/A 53990-2023 tillsynsbegäran.docx", "A 53990-2023")</f>
        <v/>
      </c>
      <c r="AD367">
        <f>HYPERLINK("https://klasma.github.io/Logging_0483/tillsynsmail/A 53990-2023 tillsynsbegäran mail.docx", "A 53990-2023")</f>
        <v/>
      </c>
    </row>
    <row r="368" ht="15" customHeight="1">
      <c r="A368" t="inlineStr">
        <is>
          <t>A 18902-2023</t>
        </is>
      </c>
      <c r="B368" t="inlineStr">
        <is>
          <t>avverkningsanmälan</t>
        </is>
      </c>
      <c r="C368" t="inlineStr">
        <is>
          <t>Föryngringsavverkning</t>
        </is>
      </c>
      <c r="D368" s="1" t="n">
        <v>45044</v>
      </c>
      <c r="E368" s="1" t="n">
        <v>46313</v>
      </c>
      <c r="F368" t="inlineStr">
        <is>
          <t>SÖDERMANLANDS LÄN</t>
        </is>
      </c>
      <c r="G368" t="inlineStr">
        <is>
          <t>GNESTA</t>
        </is>
      </c>
      <c r="I368" t="n">
        <v>1.2</v>
      </c>
      <c r="J368" t="n">
        <v>1</v>
      </c>
      <c r="K368" t="n">
        <v>0</v>
      </c>
      <c r="L368" t="n">
        <v>0</v>
      </c>
      <c r="M368" t="n">
        <v>1</v>
      </c>
      <c r="N368" t="n">
        <v>0</v>
      </c>
      <c r="O368" t="n">
        <v>0</v>
      </c>
      <c r="P368" t="n">
        <v>0</v>
      </c>
      <c r="Q368" t="n">
        <v>1</v>
      </c>
      <c r="R368" t="n">
        <v>1</v>
      </c>
      <c r="S368" t="n">
        <v>1</v>
      </c>
      <c r="T368" t="n">
        <v>3</v>
      </c>
      <c r="U368" t="n">
        <v>3</v>
      </c>
      <c r="V368" s="2" t="inlineStr">
        <is>
          <t>Tjockskalig målarmussla</t>
        </is>
      </c>
      <c r="W368">
        <f>HYPERLINK("https://klasma.github.io/Logging_0461/artfynd/A 18902-2023 artfynd.xlsx", "A 18902-2023")</f>
        <v/>
      </c>
      <c r="X368">
        <f>HYPERLINK("https://klasma.github.io/Logging_0461/kartor/A 18902-2023 karta.png", "A 18902-2023")</f>
        <v/>
      </c>
      <c r="Y368">
        <f>HYPERLINK("https://klasma.github.io/Logging_0461/kartor_geotiff/A 18902-2023 georefererad karta.tif", "A 18902-2023")</f>
        <v/>
      </c>
      <c r="AA368">
        <f>HYPERLINK("https://klasma.github.io/Logging_0461/klagomål/A 18902-2023 FSC-klagomål.docx", "A 18902-2023")</f>
        <v/>
      </c>
      <c r="AB368">
        <f>HYPERLINK("https://klasma.github.io/Logging_0461/klagomålsmail/A 18902-2023 FSC-klagomål mail.docx", "A 18902-2023")</f>
        <v/>
      </c>
      <c r="AC368">
        <f>HYPERLINK("https://klasma.github.io/Logging_0461/tillsyn/A 18902-2023 tillsynsbegäran.docx", "A 18902-2023")</f>
        <v/>
      </c>
      <c r="AD368">
        <f>HYPERLINK("https://klasma.github.io/Logging_0461/tillsynsmail/A 18902-2023 tillsynsbegäran mail.docx", "A 18902-2023")</f>
        <v/>
      </c>
    </row>
    <row r="369" ht="15" customHeight="1">
      <c r="A369" t="inlineStr">
        <is>
          <t>A 7525-2024</t>
        </is>
      </c>
      <c r="B369" t="inlineStr">
        <is>
          <t>avverkningsanmälan</t>
        </is>
      </c>
      <c r="C369" t="inlineStr">
        <is>
          <t>Avverkning för annat ändamål</t>
        </is>
      </c>
      <c r="D369" s="1" t="n">
        <v>45348</v>
      </c>
      <c r="E369" s="1" t="n">
        <v>46313</v>
      </c>
      <c r="F369" t="inlineStr">
        <is>
          <t>SÖDERMANLANDS LÄN</t>
        </is>
      </c>
      <c r="G369" t="inlineStr">
        <is>
          <t>FLEN</t>
        </is>
      </c>
      <c r="I369" t="n">
        <v>2.3</v>
      </c>
      <c r="J369" t="n">
        <v>0</v>
      </c>
      <c r="K369" t="n">
        <v>0</v>
      </c>
      <c r="L369" t="n">
        <v>1</v>
      </c>
      <c r="M369" t="n">
        <v>0</v>
      </c>
      <c r="N369" t="n">
        <v>0</v>
      </c>
      <c r="O369" t="n">
        <v>0</v>
      </c>
      <c r="P369" t="n">
        <v>0</v>
      </c>
      <c r="Q369" t="n">
        <v>1</v>
      </c>
      <c r="R369" t="n">
        <v>0</v>
      </c>
      <c r="S369" t="n">
        <v>1</v>
      </c>
      <c r="T369" t="n">
        <v>1</v>
      </c>
      <c r="U369" t="n">
        <v>1</v>
      </c>
      <c r="V369" s="2" t="inlineStr">
        <is>
          <t>Vanlig backsmörblomma</t>
        </is>
      </c>
      <c r="W369">
        <f>HYPERLINK("https://klasma.github.io/Logging_0482/artfynd/A 7525-2024 artfynd.xlsx", "A 7525-2024")</f>
        <v/>
      </c>
      <c r="X369">
        <f>HYPERLINK("https://klasma.github.io/Logging_0482/kartor/A 7525-2024 karta.png", "A 7525-2024")</f>
        <v/>
      </c>
      <c r="Y369">
        <f>HYPERLINK("https://klasma.github.io/Logging_0482/kartor_geotiff/A 7525-2024 georefererad karta.tif", "A 7525-2024")</f>
        <v/>
      </c>
      <c r="AA369">
        <f>HYPERLINK("https://klasma.github.io/Logging_0482/klagomål/A 7525-2024 FSC-klagomål.docx", "A 7525-2024")</f>
        <v/>
      </c>
      <c r="AB369">
        <f>HYPERLINK("https://klasma.github.io/Logging_0482/klagomålsmail/A 7525-2024 FSC-klagomål mail.docx", "A 7525-2024")</f>
        <v/>
      </c>
      <c r="AC369">
        <f>HYPERLINK("https://klasma.github.io/Logging_0482/tillsyn/A 7525-2024 tillsynsbegäran.docx", "A 7525-2024")</f>
        <v/>
      </c>
      <c r="AD369">
        <f>HYPERLINK("https://klasma.github.io/Logging_0482/tillsynsmail/A 7525-2024 tillsynsbegäran mail.docx", "A 7525-2024")</f>
        <v/>
      </c>
    </row>
    <row r="370" ht="15" customHeight="1">
      <c r="A370" t="inlineStr">
        <is>
          <t>A 39433-2024</t>
        </is>
      </c>
      <c r="B370" t="inlineStr">
        <is>
          <t>avverkningsanmälan</t>
        </is>
      </c>
      <c r="C370" t="inlineStr">
        <is>
          <t>Föryngringsavverkning</t>
        </is>
      </c>
      <c r="D370" s="1" t="n">
        <v>45551</v>
      </c>
      <c r="E370" s="1" t="n">
        <v>46313</v>
      </c>
      <c r="F370" t="inlineStr">
        <is>
          <t>SÖDERMANLANDS LÄN</t>
        </is>
      </c>
      <c r="G370" t="inlineStr">
        <is>
          <t>GNESTA</t>
        </is>
      </c>
      <c r="I370" t="n">
        <v>1.3</v>
      </c>
      <c r="J370" t="n">
        <v>1</v>
      </c>
      <c r="K370" t="n">
        <v>1</v>
      </c>
      <c r="L370" t="n">
        <v>0</v>
      </c>
      <c r="M370" t="n">
        <v>0</v>
      </c>
      <c r="N370" t="n">
        <v>0</v>
      </c>
      <c r="O370" t="n">
        <v>0</v>
      </c>
      <c r="P370" t="n">
        <v>0</v>
      </c>
      <c r="Q370" t="n">
        <v>0</v>
      </c>
      <c r="R370" t="n">
        <v>0</v>
      </c>
      <c r="S370" t="n">
        <v>1</v>
      </c>
      <c r="T370" t="n">
        <v>1</v>
      </c>
      <c r="U370" t="n">
        <v>0</v>
      </c>
      <c r="V370" s="2" t="inlineStr">
        <is>
          <t>Grön sköldmossa</t>
        </is>
      </c>
      <c r="W370">
        <f>HYPERLINK("https://klasma.github.io/Logging_0461/artfynd/A 39433-2024 artfynd.xlsx", "A 39433-2024")</f>
        <v/>
      </c>
      <c r="X370">
        <f>HYPERLINK("https://klasma.github.io/Logging_0461/kartor/A 39433-2024 karta.png", "A 39433-2024")</f>
        <v/>
      </c>
      <c r="Y370">
        <f>HYPERLINK("https://klasma.github.io/Logging_0461/kartor_geotiff/A 39433-2024 georefererad karta.tif", "A 39433-2024")</f>
        <v/>
      </c>
      <c r="AA370">
        <f>HYPERLINK("https://klasma.github.io/Logging_0461/klagomål/A 39433-2024 FSC-klagomål.docx", "A 39433-2024")</f>
        <v/>
      </c>
      <c r="AB370">
        <f>HYPERLINK("https://klasma.github.io/Logging_0461/klagomålsmail/A 39433-2024 FSC-klagomål mail.docx", "A 39433-2024")</f>
        <v/>
      </c>
      <c r="AC370">
        <f>HYPERLINK("https://klasma.github.io/Logging_0461/tillsyn/A 39433-2024 tillsynsbegäran.docx", "A 39433-2024")</f>
        <v/>
      </c>
      <c r="AD370">
        <f>HYPERLINK("https://klasma.github.io/Logging_0461/tillsynsmail/A 39433-2024 tillsynsbegäran mail.docx", "A 39433-2024")</f>
        <v/>
      </c>
    </row>
    <row r="371" ht="15" customHeight="1">
      <c r="A371" t="inlineStr">
        <is>
          <t>A 41074-2025</t>
        </is>
      </c>
      <c r="B371" t="inlineStr">
        <is>
          <t>avverkningsanmälan</t>
        </is>
      </c>
      <c r="C371" t="inlineStr">
        <is>
          <t>Föryngringsavverkning</t>
        </is>
      </c>
      <c r="D371" s="1" t="n">
        <v>45898</v>
      </c>
      <c r="E371" s="1" t="n">
        <v>46313</v>
      </c>
      <c r="F371" t="inlineStr">
        <is>
          <t>SÖDERMANLANDS LÄN</t>
        </is>
      </c>
      <c r="G371" t="inlineStr">
        <is>
          <t>KATRINEHOLM</t>
        </is>
      </c>
      <c r="H371" t="inlineStr">
        <is>
          <t>Allmännings- och besparingsskogar</t>
        </is>
      </c>
      <c r="I371" t="n">
        <v>4.8</v>
      </c>
      <c r="J371" t="n">
        <v>1</v>
      </c>
      <c r="K371" t="n">
        <v>0</v>
      </c>
      <c r="L371" t="n">
        <v>0</v>
      </c>
      <c r="M371" t="n">
        <v>0</v>
      </c>
      <c r="N371" t="n">
        <v>0</v>
      </c>
      <c r="O371" t="n">
        <v>0</v>
      </c>
      <c r="P371" t="n">
        <v>0</v>
      </c>
      <c r="Q371" t="n">
        <v>0</v>
      </c>
      <c r="R371" t="n">
        <v>0</v>
      </c>
      <c r="S371" t="n">
        <v>1</v>
      </c>
      <c r="T371" t="n">
        <v>1</v>
      </c>
      <c r="U371" t="n">
        <v>0</v>
      </c>
      <c r="V371" s="2" t="inlineStr">
        <is>
          <t>Utter</t>
        </is>
      </c>
      <c r="W371">
        <f>HYPERLINK("https://klasma.github.io/Logging_0483/artfynd/A 41074-2025 artfynd.xlsx", "A 41074-2025")</f>
        <v/>
      </c>
      <c r="X371">
        <f>HYPERLINK("https://klasma.github.io/Logging_0483/kartor/A 41074-2025 karta.png", "A 41074-2025")</f>
        <v/>
      </c>
      <c r="Y371">
        <f>HYPERLINK("https://klasma.github.io/Logging_0483/kartor_geotiff/A 41074-2025 georefererad karta.tif", "A 41074-2025")</f>
        <v/>
      </c>
      <c r="AA371">
        <f>HYPERLINK("https://klasma.github.io/Logging_0483/klagomål/A 41074-2025 FSC-klagomål.docx", "A 41074-2025")</f>
        <v/>
      </c>
      <c r="AB371">
        <f>HYPERLINK("https://klasma.github.io/Logging_0483/klagomålsmail/A 41074-2025 FSC-klagomål mail.docx", "A 41074-2025")</f>
        <v/>
      </c>
      <c r="AC371">
        <f>HYPERLINK("https://klasma.github.io/Logging_0483/tillsyn/A 41074-2025 tillsynsbegäran.docx", "A 41074-2025")</f>
        <v/>
      </c>
      <c r="AD371">
        <f>HYPERLINK("https://klasma.github.io/Logging_0483/tillsynsmail/A 41074-2025 tillsynsbegäran mail.docx", "A 41074-2025")</f>
        <v/>
      </c>
    </row>
    <row r="372" ht="15" customHeight="1">
      <c r="A372" t="inlineStr">
        <is>
          <t>A 6982-2024</t>
        </is>
      </c>
      <c r="B372" t="inlineStr">
        <is>
          <t>avverkningsanmälan</t>
        </is>
      </c>
      <c r="C372" t="inlineStr">
        <is>
          <t>Föryngringsavverkning</t>
        </is>
      </c>
      <c r="D372" s="1" t="n">
        <v>45343</v>
      </c>
      <c r="E372" s="1" t="n">
        <v>46313</v>
      </c>
      <c r="F372" t="inlineStr">
        <is>
          <t>SÖDERMANLANDS LÄN</t>
        </is>
      </c>
      <c r="G372" t="inlineStr">
        <is>
          <t>FLEN</t>
        </is>
      </c>
      <c r="I372" t="n">
        <v>1.1</v>
      </c>
      <c r="J372" t="n">
        <v>1</v>
      </c>
      <c r="K372" t="n">
        <v>0</v>
      </c>
      <c r="L372" t="n">
        <v>0</v>
      </c>
      <c r="M372" t="n">
        <v>0</v>
      </c>
      <c r="N372" t="n">
        <v>0</v>
      </c>
      <c r="O372" t="n">
        <v>0</v>
      </c>
      <c r="P372" t="n">
        <v>0</v>
      </c>
      <c r="Q372" t="n">
        <v>0</v>
      </c>
      <c r="R372" t="n">
        <v>0</v>
      </c>
      <c r="S372" t="n">
        <v>1</v>
      </c>
      <c r="T372" t="n">
        <v>1</v>
      </c>
      <c r="U372" t="n">
        <v>1</v>
      </c>
      <c r="V372" s="2" t="inlineStr">
        <is>
          <t>Fläcknycklar</t>
        </is>
      </c>
      <c r="W372">
        <f>HYPERLINK("https://klasma.github.io/Logging_0482/artfynd/A 6982-2024 artfynd.xlsx", "A 6982-2024")</f>
        <v/>
      </c>
      <c r="X372">
        <f>HYPERLINK("https://klasma.github.io/Logging_0482/kartor/A 6982-2024 karta.png", "A 6982-2024")</f>
        <v/>
      </c>
      <c r="Y372">
        <f>HYPERLINK("https://klasma.github.io/Logging_0482/kartor_geotiff/A 6982-2024 georefererad karta.tif", "A 6982-2024")</f>
        <v/>
      </c>
      <c r="AA372">
        <f>HYPERLINK("https://klasma.github.io/Logging_0482/klagomål/A 6982-2024 FSC-klagomål.docx", "A 6982-2024")</f>
        <v/>
      </c>
      <c r="AB372">
        <f>HYPERLINK("https://klasma.github.io/Logging_0482/klagomålsmail/A 6982-2024 FSC-klagomål mail.docx", "A 6982-2024")</f>
        <v/>
      </c>
      <c r="AC372">
        <f>HYPERLINK("https://klasma.github.io/Logging_0482/tillsyn/A 6982-2024 tillsynsbegäran.docx", "A 6982-2024")</f>
        <v/>
      </c>
      <c r="AD372">
        <f>HYPERLINK("https://klasma.github.io/Logging_0482/tillsynsmail/A 6982-2024 tillsynsbegäran mail.docx", "A 6982-2024")</f>
        <v/>
      </c>
    </row>
    <row r="373" ht="15" customHeight="1">
      <c r="A373" t="inlineStr">
        <is>
          <t>A 5203-2025</t>
        </is>
      </c>
      <c r="B373" t="inlineStr">
        <is>
          <t>avverkningsanmälan</t>
        </is>
      </c>
      <c r="C373" t="inlineStr">
        <is>
          <t>Föryngringsavverkning</t>
        </is>
      </c>
      <c r="D373" s="1" t="n">
        <v>45691</v>
      </c>
      <c r="E373" s="1" t="n">
        <v>46313</v>
      </c>
      <c r="F373" t="inlineStr">
        <is>
          <t>SÖDERMANLANDS LÄN</t>
        </is>
      </c>
      <c r="G373" t="inlineStr">
        <is>
          <t>ESKILSTUNA</t>
        </is>
      </c>
      <c r="H373" t="inlineStr">
        <is>
          <t>Holmen skog AB</t>
        </is>
      </c>
      <c r="I373" t="n">
        <v>2.5</v>
      </c>
      <c r="J373" t="n">
        <v>1</v>
      </c>
      <c r="K373" t="n">
        <v>0</v>
      </c>
      <c r="L373" t="n">
        <v>0</v>
      </c>
      <c r="M373" t="n">
        <v>0</v>
      </c>
      <c r="N373" t="n">
        <v>0</v>
      </c>
      <c r="O373" t="n">
        <v>0</v>
      </c>
      <c r="P373" t="n">
        <v>0</v>
      </c>
      <c r="Q373" t="n">
        <v>0</v>
      </c>
      <c r="R373" t="n">
        <v>0</v>
      </c>
      <c r="S373" t="n">
        <v>1</v>
      </c>
      <c r="T373" t="n">
        <v>1</v>
      </c>
      <c r="U373" t="n">
        <v>0</v>
      </c>
      <c r="V373" s="2" t="inlineStr">
        <is>
          <t>Nattskärra</t>
        </is>
      </c>
      <c r="W373">
        <f>HYPERLINK("https://klasma.github.io/Logging_0484/artfynd/A 5203-2025 artfynd.xlsx", "A 5203-2025")</f>
        <v/>
      </c>
      <c r="X373">
        <f>HYPERLINK("https://klasma.github.io/Logging_0484/kartor/A 5203-2025 karta.png", "A 5203-2025")</f>
        <v/>
      </c>
      <c r="Y373">
        <f>HYPERLINK("https://klasma.github.io/Logging_0484/kartor_geotiff/A 5203-2025 georefererad karta.tif", "A 5203-2025")</f>
        <v/>
      </c>
      <c r="AA373">
        <f>HYPERLINK("https://klasma.github.io/Logging_0484/klagomål/A 5203-2025 FSC-klagomål.docx", "A 5203-2025")</f>
        <v/>
      </c>
      <c r="AB373">
        <f>HYPERLINK("https://klasma.github.io/Logging_0484/klagomålsmail/A 5203-2025 FSC-klagomål mail.docx", "A 5203-2025")</f>
        <v/>
      </c>
      <c r="AC373">
        <f>HYPERLINK("https://klasma.github.io/Logging_0484/tillsyn/A 5203-2025 tillsynsbegäran.docx", "A 5203-2025")</f>
        <v/>
      </c>
      <c r="AD373">
        <f>HYPERLINK("https://klasma.github.io/Logging_0484/tillsynsmail/A 5203-2025 tillsynsbegäran mail.docx", "A 5203-2025")</f>
        <v/>
      </c>
      <c r="AE373">
        <f>HYPERLINK("https://klasma.github.io/Logging_0484/fåglar/A 5203-2025 prioriterade fågelarter.docx", "A 5203-2025")</f>
        <v/>
      </c>
    </row>
    <row r="374" ht="15" customHeight="1">
      <c r="A374" t="inlineStr">
        <is>
          <t>A 21129-2024</t>
        </is>
      </c>
      <c r="B374" t="inlineStr">
        <is>
          <t>avverkningsanmälan</t>
        </is>
      </c>
      <c r="C374" t="inlineStr">
        <is>
          <t>Föryngringsavverkning</t>
        </is>
      </c>
      <c r="D374" s="1" t="n">
        <v>45440</v>
      </c>
      <c r="E374" s="1" t="n">
        <v>46313</v>
      </c>
      <c r="F374" t="inlineStr">
        <is>
          <t>SÖDERMANLANDS LÄN</t>
        </is>
      </c>
      <c r="G374" t="inlineStr">
        <is>
          <t>NYKÖPING</t>
        </is>
      </c>
      <c r="H374" t="inlineStr">
        <is>
          <t>Kommuner</t>
        </is>
      </c>
      <c r="I374" t="n">
        <v>2.8</v>
      </c>
      <c r="J374" t="n">
        <v>0</v>
      </c>
      <c r="K374" t="n">
        <v>0</v>
      </c>
      <c r="L374" t="n">
        <v>0</v>
      </c>
      <c r="M374" t="n">
        <v>0</v>
      </c>
      <c r="N374" t="n">
        <v>0</v>
      </c>
      <c r="O374" t="n">
        <v>0</v>
      </c>
      <c r="P374" t="n">
        <v>0</v>
      </c>
      <c r="Q374" t="n">
        <v>0</v>
      </c>
      <c r="R374" t="n">
        <v>0</v>
      </c>
      <c r="S374" t="n">
        <v>1</v>
      </c>
      <c r="T374" t="n">
        <v>1</v>
      </c>
      <c r="U374" t="n">
        <v>1</v>
      </c>
      <c r="V374" s="2" t="inlineStr">
        <is>
          <t>Liljekonvalj</t>
        </is>
      </c>
      <c r="W374">
        <f>HYPERLINK("https://klasma.github.io/Logging_0480/artfynd/A 21129-2024 artfynd.xlsx", "A 21129-2024")</f>
        <v/>
      </c>
      <c r="X374">
        <f>HYPERLINK("https://klasma.github.io/Logging_0480/kartor/A 21129-2024 karta.png", "A 21129-2024")</f>
        <v/>
      </c>
      <c r="Y374">
        <f>HYPERLINK("https://klasma.github.io/Logging_0480/kartor_geotiff/A 21129-2024 georefererad karta.tif", "A 21129-2024")</f>
        <v/>
      </c>
      <c r="AA374">
        <f>HYPERLINK("https://klasma.github.io/Logging_0480/klagomål/A 21129-2024 FSC-klagomål.docx", "A 21129-2024")</f>
        <v/>
      </c>
      <c r="AB374">
        <f>HYPERLINK("https://klasma.github.io/Logging_0480/klagomålsmail/A 21129-2024 FSC-klagomål mail.docx", "A 21129-2024")</f>
        <v/>
      </c>
      <c r="AC374">
        <f>HYPERLINK("https://klasma.github.io/Logging_0480/tillsyn/A 21129-2024 tillsynsbegäran.docx", "A 21129-2024")</f>
        <v/>
      </c>
      <c r="AD374">
        <f>HYPERLINK("https://klasma.github.io/Logging_0480/tillsynsmail/A 21129-2024 tillsynsbegäran mail.docx", "A 21129-2024")</f>
        <v/>
      </c>
    </row>
    <row r="375" ht="15" customHeight="1">
      <c r="A375" t="inlineStr">
        <is>
          <t>A 42527-2025</t>
        </is>
      </c>
      <c r="B375" t="inlineStr">
        <is>
          <t>avverkningsanmälan</t>
        </is>
      </c>
      <c r="C375" t="inlineStr">
        <is>
          <t>Föryngringsavverkning</t>
        </is>
      </c>
      <c r="D375" s="1" t="n">
        <v>45905</v>
      </c>
      <c r="E375" s="1" t="n">
        <v>46313</v>
      </c>
      <c r="F375" t="inlineStr">
        <is>
          <t>SÖDERMANLANDS LÄN</t>
        </is>
      </c>
      <c r="G375" t="inlineStr">
        <is>
          <t>STRÄNGNÄS</t>
        </is>
      </c>
      <c r="H375" t="inlineStr">
        <is>
          <t>Allmännings- och besparingsskogar</t>
        </is>
      </c>
      <c r="I375" t="n">
        <v>3.2</v>
      </c>
      <c r="J375" t="n">
        <v>1</v>
      </c>
      <c r="K375" t="n">
        <v>0</v>
      </c>
      <c r="L375" t="n">
        <v>0</v>
      </c>
      <c r="M375" t="n">
        <v>0</v>
      </c>
      <c r="N375" t="n">
        <v>0</v>
      </c>
      <c r="O375" t="n">
        <v>0</v>
      </c>
      <c r="P375" t="n">
        <v>0</v>
      </c>
      <c r="Q375" t="n">
        <v>0</v>
      </c>
      <c r="R375" t="n">
        <v>0</v>
      </c>
      <c r="S375" t="n">
        <v>1</v>
      </c>
      <c r="T375" t="n">
        <v>1</v>
      </c>
      <c r="U375" t="n">
        <v>0</v>
      </c>
      <c r="V375" s="2" t="inlineStr">
        <is>
          <t>Mattlummer</t>
        </is>
      </c>
      <c r="W375">
        <f>HYPERLINK("https://klasma.github.io/Logging_0486/artfynd/A 42527-2025 artfynd.xlsx", "A 42527-2025")</f>
        <v/>
      </c>
      <c r="X375">
        <f>HYPERLINK("https://klasma.github.io/Logging_0486/kartor/A 42527-2025 karta.png", "A 42527-2025")</f>
        <v/>
      </c>
      <c r="Y375">
        <f>HYPERLINK("https://klasma.github.io/Logging_0486/kartor_geotiff/A 42527-2025 georefererad karta.tif", "A 42527-2025")</f>
        <v/>
      </c>
      <c r="AA375">
        <f>HYPERLINK("https://klasma.github.io/Logging_0486/klagomål/A 42527-2025 FSC-klagomål.docx", "A 42527-2025")</f>
        <v/>
      </c>
      <c r="AB375">
        <f>HYPERLINK("https://klasma.github.io/Logging_0486/klagomålsmail/A 42527-2025 FSC-klagomål mail.docx", "A 42527-2025")</f>
        <v/>
      </c>
      <c r="AC375">
        <f>HYPERLINK("https://klasma.github.io/Logging_0486/tillsyn/A 42527-2025 tillsynsbegäran.docx", "A 42527-2025")</f>
        <v/>
      </c>
      <c r="AD375">
        <f>HYPERLINK("https://klasma.github.io/Logging_0486/tillsynsmail/A 42527-2025 tillsynsbegäran mail.docx", "A 42527-2025")</f>
        <v/>
      </c>
    </row>
    <row r="376" ht="15" customHeight="1">
      <c r="A376" t="inlineStr">
        <is>
          <t>A 53750-2022</t>
        </is>
      </c>
      <c r="B376" t="inlineStr">
        <is>
          <t>avverkningsanmälan</t>
        </is>
      </c>
      <c r="C376" t="inlineStr">
        <is>
          <t>Föryngringsavverkning</t>
        </is>
      </c>
      <c r="D376" s="1" t="n">
        <v>44875</v>
      </c>
      <c r="E376" s="1" t="n">
        <v>46313</v>
      </c>
      <c r="F376" t="inlineStr">
        <is>
          <t>SÖDERMANLANDS LÄN</t>
        </is>
      </c>
      <c r="G376" t="inlineStr">
        <is>
          <t>KATRINEHOLM</t>
        </is>
      </c>
      <c r="H376" t="inlineStr">
        <is>
          <t>Övriga Aktiebolag</t>
        </is>
      </c>
      <c r="I376" t="n">
        <v>12.6</v>
      </c>
      <c r="J376" t="n">
        <v>1</v>
      </c>
      <c r="K376" t="n">
        <v>0</v>
      </c>
      <c r="L376" t="n">
        <v>0</v>
      </c>
      <c r="M376" t="n">
        <v>0</v>
      </c>
      <c r="N376" t="n">
        <v>0</v>
      </c>
      <c r="O376" t="n">
        <v>0</v>
      </c>
      <c r="P376" t="n">
        <v>0</v>
      </c>
      <c r="Q376" t="n">
        <v>0</v>
      </c>
      <c r="R376" t="n">
        <v>0</v>
      </c>
      <c r="S376" t="n">
        <v>1</v>
      </c>
      <c r="T376" t="n">
        <v>1</v>
      </c>
      <c r="U376" t="n">
        <v>0</v>
      </c>
      <c r="V376" s="2" t="inlineStr">
        <is>
          <t>Kungsfågel</t>
        </is>
      </c>
      <c r="W376">
        <f>HYPERLINK("https://klasma.github.io/Logging_0483/artfynd/A 53750-2022 artfynd.xlsx", "A 53750-2022")</f>
        <v/>
      </c>
      <c r="X376">
        <f>HYPERLINK("https://klasma.github.io/Logging_0483/kartor/A 53750-2022 karta.png", "A 53750-2022")</f>
        <v/>
      </c>
      <c r="Y376">
        <f>HYPERLINK("https://klasma.github.io/Logging_0483/kartor_geotiff/A 53750-2022 georefererad karta.tif", "A 53750-2022")</f>
        <v/>
      </c>
      <c r="AA376">
        <f>HYPERLINK("https://klasma.github.io/Logging_0483/klagomål/A 53750-2022 FSC-klagomål.docx", "A 53750-2022")</f>
        <v/>
      </c>
      <c r="AB376">
        <f>HYPERLINK("https://klasma.github.io/Logging_0483/klagomålsmail/A 53750-2022 FSC-klagomål mail.docx", "A 53750-2022")</f>
        <v/>
      </c>
      <c r="AC376">
        <f>HYPERLINK("https://klasma.github.io/Logging_0483/tillsyn/A 53750-2022 tillsynsbegäran.docx", "A 53750-2022")</f>
        <v/>
      </c>
      <c r="AD376">
        <f>HYPERLINK("https://klasma.github.io/Logging_0483/tillsynsmail/A 53750-2022 tillsynsbegäran mail.docx", "A 53750-2022")</f>
        <v/>
      </c>
    </row>
    <row r="377" ht="15" customHeight="1">
      <c r="A377" t="inlineStr">
        <is>
          <t>A 3980-2024</t>
        </is>
      </c>
      <c r="B377" t="inlineStr">
        <is>
          <t>avverkningsanmälan</t>
        </is>
      </c>
      <c r="C377" t="inlineStr">
        <is>
          <t>Föryngringsavverkning</t>
        </is>
      </c>
      <c r="D377" s="1" t="n">
        <v>45322</v>
      </c>
      <c r="E377" s="1" t="n">
        <v>46313</v>
      </c>
      <c r="F377" t="inlineStr">
        <is>
          <t>SÖDERMANLANDS LÄN</t>
        </is>
      </c>
      <c r="G377" t="inlineStr">
        <is>
          <t>KATRINEHOLM</t>
        </is>
      </c>
      <c r="I377" t="n">
        <v>0.4</v>
      </c>
      <c r="J377" t="n">
        <v>0</v>
      </c>
      <c r="K377" t="n">
        <v>0</v>
      </c>
      <c r="L377" t="n">
        <v>1</v>
      </c>
      <c r="M377" t="n">
        <v>0</v>
      </c>
      <c r="N377" t="n">
        <v>0</v>
      </c>
      <c r="O377" t="n">
        <v>0</v>
      </c>
      <c r="P377" t="n">
        <v>0</v>
      </c>
      <c r="Q377" t="n">
        <v>1</v>
      </c>
      <c r="R377" t="n">
        <v>0</v>
      </c>
      <c r="S377" t="n">
        <v>1</v>
      </c>
      <c r="T377" t="n">
        <v>1</v>
      </c>
      <c r="U377" t="n">
        <v>0</v>
      </c>
      <c r="V377" s="2" t="inlineStr">
        <is>
          <t>Orange taggsvamp</t>
        </is>
      </c>
      <c r="W377">
        <f>HYPERLINK("https://klasma.github.io/Logging_0483/artfynd/A 3980-2024 artfynd.xlsx", "A 3980-2024")</f>
        <v/>
      </c>
      <c r="X377">
        <f>HYPERLINK("https://klasma.github.io/Logging_0483/kartor/A 3980-2024 karta.png", "A 3980-2024")</f>
        <v/>
      </c>
      <c r="Y377">
        <f>HYPERLINK("https://klasma.github.io/Logging_0483/kartor_geotiff/A 3980-2024 georefererad karta.tif", "A 3980-2024")</f>
        <v/>
      </c>
      <c r="AA377">
        <f>HYPERLINK("https://klasma.github.io/Logging_0483/klagomål/A 3980-2024 FSC-klagomål.docx", "A 3980-2024")</f>
        <v/>
      </c>
      <c r="AB377">
        <f>HYPERLINK("https://klasma.github.io/Logging_0483/klagomålsmail/A 3980-2024 FSC-klagomål mail.docx", "A 3980-2024")</f>
        <v/>
      </c>
      <c r="AC377">
        <f>HYPERLINK("https://klasma.github.io/Logging_0483/tillsyn/A 3980-2024 tillsynsbegäran.docx", "A 3980-2024")</f>
        <v/>
      </c>
      <c r="AD377">
        <f>HYPERLINK("https://klasma.github.io/Logging_0483/tillsynsmail/A 3980-2024 tillsynsbegäran mail.docx", "A 3980-2024")</f>
        <v/>
      </c>
    </row>
    <row r="378" ht="15" customHeight="1">
      <c r="A378" t="inlineStr">
        <is>
          <t>A 45122-2025</t>
        </is>
      </c>
      <c r="B378" t="inlineStr">
        <is>
          <t>avverkningsanmälan</t>
        </is>
      </c>
      <c r="C378" t="inlineStr">
        <is>
          <t>Föryngringsavverkning</t>
        </is>
      </c>
      <c r="D378" s="1" t="n">
        <v>45919</v>
      </c>
      <c r="E378" s="1" t="n">
        <v>46313</v>
      </c>
      <c r="F378" t="inlineStr">
        <is>
          <t>SÖDERMANLANDS LÄN</t>
        </is>
      </c>
      <c r="G378" t="inlineStr">
        <is>
          <t>NYKÖPING</t>
        </is>
      </c>
      <c r="I378" t="n">
        <v>6</v>
      </c>
      <c r="J378" t="n">
        <v>1</v>
      </c>
      <c r="K378" t="n">
        <v>0</v>
      </c>
      <c r="L378" t="n">
        <v>1</v>
      </c>
      <c r="M378" t="n">
        <v>0</v>
      </c>
      <c r="N378" t="n">
        <v>0</v>
      </c>
      <c r="O378" t="n">
        <v>0</v>
      </c>
      <c r="P378" t="n">
        <v>0</v>
      </c>
      <c r="Q378" t="n">
        <v>1</v>
      </c>
      <c r="R378" t="n">
        <v>0</v>
      </c>
      <c r="S378" t="n">
        <v>1</v>
      </c>
      <c r="T378" t="n">
        <v>1</v>
      </c>
      <c r="U378" t="n">
        <v>0</v>
      </c>
      <c r="V378" s="2" t="inlineStr">
        <is>
          <t>Talltita</t>
        </is>
      </c>
      <c r="W378">
        <f>HYPERLINK("https://klasma.github.io/Logging_0480/artfynd/A 45122-2025 artfynd.xlsx", "A 45122-2025")</f>
        <v/>
      </c>
      <c r="X378">
        <f>HYPERLINK("https://klasma.github.io/Logging_0480/kartor/A 45122-2025 karta.png", "A 45122-2025")</f>
        <v/>
      </c>
      <c r="Y378">
        <f>HYPERLINK("https://klasma.github.io/Logging_0480/kartor_geotiff/A 45122-2025 georefererad karta.tif", "A 45122-2025")</f>
        <v/>
      </c>
      <c r="AA378">
        <f>HYPERLINK("https://klasma.github.io/Logging_0480/klagomål/A 45122-2025 FSC-klagomål.docx", "A 45122-2025")</f>
        <v/>
      </c>
      <c r="AB378">
        <f>HYPERLINK("https://klasma.github.io/Logging_0480/klagomålsmail/A 45122-2025 FSC-klagomål mail.docx", "A 45122-2025")</f>
        <v/>
      </c>
      <c r="AC378">
        <f>HYPERLINK("https://klasma.github.io/Logging_0480/tillsyn/A 45122-2025 tillsynsbegäran.docx", "A 45122-2025")</f>
        <v/>
      </c>
      <c r="AD378">
        <f>HYPERLINK("https://klasma.github.io/Logging_0480/tillsynsmail/A 45122-2025 tillsynsbegäran mail.docx", "A 45122-2025")</f>
        <v/>
      </c>
      <c r="AE378">
        <f>HYPERLINK("https://klasma.github.io/Logging_0480/fåglar/A 45122-2025 prioriterade fågelarter.docx", "A 45122-2025")</f>
        <v/>
      </c>
    </row>
    <row r="379" ht="15" customHeight="1">
      <c r="A379" t="inlineStr">
        <is>
          <t>A 33801-2023</t>
        </is>
      </c>
      <c r="B379" t="inlineStr">
        <is>
          <t>avverkningsanmälan</t>
        </is>
      </c>
      <c r="C379" t="inlineStr">
        <is>
          <t>Föryngringsavverkning</t>
        </is>
      </c>
      <c r="D379" s="1" t="n">
        <v>45133</v>
      </c>
      <c r="E379" s="1" t="n">
        <v>46313</v>
      </c>
      <c r="F379" t="inlineStr">
        <is>
          <t>SÖDERMANLANDS LÄN</t>
        </is>
      </c>
      <c r="G379" t="inlineStr">
        <is>
          <t>KATRINEHOLM</t>
        </is>
      </c>
      <c r="I379" t="n">
        <v>2.1</v>
      </c>
      <c r="J379" t="n">
        <v>1</v>
      </c>
      <c r="K379" t="n">
        <v>0</v>
      </c>
      <c r="L379" t="n">
        <v>0</v>
      </c>
      <c r="M379" t="n">
        <v>0</v>
      </c>
      <c r="N379" t="n">
        <v>0</v>
      </c>
      <c r="O379" t="n">
        <v>0</v>
      </c>
      <c r="P379" t="n">
        <v>0</v>
      </c>
      <c r="Q379" t="n">
        <v>0</v>
      </c>
      <c r="R379" t="n">
        <v>0</v>
      </c>
      <c r="S379" t="n">
        <v>1</v>
      </c>
      <c r="T379" t="n">
        <v>1</v>
      </c>
      <c r="U379" t="n">
        <v>0</v>
      </c>
      <c r="V379" s="2" t="inlineStr">
        <is>
          <t>Blåsippa</t>
        </is>
      </c>
      <c r="W379">
        <f>HYPERLINK("https://klasma.github.io/Logging_0483/artfynd/A 33801-2023 artfynd.xlsx", "A 33801-2023")</f>
        <v/>
      </c>
      <c r="X379">
        <f>HYPERLINK("https://klasma.github.io/Logging_0483/kartor/A 33801-2023 karta.png", "A 33801-2023")</f>
        <v/>
      </c>
      <c r="Y379">
        <f>HYPERLINK("https://klasma.github.io/Logging_0483/kartor_geotiff/A 33801-2023 georefererad karta.tif", "A 33801-2023")</f>
        <v/>
      </c>
      <c r="AA379">
        <f>HYPERLINK("https://klasma.github.io/Logging_0483/klagomål/A 33801-2023 FSC-klagomål.docx", "A 33801-2023")</f>
        <v/>
      </c>
      <c r="AB379">
        <f>HYPERLINK("https://klasma.github.io/Logging_0483/klagomålsmail/A 33801-2023 FSC-klagomål mail.docx", "A 33801-2023")</f>
        <v/>
      </c>
      <c r="AC379">
        <f>HYPERLINK("https://klasma.github.io/Logging_0483/tillsyn/A 33801-2023 tillsynsbegäran.docx", "A 33801-2023")</f>
        <v/>
      </c>
      <c r="AD379">
        <f>HYPERLINK("https://klasma.github.io/Logging_0483/tillsynsmail/A 33801-2023 tillsynsbegäran mail.docx", "A 33801-2023")</f>
        <v/>
      </c>
    </row>
    <row r="380" ht="15" customHeight="1">
      <c r="A380" t="inlineStr">
        <is>
          <t>A 21021-2026</t>
        </is>
      </c>
      <c r="B380" t="inlineStr">
        <is>
          <t>avverkningsanmälan</t>
        </is>
      </c>
      <c r="C380" t="inlineStr">
        <is>
          <t>Föryngringsavverkning</t>
        </is>
      </c>
      <c r="D380" s="1" t="n">
        <v>46145</v>
      </c>
      <c r="E380" s="1" t="n">
        <v>46313</v>
      </c>
      <c r="F380" t="inlineStr">
        <is>
          <t>SÖDERMANLANDS LÄN</t>
        </is>
      </c>
      <c r="G380" t="inlineStr">
        <is>
          <t>NYKÖPING</t>
        </is>
      </c>
      <c r="I380" t="n">
        <v>3.4</v>
      </c>
      <c r="J380" t="n">
        <v>1</v>
      </c>
      <c r="K380" t="n">
        <v>0</v>
      </c>
      <c r="L380" t="n">
        <v>0</v>
      </c>
      <c r="M380" t="n">
        <v>0</v>
      </c>
      <c r="N380" t="n">
        <v>0</v>
      </c>
      <c r="O380" t="n">
        <v>0</v>
      </c>
      <c r="P380" t="n">
        <v>0</v>
      </c>
      <c r="Q380" t="n">
        <v>0</v>
      </c>
      <c r="R380" t="n">
        <v>0</v>
      </c>
      <c r="S380" t="n">
        <v>1</v>
      </c>
      <c r="T380" t="n">
        <v>1</v>
      </c>
      <c r="U380" t="n">
        <v>1</v>
      </c>
      <c r="V380" s="2" t="inlineStr">
        <is>
          <t>Fläcknycklar</t>
        </is>
      </c>
      <c r="W380">
        <f>HYPERLINK("https://klasma.github.io/Logging_0480/artfynd/A 21021-2026 artfynd.xlsx", "A 21021-2026")</f>
        <v/>
      </c>
      <c r="X380">
        <f>HYPERLINK("https://klasma.github.io/Logging_0480/kartor/A 21021-2026 karta.png", "A 21021-2026")</f>
        <v/>
      </c>
      <c r="Y380">
        <f>HYPERLINK("https://klasma.github.io/Logging_0480/kartor_geotiff/A 21021-2026 georefererad karta.tif", "A 21021-2026")</f>
        <v/>
      </c>
      <c r="AA380">
        <f>HYPERLINK("https://klasma.github.io/Logging_0480/klagomål/A 21021-2026 FSC-klagomål.docx", "A 21021-2026")</f>
        <v/>
      </c>
      <c r="AB380">
        <f>HYPERLINK("https://klasma.github.io/Logging_0480/klagomålsmail/A 21021-2026 FSC-klagomål mail.docx", "A 21021-2026")</f>
        <v/>
      </c>
      <c r="AC380">
        <f>HYPERLINK("https://klasma.github.io/Logging_0480/tillsyn/A 21021-2026 tillsynsbegäran.docx", "A 21021-2026")</f>
        <v/>
      </c>
      <c r="AD380">
        <f>HYPERLINK("https://klasma.github.io/Logging_0480/tillsynsmail/A 21021-2026 tillsynsbegäran mail.docx", "A 21021-2026")</f>
        <v/>
      </c>
    </row>
    <row r="381" ht="15" customHeight="1">
      <c r="A381" t="inlineStr">
        <is>
          <t>A 47581-2025</t>
        </is>
      </c>
      <c r="B381" t="inlineStr">
        <is>
          <t>avverkningsanmälan</t>
        </is>
      </c>
      <c r="C381" t="inlineStr">
        <is>
          <t>Föryngringsavverkning</t>
        </is>
      </c>
      <c r="D381" s="1" t="n">
        <v>45931</v>
      </c>
      <c r="E381" s="1" t="n">
        <v>46313</v>
      </c>
      <c r="F381" t="inlineStr">
        <is>
          <t>SÖDERMANLANDS LÄN</t>
        </is>
      </c>
      <c r="G381" t="inlineStr">
        <is>
          <t>FLEN</t>
        </is>
      </c>
      <c r="H381" t="inlineStr">
        <is>
          <t>Holmen skog AB</t>
        </is>
      </c>
      <c r="I381" t="n">
        <v>0.5</v>
      </c>
      <c r="J381" t="n">
        <v>0</v>
      </c>
      <c r="K381" t="n">
        <v>0</v>
      </c>
      <c r="L381" t="n">
        <v>1</v>
      </c>
      <c r="M381" t="n">
        <v>0</v>
      </c>
      <c r="N381" t="n">
        <v>0</v>
      </c>
      <c r="O381" t="n">
        <v>0</v>
      </c>
      <c r="P381" t="n">
        <v>0</v>
      </c>
      <c r="Q381" t="n">
        <v>1</v>
      </c>
      <c r="R381" t="n">
        <v>0</v>
      </c>
      <c r="S381" t="n">
        <v>1</v>
      </c>
      <c r="T381" t="n">
        <v>1</v>
      </c>
      <c r="U381" t="n">
        <v>0</v>
      </c>
      <c r="V381" s="2" t="inlineStr">
        <is>
          <t>Svinrot</t>
        </is>
      </c>
      <c r="W381">
        <f>HYPERLINK("https://klasma.github.io/Logging_0482/artfynd/A 47581-2025 artfynd.xlsx", "A 47581-2025")</f>
        <v/>
      </c>
      <c r="X381">
        <f>HYPERLINK("https://klasma.github.io/Logging_0482/kartor/A 47581-2025 karta.png", "A 47581-2025")</f>
        <v/>
      </c>
      <c r="Y381">
        <f>HYPERLINK("https://klasma.github.io/Logging_0482/kartor_geotiff/A 47581-2025 georefererad karta.tif", "A 47581-2025")</f>
        <v/>
      </c>
      <c r="AA381">
        <f>HYPERLINK("https://klasma.github.io/Logging_0482/klagomål/A 47581-2025 FSC-klagomål.docx", "A 47581-2025")</f>
        <v/>
      </c>
      <c r="AB381">
        <f>HYPERLINK("https://klasma.github.io/Logging_0482/klagomålsmail/A 47581-2025 FSC-klagomål mail.docx", "A 47581-2025")</f>
        <v/>
      </c>
      <c r="AC381">
        <f>HYPERLINK("https://klasma.github.io/Logging_0482/tillsyn/A 47581-2025 tillsynsbegäran.docx", "A 47581-2025")</f>
        <v/>
      </c>
      <c r="AD381">
        <f>HYPERLINK("https://klasma.github.io/Logging_0482/tillsynsmail/A 47581-2025 tillsynsbegäran mail.docx", "A 47581-2025")</f>
        <v/>
      </c>
    </row>
    <row r="382" ht="15" customHeight="1">
      <c r="A382" t="inlineStr">
        <is>
          <t>A 65082-2023</t>
        </is>
      </c>
      <c r="B382" t="inlineStr">
        <is>
          <t>avverkningsanmälan</t>
        </is>
      </c>
      <c r="C382" t="inlineStr">
        <is>
          <t>Föryngringsavverkning</t>
        </is>
      </c>
      <c r="D382" s="1" t="n">
        <v>45288</v>
      </c>
      <c r="E382" s="1" t="n">
        <v>46313</v>
      </c>
      <c r="F382" t="inlineStr">
        <is>
          <t>SÖDERMANLANDS LÄN</t>
        </is>
      </c>
      <c r="G382" t="inlineStr">
        <is>
          <t>GNESTA</t>
        </is>
      </c>
      <c r="I382" t="n">
        <v>1.9</v>
      </c>
      <c r="J382" t="n">
        <v>0</v>
      </c>
      <c r="K382" t="n">
        <v>0</v>
      </c>
      <c r="L382" t="n">
        <v>1</v>
      </c>
      <c r="M382" t="n">
        <v>0</v>
      </c>
      <c r="N382" t="n">
        <v>0</v>
      </c>
      <c r="O382" t="n">
        <v>0</v>
      </c>
      <c r="P382" t="n">
        <v>0</v>
      </c>
      <c r="Q382" t="n">
        <v>1</v>
      </c>
      <c r="R382" t="n">
        <v>0</v>
      </c>
      <c r="S382" t="n">
        <v>1</v>
      </c>
      <c r="T382" t="n">
        <v>3</v>
      </c>
      <c r="U382" t="n">
        <v>0</v>
      </c>
      <c r="V382" s="2" t="inlineStr">
        <is>
          <t>Svedjenäva</t>
        </is>
      </c>
      <c r="W382">
        <f>HYPERLINK("https://klasma.github.io/Logging_0461/artfynd/A 65082-2023 artfynd.xlsx", "A 65082-2023")</f>
        <v/>
      </c>
      <c r="X382">
        <f>HYPERLINK("https://klasma.github.io/Logging_0461/kartor/A 65082-2023 karta.png", "A 65082-2023")</f>
        <v/>
      </c>
      <c r="Y382">
        <f>HYPERLINK("https://klasma.github.io/Logging_0461/kartor_geotiff/A 65082-2023 georefererad karta.tif", "A 65082-2023")</f>
        <v/>
      </c>
      <c r="AA382">
        <f>HYPERLINK("https://klasma.github.io/Logging_0461/klagomål/A 65082-2023 FSC-klagomål.docx", "A 65082-2023")</f>
        <v/>
      </c>
      <c r="AB382">
        <f>HYPERLINK("https://klasma.github.io/Logging_0461/klagomålsmail/A 65082-2023 FSC-klagomål mail.docx", "A 65082-2023")</f>
        <v/>
      </c>
      <c r="AC382">
        <f>HYPERLINK("https://klasma.github.io/Logging_0461/tillsyn/A 65082-2023 tillsynsbegäran.docx", "A 65082-2023")</f>
        <v/>
      </c>
      <c r="AD382">
        <f>HYPERLINK("https://klasma.github.io/Logging_0461/tillsynsmail/A 65082-2023 tillsynsbegäran mail.docx", "A 65082-2023")</f>
        <v/>
      </c>
    </row>
    <row r="383" ht="15" customHeight="1">
      <c r="A383" t="inlineStr">
        <is>
          <t>A 56117-2022</t>
        </is>
      </c>
      <c r="B383" t="inlineStr">
        <is>
          <t>avverkningsanmälan</t>
        </is>
      </c>
      <c r="C383" t="inlineStr">
        <is>
          <t>Föryngringsavverkning</t>
        </is>
      </c>
      <c r="D383" s="1" t="n">
        <v>44889</v>
      </c>
      <c r="E383" s="1" t="n">
        <v>46313</v>
      </c>
      <c r="F383" t="inlineStr">
        <is>
          <t>SÖDERMANLANDS LÄN</t>
        </is>
      </c>
      <c r="G383" t="inlineStr">
        <is>
          <t>TROSA</t>
        </is>
      </c>
      <c r="H383" t="inlineStr">
        <is>
          <t>Holmen skog AB</t>
        </is>
      </c>
      <c r="I383" t="n">
        <v>0.7</v>
      </c>
      <c r="J383" t="n">
        <v>0</v>
      </c>
      <c r="K383" t="n">
        <v>0</v>
      </c>
      <c r="L383" t="n">
        <v>1</v>
      </c>
      <c r="M383" t="n">
        <v>0</v>
      </c>
      <c r="N383" t="n">
        <v>0</v>
      </c>
      <c r="O383" t="n">
        <v>0</v>
      </c>
      <c r="P383" t="n">
        <v>0</v>
      </c>
      <c r="Q383" t="n">
        <v>1</v>
      </c>
      <c r="R383" t="n">
        <v>0</v>
      </c>
      <c r="S383" t="n">
        <v>1</v>
      </c>
      <c r="T383" t="n">
        <v>1</v>
      </c>
      <c r="U383" t="n">
        <v>0</v>
      </c>
      <c r="V383" s="2" t="inlineStr">
        <is>
          <t>Älg</t>
        </is>
      </c>
      <c r="W383">
        <f>HYPERLINK("https://klasma.github.io/Logging_0488/artfynd/A 56117-2022 artfynd.xlsx", "A 56117-2022")</f>
        <v/>
      </c>
      <c r="X383">
        <f>HYPERLINK("https://klasma.github.io/Logging_0488/kartor/A 56117-2022 karta.png", "A 56117-2022")</f>
        <v/>
      </c>
      <c r="Y383">
        <f>HYPERLINK("https://klasma.github.io/Logging_0488/kartor_geotiff/A 56117-2022 georefererad karta.tif", "A 56117-2022")</f>
        <v/>
      </c>
      <c r="AA383">
        <f>HYPERLINK("https://klasma.github.io/Logging_0488/klagomål/A 56117-2022 FSC-klagomål.docx", "A 56117-2022")</f>
        <v/>
      </c>
      <c r="AB383">
        <f>HYPERLINK("https://klasma.github.io/Logging_0488/klagomålsmail/A 56117-2022 FSC-klagomål mail.docx", "A 56117-2022")</f>
        <v/>
      </c>
      <c r="AC383">
        <f>HYPERLINK("https://klasma.github.io/Logging_0488/tillsyn/A 56117-2022 tillsynsbegäran.docx", "A 56117-2022")</f>
        <v/>
      </c>
      <c r="AD383">
        <f>HYPERLINK("https://klasma.github.io/Logging_0488/tillsynsmail/A 56117-2022 tillsynsbegäran mail.docx", "A 56117-2022")</f>
        <v/>
      </c>
    </row>
    <row r="384" ht="15" customHeight="1">
      <c r="A384" t="inlineStr">
        <is>
          <t>A 43008-2023</t>
        </is>
      </c>
      <c r="B384" t="inlineStr">
        <is>
          <t>avverkningsanmälan</t>
        </is>
      </c>
      <c r="C384" t="inlineStr">
        <is>
          <t>Föryngringsavverkning</t>
        </is>
      </c>
      <c r="D384" s="1" t="n">
        <v>45182</v>
      </c>
      <c r="E384" s="1" t="n">
        <v>46313</v>
      </c>
      <c r="F384" t="inlineStr">
        <is>
          <t>SÖDERMANLANDS LÄN</t>
        </is>
      </c>
      <c r="G384" t="inlineStr">
        <is>
          <t>FLEN</t>
        </is>
      </c>
      <c r="I384" t="n">
        <v>1.5</v>
      </c>
      <c r="J384" t="n">
        <v>0</v>
      </c>
      <c r="K384" t="n">
        <v>0</v>
      </c>
      <c r="L384" t="n">
        <v>1</v>
      </c>
      <c r="M384" t="n">
        <v>0</v>
      </c>
      <c r="N384" t="n">
        <v>0</v>
      </c>
      <c r="O384" t="n">
        <v>0</v>
      </c>
      <c r="P384" t="n">
        <v>0</v>
      </c>
      <c r="Q384" t="n">
        <v>1</v>
      </c>
      <c r="R384" t="n">
        <v>0</v>
      </c>
      <c r="S384" t="n">
        <v>1</v>
      </c>
      <c r="T384" t="n">
        <v>1</v>
      </c>
      <c r="U384" t="n">
        <v>1</v>
      </c>
      <c r="V384" s="2" t="inlineStr">
        <is>
          <t>Gullklöver</t>
        </is>
      </c>
      <c r="W384">
        <f>HYPERLINK("https://klasma.github.io/Logging_0482/artfynd/A 43008-2023 artfynd.xlsx", "A 43008-2023")</f>
        <v/>
      </c>
      <c r="X384">
        <f>HYPERLINK("https://klasma.github.io/Logging_0482/kartor/A 43008-2023 karta.png", "A 43008-2023")</f>
        <v/>
      </c>
      <c r="Y384">
        <f>HYPERLINK("https://klasma.github.io/Logging_0482/kartor_geotiff/A 43008-2023 georefererad karta.tif", "A 43008-2023")</f>
        <v/>
      </c>
      <c r="AA384">
        <f>HYPERLINK("https://klasma.github.io/Logging_0482/klagomål/A 43008-2023 FSC-klagomål.docx", "A 43008-2023")</f>
        <v/>
      </c>
      <c r="AB384">
        <f>HYPERLINK("https://klasma.github.io/Logging_0482/klagomålsmail/A 43008-2023 FSC-klagomål mail.docx", "A 43008-2023")</f>
        <v/>
      </c>
      <c r="AC384">
        <f>HYPERLINK("https://klasma.github.io/Logging_0482/tillsyn/A 43008-2023 tillsynsbegäran.docx", "A 43008-2023")</f>
        <v/>
      </c>
      <c r="AD384">
        <f>HYPERLINK("https://klasma.github.io/Logging_0482/tillsynsmail/A 43008-2023 tillsynsbegäran mail.docx", "A 43008-2023")</f>
        <v/>
      </c>
    </row>
    <row r="385" ht="15" customHeight="1">
      <c r="A385" t="inlineStr">
        <is>
          <t>A 50014-2025</t>
        </is>
      </c>
      <c r="B385" t="inlineStr">
        <is>
          <t>avverkningsanmälan</t>
        </is>
      </c>
      <c r="C385" t="inlineStr">
        <is>
          <t>Föryngringsavverkning</t>
        </is>
      </c>
      <c r="D385" s="1" t="n">
        <v>45943</v>
      </c>
      <c r="E385" s="1" t="n">
        <v>46313</v>
      </c>
      <c r="F385" t="inlineStr">
        <is>
          <t>SÖDERMANLANDS LÄN</t>
        </is>
      </c>
      <c r="G385" t="inlineStr">
        <is>
          <t>NYKÖPING</t>
        </is>
      </c>
      <c r="H385" t="inlineStr">
        <is>
          <t>Holmen skog AB</t>
        </is>
      </c>
      <c r="I385" t="n">
        <v>4.9</v>
      </c>
      <c r="J385" t="n">
        <v>0</v>
      </c>
      <c r="K385" t="n">
        <v>0</v>
      </c>
      <c r="L385" t="n">
        <v>0</v>
      </c>
      <c r="M385" t="n">
        <v>1</v>
      </c>
      <c r="N385" t="n">
        <v>0</v>
      </c>
      <c r="O385" t="n">
        <v>0</v>
      </c>
      <c r="P385" t="n">
        <v>0</v>
      </c>
      <c r="Q385" t="n">
        <v>1</v>
      </c>
      <c r="R385" t="n">
        <v>1</v>
      </c>
      <c r="S385" t="n">
        <v>1</v>
      </c>
      <c r="T385" t="n">
        <v>1</v>
      </c>
      <c r="U385" t="n">
        <v>0</v>
      </c>
      <c r="V385" s="2" t="inlineStr">
        <is>
          <t>Sexfläckig bastardsvärmare</t>
        </is>
      </c>
      <c r="W385">
        <f>HYPERLINK("https://klasma.github.io/Logging_0480/artfynd/A 50014-2025 artfynd.xlsx", "A 50014-2025")</f>
        <v/>
      </c>
      <c r="X385">
        <f>HYPERLINK("https://klasma.github.io/Logging_0480/kartor/A 50014-2025 karta.png", "A 50014-2025")</f>
        <v/>
      </c>
      <c r="Y385">
        <f>HYPERLINK("https://klasma.github.io/Logging_0480/kartor_geotiff/A 50014-2025 georefererad karta.tif", "A 50014-2025")</f>
        <v/>
      </c>
      <c r="AA385">
        <f>HYPERLINK("https://klasma.github.io/Logging_0480/klagomål/A 50014-2025 FSC-klagomål.docx", "A 50014-2025")</f>
        <v/>
      </c>
      <c r="AB385">
        <f>HYPERLINK("https://klasma.github.io/Logging_0480/klagomålsmail/A 50014-2025 FSC-klagomål mail.docx", "A 50014-2025")</f>
        <v/>
      </c>
      <c r="AC385">
        <f>HYPERLINK("https://klasma.github.io/Logging_0480/tillsyn/A 50014-2025 tillsynsbegäran.docx", "A 50014-2025")</f>
        <v/>
      </c>
      <c r="AD385">
        <f>HYPERLINK("https://klasma.github.io/Logging_0480/tillsynsmail/A 50014-2025 tillsynsbegäran mail.docx", "A 50014-2025")</f>
        <v/>
      </c>
    </row>
    <row r="386" ht="15" customHeight="1">
      <c r="A386" t="inlineStr">
        <is>
          <t>A 62007-2022</t>
        </is>
      </c>
      <c r="B386" t="inlineStr">
        <is>
          <t>avverkningsanmälan</t>
        </is>
      </c>
      <c r="C386" t="inlineStr">
        <is>
          <t>Föryngringsavverkning</t>
        </is>
      </c>
      <c r="D386" s="1" t="n">
        <v>44918</v>
      </c>
      <c r="E386" s="1" t="n">
        <v>46313</v>
      </c>
      <c r="F386" t="inlineStr">
        <is>
          <t>SÖDERMANLANDS LÄN</t>
        </is>
      </c>
      <c r="G386" t="inlineStr">
        <is>
          <t>GNESTA</t>
        </is>
      </c>
      <c r="H386" t="inlineStr">
        <is>
          <t>Kommuner</t>
        </is>
      </c>
      <c r="I386" t="n">
        <v>0.6</v>
      </c>
      <c r="J386" t="n">
        <v>0</v>
      </c>
      <c r="K386" t="n">
        <v>0</v>
      </c>
      <c r="L386" t="n">
        <v>1</v>
      </c>
      <c r="M386" t="n">
        <v>0</v>
      </c>
      <c r="N386" t="n">
        <v>0</v>
      </c>
      <c r="O386" t="n">
        <v>0</v>
      </c>
      <c r="P386" t="n">
        <v>0</v>
      </c>
      <c r="Q386" t="n">
        <v>1</v>
      </c>
      <c r="R386" t="n">
        <v>0</v>
      </c>
      <c r="S386" t="n">
        <v>1</v>
      </c>
      <c r="T386" t="n">
        <v>1</v>
      </c>
      <c r="U386" t="n">
        <v>0</v>
      </c>
      <c r="V386" s="2" t="inlineStr">
        <is>
          <t>Orange taggsvamp</t>
        </is>
      </c>
      <c r="W386">
        <f>HYPERLINK("https://klasma.github.io/Logging_0461/artfynd/A 62007-2022 artfynd.xlsx", "A 62007-2022")</f>
        <v/>
      </c>
      <c r="X386">
        <f>HYPERLINK("https://klasma.github.io/Logging_0461/kartor/A 62007-2022 karta.png", "A 62007-2022")</f>
        <v/>
      </c>
      <c r="Y386">
        <f>HYPERLINK("https://klasma.github.io/Logging_0461/kartor_geotiff/A 62007-2022 georefererad karta.tif", "A 62007-2022")</f>
        <v/>
      </c>
      <c r="AA386">
        <f>HYPERLINK("https://klasma.github.io/Logging_0461/klagomål/A 62007-2022 FSC-klagomål.docx", "A 62007-2022")</f>
        <v/>
      </c>
      <c r="AB386">
        <f>HYPERLINK("https://klasma.github.io/Logging_0461/klagomålsmail/A 62007-2022 FSC-klagomål mail.docx", "A 62007-2022")</f>
        <v/>
      </c>
      <c r="AC386">
        <f>HYPERLINK("https://klasma.github.io/Logging_0461/tillsyn/A 62007-2022 tillsynsbegäran.docx", "A 62007-2022")</f>
        <v/>
      </c>
      <c r="AD386">
        <f>HYPERLINK("https://klasma.github.io/Logging_0461/tillsynsmail/A 62007-2022 tillsynsbegäran mail.docx", "A 62007-2022")</f>
        <v/>
      </c>
    </row>
    <row r="387" ht="15" customHeight="1">
      <c r="A387" t="inlineStr">
        <is>
          <t>A 50242-2025</t>
        </is>
      </c>
      <c r="B387" t="inlineStr">
        <is>
          <t>avverkningsanmälan</t>
        </is>
      </c>
      <c r="C387" t="inlineStr">
        <is>
          <t>Föryngringsavverkning</t>
        </is>
      </c>
      <c r="D387" s="1" t="n">
        <v>45943</v>
      </c>
      <c r="E387" s="1" t="n">
        <v>46313</v>
      </c>
      <c r="F387" t="inlineStr">
        <is>
          <t>SÖDERMANLANDS LÄN</t>
        </is>
      </c>
      <c r="G387" t="inlineStr">
        <is>
          <t>GNESTA</t>
        </is>
      </c>
      <c r="I387" t="n">
        <v>8.9</v>
      </c>
      <c r="J387" t="n">
        <v>0</v>
      </c>
      <c r="K387" t="n">
        <v>0</v>
      </c>
      <c r="L387" t="n">
        <v>1</v>
      </c>
      <c r="M387" t="n">
        <v>0</v>
      </c>
      <c r="N387" t="n">
        <v>0</v>
      </c>
      <c r="O387" t="n">
        <v>0</v>
      </c>
      <c r="P387" t="n">
        <v>0</v>
      </c>
      <c r="Q387" t="n">
        <v>1</v>
      </c>
      <c r="R387" t="n">
        <v>0</v>
      </c>
      <c r="S387" t="n">
        <v>1</v>
      </c>
      <c r="T387" t="n">
        <v>1</v>
      </c>
      <c r="U387" t="n">
        <v>0</v>
      </c>
      <c r="V387" s="2" t="inlineStr">
        <is>
          <t>Skogshare</t>
        </is>
      </c>
      <c r="W387">
        <f>HYPERLINK("https://klasma.github.io/Logging_0461/artfynd/A 50242-2025 artfynd.xlsx", "A 50242-2025")</f>
        <v/>
      </c>
      <c r="X387">
        <f>HYPERLINK("https://klasma.github.io/Logging_0461/kartor/A 50242-2025 karta.png", "A 50242-2025")</f>
        <v/>
      </c>
      <c r="Y387">
        <f>HYPERLINK("https://klasma.github.io/Logging_0461/kartor_geotiff/A 50242-2025 georefererad karta.tif", "A 50242-2025")</f>
        <v/>
      </c>
      <c r="AA387">
        <f>HYPERLINK("https://klasma.github.io/Logging_0461/klagomål/A 50242-2025 FSC-klagomål.docx", "A 50242-2025")</f>
        <v/>
      </c>
      <c r="AB387">
        <f>HYPERLINK("https://klasma.github.io/Logging_0461/klagomålsmail/A 50242-2025 FSC-klagomål mail.docx", "A 50242-2025")</f>
        <v/>
      </c>
      <c r="AC387">
        <f>HYPERLINK("https://klasma.github.io/Logging_0461/tillsyn/A 50242-2025 tillsynsbegäran.docx", "A 50242-2025")</f>
        <v/>
      </c>
      <c r="AD387">
        <f>HYPERLINK("https://klasma.github.io/Logging_0461/tillsynsmail/A 50242-2025 tillsynsbegäran mail.docx", "A 50242-2025")</f>
        <v/>
      </c>
    </row>
    <row r="388" ht="15" customHeight="1">
      <c r="A388" t="inlineStr">
        <is>
          <t>A 14327-2023</t>
        </is>
      </c>
      <c r="B388" t="inlineStr">
        <is>
          <t>avverkningsanmälan</t>
        </is>
      </c>
      <c r="C388" t="inlineStr">
        <is>
          <t>Föryngringsavverkning</t>
        </is>
      </c>
      <c r="D388" s="1" t="n">
        <v>45012</v>
      </c>
      <c r="E388" s="1" t="n">
        <v>46313</v>
      </c>
      <c r="F388" t="inlineStr">
        <is>
          <t>SÖDERMANLANDS LÄN</t>
        </is>
      </c>
      <c r="G388" t="inlineStr">
        <is>
          <t>ESKILSTUNA</t>
        </is>
      </c>
      <c r="H388" t="inlineStr">
        <is>
          <t>Kommuner</t>
        </is>
      </c>
      <c r="I388" t="n">
        <v>2.6</v>
      </c>
      <c r="J388" t="n">
        <v>1</v>
      </c>
      <c r="K388" t="n">
        <v>0</v>
      </c>
      <c r="L388" t="n">
        <v>0</v>
      </c>
      <c r="M388" t="n">
        <v>0</v>
      </c>
      <c r="N388" t="n">
        <v>0</v>
      </c>
      <c r="O388" t="n">
        <v>0</v>
      </c>
      <c r="P388" t="n">
        <v>0</v>
      </c>
      <c r="Q388" t="n">
        <v>0</v>
      </c>
      <c r="R388" t="n">
        <v>0</v>
      </c>
      <c r="S388" t="n">
        <v>1</v>
      </c>
      <c r="T388" t="n">
        <v>1</v>
      </c>
      <c r="U388" t="n">
        <v>0</v>
      </c>
      <c r="V388" s="2" t="inlineStr">
        <is>
          <t>Mattlummer</t>
        </is>
      </c>
      <c r="W388">
        <f>HYPERLINK("https://klasma.github.io/Logging_0484/artfynd/A 14327-2023 artfynd.xlsx", "A 14327-2023")</f>
        <v/>
      </c>
      <c r="X388">
        <f>HYPERLINK("https://klasma.github.io/Logging_0484/kartor/A 14327-2023 karta.png", "A 14327-2023")</f>
        <v/>
      </c>
      <c r="Y388">
        <f>HYPERLINK("https://klasma.github.io/Logging_0484/kartor_geotiff/A 14327-2023 georefererad karta.tif", "A 14327-2023")</f>
        <v/>
      </c>
      <c r="AA388">
        <f>HYPERLINK("https://klasma.github.io/Logging_0484/klagomål/A 14327-2023 FSC-klagomål.docx", "A 14327-2023")</f>
        <v/>
      </c>
      <c r="AB388">
        <f>HYPERLINK("https://klasma.github.io/Logging_0484/klagomålsmail/A 14327-2023 FSC-klagomål mail.docx", "A 14327-2023")</f>
        <v/>
      </c>
      <c r="AC388">
        <f>HYPERLINK("https://klasma.github.io/Logging_0484/tillsyn/A 14327-2023 tillsynsbegäran.docx", "A 14327-2023")</f>
        <v/>
      </c>
      <c r="AD388">
        <f>HYPERLINK("https://klasma.github.io/Logging_0484/tillsynsmail/A 14327-2023 tillsynsbegäran mail.docx", "A 14327-2023")</f>
        <v/>
      </c>
    </row>
    <row r="389" ht="15" customHeight="1">
      <c r="A389" t="inlineStr">
        <is>
          <t>A 48253-2022</t>
        </is>
      </c>
      <c r="B389" t="inlineStr">
        <is>
          <t>avverkningsanmälan</t>
        </is>
      </c>
      <c r="C389" t="inlineStr">
        <is>
          <t>Föryngringsavverkning</t>
        </is>
      </c>
      <c r="D389" s="1" t="n">
        <v>44858</v>
      </c>
      <c r="E389" s="1" t="n">
        <v>46313</v>
      </c>
      <c r="F389" t="inlineStr">
        <is>
          <t>SÖDERMANLANDS LÄN</t>
        </is>
      </c>
      <c r="G389" t="inlineStr">
        <is>
          <t>KATRINEHOLM</t>
        </is>
      </c>
      <c r="I389" t="n">
        <v>4.7</v>
      </c>
      <c r="J389" t="n">
        <v>1</v>
      </c>
      <c r="K389" t="n">
        <v>0</v>
      </c>
      <c r="L389" t="n">
        <v>0</v>
      </c>
      <c r="M389" t="n">
        <v>0</v>
      </c>
      <c r="N389" t="n">
        <v>0</v>
      </c>
      <c r="O389" t="n">
        <v>0</v>
      </c>
      <c r="P389" t="n">
        <v>0</v>
      </c>
      <c r="Q389" t="n">
        <v>0</v>
      </c>
      <c r="R389" t="n">
        <v>0</v>
      </c>
      <c r="S389" t="n">
        <v>1</v>
      </c>
      <c r="T389" t="n">
        <v>1</v>
      </c>
      <c r="U389" t="n">
        <v>1</v>
      </c>
      <c r="V389" s="2" t="inlineStr">
        <is>
          <t>Spillkråka</t>
        </is>
      </c>
      <c r="W389">
        <f>HYPERLINK("https://klasma.github.io/Logging_0483/artfynd/A 48253-2022 artfynd.xlsx", "A 48253-2022")</f>
        <v/>
      </c>
      <c r="X389">
        <f>HYPERLINK("https://klasma.github.io/Logging_0483/kartor/A 48253-2022 karta.png", "A 48253-2022")</f>
        <v/>
      </c>
      <c r="Y389">
        <f>HYPERLINK("https://klasma.github.io/Logging_0483/kartor_geotiff/A 48253-2022 georefererad karta.tif", "A 48253-2022")</f>
        <v/>
      </c>
      <c r="AA389">
        <f>HYPERLINK("https://klasma.github.io/Logging_0483/klagomål/A 48253-2022 FSC-klagomål.docx", "A 48253-2022")</f>
        <v/>
      </c>
      <c r="AB389">
        <f>HYPERLINK("https://klasma.github.io/Logging_0483/klagomålsmail/A 48253-2022 FSC-klagomål mail.docx", "A 48253-2022")</f>
        <v/>
      </c>
      <c r="AC389">
        <f>HYPERLINK("https://klasma.github.io/Logging_0483/tillsyn/A 48253-2022 tillsynsbegäran.docx", "A 48253-2022")</f>
        <v/>
      </c>
      <c r="AD389">
        <f>HYPERLINK("https://klasma.github.io/Logging_0483/tillsynsmail/A 48253-2022 tillsynsbegäran mail.docx", "A 48253-2022")</f>
        <v/>
      </c>
      <c r="AE389">
        <f>HYPERLINK("https://klasma.github.io/Logging_0483/fåglar/A 48253-2022 prioriterade fågelarter.docx", "A 48253-2022")</f>
        <v/>
      </c>
    </row>
    <row r="390" ht="15" customHeight="1">
      <c r="A390" t="inlineStr">
        <is>
          <t>A 50871-2025</t>
        </is>
      </c>
      <c r="B390" t="inlineStr">
        <is>
          <t>avverkningsanmälan</t>
        </is>
      </c>
      <c r="C390" t="inlineStr">
        <is>
          <t>Föryngringsavverkning</t>
        </is>
      </c>
      <c r="D390" s="1" t="n">
        <v>45946</v>
      </c>
      <c r="E390" s="1" t="n">
        <v>46313</v>
      </c>
      <c r="F390" t="inlineStr">
        <is>
          <t>SÖDERMANLANDS LÄN</t>
        </is>
      </c>
      <c r="G390" t="inlineStr">
        <is>
          <t>NYKÖPING</t>
        </is>
      </c>
      <c r="H390" t="inlineStr">
        <is>
          <t>Holmen skog AB</t>
        </is>
      </c>
      <c r="I390" t="n">
        <v>2.1</v>
      </c>
      <c r="J390" t="n">
        <v>1</v>
      </c>
      <c r="K390" t="n">
        <v>0</v>
      </c>
      <c r="L390" t="n">
        <v>0</v>
      </c>
      <c r="M390" t="n">
        <v>0</v>
      </c>
      <c r="N390" t="n">
        <v>0</v>
      </c>
      <c r="O390" t="n">
        <v>0</v>
      </c>
      <c r="P390" t="n">
        <v>0</v>
      </c>
      <c r="Q390" t="n">
        <v>0</v>
      </c>
      <c r="R390" t="n">
        <v>0</v>
      </c>
      <c r="S390" t="n">
        <v>1</v>
      </c>
      <c r="T390" t="n">
        <v>1</v>
      </c>
      <c r="U390" t="n">
        <v>0</v>
      </c>
      <c r="V390" s="2" t="inlineStr">
        <is>
          <t>Nattskärra</t>
        </is>
      </c>
      <c r="W390">
        <f>HYPERLINK("https://klasma.github.io/Logging_0480/artfynd/A 50871-2025 artfynd.xlsx", "A 50871-2025")</f>
        <v/>
      </c>
      <c r="X390">
        <f>HYPERLINK("https://klasma.github.io/Logging_0480/kartor/A 50871-2025 karta.png", "A 50871-2025")</f>
        <v/>
      </c>
      <c r="Y390">
        <f>HYPERLINK("https://klasma.github.io/Logging_0480/kartor_geotiff/A 50871-2025 georefererad karta.tif", "A 50871-2025")</f>
        <v/>
      </c>
      <c r="AA390">
        <f>HYPERLINK("https://klasma.github.io/Logging_0480/klagomål/A 50871-2025 FSC-klagomål.docx", "A 50871-2025")</f>
        <v/>
      </c>
      <c r="AB390">
        <f>HYPERLINK("https://klasma.github.io/Logging_0480/klagomålsmail/A 50871-2025 FSC-klagomål mail.docx", "A 50871-2025")</f>
        <v/>
      </c>
      <c r="AC390">
        <f>HYPERLINK("https://klasma.github.io/Logging_0480/tillsyn/A 50871-2025 tillsynsbegäran.docx", "A 50871-2025")</f>
        <v/>
      </c>
      <c r="AD390">
        <f>HYPERLINK("https://klasma.github.io/Logging_0480/tillsynsmail/A 50871-2025 tillsynsbegäran mail.docx", "A 50871-2025")</f>
        <v/>
      </c>
      <c r="AE390">
        <f>HYPERLINK("https://klasma.github.io/Logging_0480/fåglar/A 50871-2025 prioriterade fågelarter.docx", "A 50871-2025")</f>
        <v/>
      </c>
    </row>
    <row r="391" ht="15" customHeight="1">
      <c r="A391" t="inlineStr">
        <is>
          <t>A 59329-2023</t>
        </is>
      </c>
      <c r="B391" t="inlineStr">
        <is>
          <t>avverkningsanmälan</t>
        </is>
      </c>
      <c r="C391" t="inlineStr">
        <is>
          <t>Föryngringsavverkning</t>
        </is>
      </c>
      <c r="D391" s="1" t="n">
        <v>45252</v>
      </c>
      <c r="E391" s="1" t="n">
        <v>46313</v>
      </c>
      <c r="F391" t="inlineStr">
        <is>
          <t>SÖDERMANLANDS LÄN</t>
        </is>
      </c>
      <c r="G391" t="inlineStr">
        <is>
          <t>NYKÖPING</t>
        </is>
      </c>
      <c r="I391" t="n">
        <v>22.1</v>
      </c>
      <c r="J391" t="n">
        <v>1</v>
      </c>
      <c r="K391" t="n">
        <v>0</v>
      </c>
      <c r="L391" t="n">
        <v>0</v>
      </c>
      <c r="M391" t="n">
        <v>0</v>
      </c>
      <c r="N391" t="n">
        <v>0</v>
      </c>
      <c r="O391" t="n">
        <v>0</v>
      </c>
      <c r="P391" t="n">
        <v>0</v>
      </c>
      <c r="Q391" t="n">
        <v>0</v>
      </c>
      <c r="R391" t="n">
        <v>0</v>
      </c>
      <c r="S391" t="n">
        <v>1</v>
      </c>
      <c r="T391" t="n">
        <v>1</v>
      </c>
      <c r="U391" t="n">
        <v>0</v>
      </c>
      <c r="V391" s="2" t="inlineStr">
        <is>
          <t>Blåsippa</t>
        </is>
      </c>
      <c r="W391">
        <f>HYPERLINK("https://klasma.github.io/Logging_0480/artfynd/A 59329-2023 artfynd.xlsx", "A 59329-2023")</f>
        <v/>
      </c>
      <c r="X391">
        <f>HYPERLINK("https://klasma.github.io/Logging_0480/kartor/A 59329-2023 karta.png", "A 59329-2023")</f>
        <v/>
      </c>
      <c r="Y391">
        <f>HYPERLINK("https://klasma.github.io/Logging_0480/kartor_geotiff/A 59329-2023 georefererad karta.tif", "A 59329-2023")</f>
        <v/>
      </c>
      <c r="AA391">
        <f>HYPERLINK("https://klasma.github.io/Logging_0480/klagomål/A 59329-2023 FSC-klagomål.docx", "A 59329-2023")</f>
        <v/>
      </c>
      <c r="AB391">
        <f>HYPERLINK("https://klasma.github.io/Logging_0480/klagomålsmail/A 59329-2023 FSC-klagomål mail.docx", "A 59329-2023")</f>
        <v/>
      </c>
      <c r="AC391">
        <f>HYPERLINK("https://klasma.github.io/Logging_0480/tillsyn/A 59329-2023 tillsynsbegäran.docx", "A 59329-2023")</f>
        <v/>
      </c>
      <c r="AD391">
        <f>HYPERLINK("https://klasma.github.io/Logging_0480/tillsynsmail/A 59329-2023 tillsynsbegäran mail.docx", "A 59329-2023")</f>
        <v/>
      </c>
    </row>
    <row r="392" ht="15" customHeight="1">
      <c r="A392" t="inlineStr">
        <is>
          <t>A 58185-2025</t>
        </is>
      </c>
      <c r="B392" t="inlineStr">
        <is>
          <t>avverkningsanmälan</t>
        </is>
      </c>
      <c r="C392" t="inlineStr">
        <is>
          <t>Föryngringsavverkning</t>
        </is>
      </c>
      <c r="D392" s="1" t="n">
        <v>45983</v>
      </c>
      <c r="E392" s="1" t="n">
        <v>46313</v>
      </c>
      <c r="F392" t="inlineStr">
        <is>
          <t>SÖDERMANLANDS LÄN</t>
        </is>
      </c>
      <c r="G392" t="inlineStr">
        <is>
          <t>VINGÅKER</t>
        </is>
      </c>
      <c r="I392" t="n">
        <v>4.6</v>
      </c>
      <c r="J392" t="n">
        <v>1</v>
      </c>
      <c r="K392" t="n">
        <v>0</v>
      </c>
      <c r="L392" t="n">
        <v>1</v>
      </c>
      <c r="M392" t="n">
        <v>0</v>
      </c>
      <c r="N392" t="n">
        <v>0</v>
      </c>
      <c r="O392" t="n">
        <v>0</v>
      </c>
      <c r="P392" t="n">
        <v>0</v>
      </c>
      <c r="Q392" t="n">
        <v>1</v>
      </c>
      <c r="R392" t="n">
        <v>0</v>
      </c>
      <c r="S392" t="n">
        <v>1</v>
      </c>
      <c r="T392" t="n">
        <v>1</v>
      </c>
      <c r="U392" t="n">
        <v>0</v>
      </c>
      <c r="V392" s="2" t="inlineStr">
        <is>
          <t>Mindre hackspett</t>
        </is>
      </c>
      <c r="W392">
        <f>HYPERLINK("https://klasma.github.io/Logging_0428/artfynd/A 58185-2025 artfynd.xlsx", "A 58185-2025")</f>
        <v/>
      </c>
      <c r="X392">
        <f>HYPERLINK("https://klasma.github.io/Logging_0428/kartor/A 58185-2025 karta.png", "A 58185-2025")</f>
        <v/>
      </c>
      <c r="Y392">
        <f>HYPERLINK("https://klasma.github.io/Logging_0428/kartor_geotiff/A 58185-2025 georefererad karta.tif", "A 58185-2025")</f>
        <v/>
      </c>
      <c r="AA392">
        <f>HYPERLINK("https://klasma.github.io/Logging_0428/klagomål/A 58185-2025 FSC-klagomål.docx", "A 58185-2025")</f>
        <v/>
      </c>
      <c r="AB392">
        <f>HYPERLINK("https://klasma.github.io/Logging_0428/klagomålsmail/A 58185-2025 FSC-klagomål mail.docx", "A 58185-2025")</f>
        <v/>
      </c>
      <c r="AC392">
        <f>HYPERLINK("https://klasma.github.io/Logging_0428/tillsyn/A 58185-2025 tillsynsbegäran.docx", "A 58185-2025")</f>
        <v/>
      </c>
      <c r="AD392">
        <f>HYPERLINK("https://klasma.github.io/Logging_0428/tillsynsmail/A 58185-2025 tillsynsbegäran mail.docx", "A 58185-2025")</f>
        <v/>
      </c>
      <c r="AE392">
        <f>HYPERLINK("https://klasma.github.io/Logging_0428/fåglar/A 58185-2025 prioriterade fågelarter.docx", "A 58185-2025")</f>
        <v/>
      </c>
    </row>
    <row r="393" ht="15" customHeight="1">
      <c r="A393" t="inlineStr">
        <is>
          <t>A 57938-2025</t>
        </is>
      </c>
      <c r="B393" t="inlineStr">
        <is>
          <t>avverkningsanmälan</t>
        </is>
      </c>
      <c r="C393" t="inlineStr">
        <is>
          <t>Föryngringsavverkning</t>
        </is>
      </c>
      <c r="D393" s="1" t="n">
        <v>45982</v>
      </c>
      <c r="E393" s="1" t="n">
        <v>46313</v>
      </c>
      <c r="F393" t="inlineStr">
        <is>
          <t>SÖDERMANLANDS LÄN</t>
        </is>
      </c>
      <c r="G393" t="inlineStr">
        <is>
          <t>VINGÅKER</t>
        </is>
      </c>
      <c r="I393" t="n">
        <v>4.3</v>
      </c>
      <c r="J393" t="n">
        <v>1</v>
      </c>
      <c r="K393" t="n">
        <v>0</v>
      </c>
      <c r="L393" t="n">
        <v>1</v>
      </c>
      <c r="M393" t="n">
        <v>0</v>
      </c>
      <c r="N393" t="n">
        <v>0</v>
      </c>
      <c r="O393" t="n">
        <v>0</v>
      </c>
      <c r="P393" t="n">
        <v>0</v>
      </c>
      <c r="Q393" t="n">
        <v>1</v>
      </c>
      <c r="R393" t="n">
        <v>0</v>
      </c>
      <c r="S393" t="n">
        <v>1</v>
      </c>
      <c r="T393" t="n">
        <v>1</v>
      </c>
      <c r="U393" t="n">
        <v>0</v>
      </c>
      <c r="V393" s="2" t="inlineStr">
        <is>
          <t>Mindre hackspett</t>
        </is>
      </c>
      <c r="W393">
        <f>HYPERLINK("https://klasma.github.io/Logging_0428/artfynd/A 57938-2025 artfynd.xlsx", "A 57938-2025")</f>
        <v/>
      </c>
      <c r="X393">
        <f>HYPERLINK("https://klasma.github.io/Logging_0428/kartor/A 57938-2025 karta.png", "A 57938-2025")</f>
        <v/>
      </c>
      <c r="Y393">
        <f>HYPERLINK("https://klasma.github.io/Logging_0428/kartor_geotiff/A 57938-2025 georefererad karta.tif", "A 57938-2025")</f>
        <v/>
      </c>
      <c r="AA393">
        <f>HYPERLINK("https://klasma.github.io/Logging_0428/klagomål/A 57938-2025 FSC-klagomål.docx", "A 57938-2025")</f>
        <v/>
      </c>
      <c r="AB393">
        <f>HYPERLINK("https://klasma.github.io/Logging_0428/klagomålsmail/A 57938-2025 FSC-klagomål mail.docx", "A 57938-2025")</f>
        <v/>
      </c>
      <c r="AC393">
        <f>HYPERLINK("https://klasma.github.io/Logging_0428/tillsyn/A 57938-2025 tillsynsbegäran.docx", "A 57938-2025")</f>
        <v/>
      </c>
      <c r="AD393">
        <f>HYPERLINK("https://klasma.github.io/Logging_0428/tillsynsmail/A 57938-2025 tillsynsbegäran mail.docx", "A 57938-2025")</f>
        <v/>
      </c>
      <c r="AE393">
        <f>HYPERLINK("https://klasma.github.io/Logging_0428/fåglar/A 57938-2025 prioriterade fågelarter.docx", "A 57938-2025")</f>
        <v/>
      </c>
    </row>
    <row r="394" ht="15" customHeight="1">
      <c r="A394" t="inlineStr">
        <is>
          <t>A 52384-2025</t>
        </is>
      </c>
      <c r="B394" t="inlineStr">
        <is>
          <t>avverkningsanmälan</t>
        </is>
      </c>
      <c r="C394" t="inlineStr">
        <is>
          <t>Föryngringsavverkning</t>
        </is>
      </c>
      <c r="D394" s="1" t="n">
        <v>45954</v>
      </c>
      <c r="E394" s="1" t="n">
        <v>46313</v>
      </c>
      <c r="F394" t="inlineStr">
        <is>
          <t>SÖDERMANLANDS LÄN</t>
        </is>
      </c>
      <c r="G394" t="inlineStr">
        <is>
          <t>NYKÖPING</t>
        </is>
      </c>
      <c r="H394" t="inlineStr">
        <is>
          <t>Holmen skog AB</t>
        </is>
      </c>
      <c r="I394" t="n">
        <v>1</v>
      </c>
      <c r="J394" t="n">
        <v>1</v>
      </c>
      <c r="K394" t="n">
        <v>0</v>
      </c>
      <c r="L394" t="n">
        <v>0</v>
      </c>
      <c r="M394" t="n">
        <v>0</v>
      </c>
      <c r="N394" t="n">
        <v>0</v>
      </c>
      <c r="O394" t="n">
        <v>0</v>
      </c>
      <c r="P394" t="n">
        <v>0</v>
      </c>
      <c r="Q394" t="n">
        <v>0</v>
      </c>
      <c r="R394" t="n">
        <v>0</v>
      </c>
      <c r="S394" t="n">
        <v>1</v>
      </c>
      <c r="T394" t="n">
        <v>1</v>
      </c>
      <c r="U394" t="n">
        <v>0</v>
      </c>
      <c r="V394" s="2" t="inlineStr">
        <is>
          <t>Törnskata</t>
        </is>
      </c>
      <c r="W394">
        <f>HYPERLINK("https://klasma.github.io/Logging_0480/artfynd/A 52384-2025 artfynd.xlsx", "A 52384-2025")</f>
        <v/>
      </c>
      <c r="X394">
        <f>HYPERLINK("https://klasma.github.io/Logging_0480/kartor/A 52384-2025 karta.png", "A 52384-2025")</f>
        <v/>
      </c>
      <c r="Y394">
        <f>HYPERLINK("https://klasma.github.io/Logging_0480/kartor_geotiff/A 52384-2025 georefererad karta.tif", "A 52384-2025")</f>
        <v/>
      </c>
      <c r="AA394">
        <f>HYPERLINK("https://klasma.github.io/Logging_0480/klagomål/A 52384-2025 FSC-klagomål.docx", "A 52384-2025")</f>
        <v/>
      </c>
      <c r="AB394">
        <f>HYPERLINK("https://klasma.github.io/Logging_0480/klagomålsmail/A 52384-2025 FSC-klagomål mail.docx", "A 52384-2025")</f>
        <v/>
      </c>
      <c r="AC394">
        <f>HYPERLINK("https://klasma.github.io/Logging_0480/tillsyn/A 52384-2025 tillsynsbegäran.docx", "A 52384-2025")</f>
        <v/>
      </c>
      <c r="AD394">
        <f>HYPERLINK("https://klasma.github.io/Logging_0480/tillsynsmail/A 52384-2025 tillsynsbegäran mail.docx", "A 52384-2025")</f>
        <v/>
      </c>
      <c r="AE394">
        <f>HYPERLINK("https://klasma.github.io/Logging_0480/fåglar/A 52384-2025 prioriterade fågelarter.docx", "A 52384-2025")</f>
        <v/>
      </c>
    </row>
    <row r="395" ht="15" customHeight="1">
      <c r="A395" t="inlineStr">
        <is>
          <t>A 34721-2023</t>
        </is>
      </c>
      <c r="B395" t="inlineStr">
        <is>
          <t>avverkningsanmälan</t>
        </is>
      </c>
      <c r="C395" t="inlineStr">
        <is>
          <t>Föryngringsavverkning</t>
        </is>
      </c>
      <c r="D395" s="1" t="n">
        <v>45141</v>
      </c>
      <c r="E395" s="1" t="n">
        <v>46313</v>
      </c>
      <c r="F395" t="inlineStr">
        <is>
          <t>SÖDERMANLANDS LÄN</t>
        </is>
      </c>
      <c r="G395" t="inlineStr">
        <is>
          <t>FLEN</t>
        </is>
      </c>
      <c r="I395" t="n">
        <v>4.1</v>
      </c>
      <c r="J395" t="n">
        <v>0</v>
      </c>
      <c r="K395" t="n">
        <v>0</v>
      </c>
      <c r="L395" t="n">
        <v>1</v>
      </c>
      <c r="M395" t="n">
        <v>0</v>
      </c>
      <c r="N395" t="n">
        <v>0</v>
      </c>
      <c r="O395" t="n">
        <v>0</v>
      </c>
      <c r="P395" t="n">
        <v>0</v>
      </c>
      <c r="Q395" t="n">
        <v>1</v>
      </c>
      <c r="R395" t="n">
        <v>0</v>
      </c>
      <c r="S395" t="n">
        <v>1</v>
      </c>
      <c r="T395" t="n">
        <v>1</v>
      </c>
      <c r="U395" t="n">
        <v>0</v>
      </c>
      <c r="V395" s="2" t="inlineStr">
        <is>
          <t>Gullklöver</t>
        </is>
      </c>
      <c r="W395">
        <f>HYPERLINK("https://klasma.github.io/Logging_0482/artfynd/A 34721-2023 artfynd.xlsx", "A 34721-2023")</f>
        <v/>
      </c>
      <c r="X395">
        <f>HYPERLINK("https://klasma.github.io/Logging_0482/kartor/A 34721-2023 karta.png", "A 34721-2023")</f>
        <v/>
      </c>
      <c r="Y395">
        <f>HYPERLINK("https://klasma.github.io/Logging_0482/kartor_geotiff/A 34721-2023 georefererad karta.tif", "A 34721-2023")</f>
        <v/>
      </c>
      <c r="AA395">
        <f>HYPERLINK("https://klasma.github.io/Logging_0482/klagomål/A 34721-2023 FSC-klagomål.docx", "A 34721-2023")</f>
        <v/>
      </c>
      <c r="AB395">
        <f>HYPERLINK("https://klasma.github.io/Logging_0482/klagomålsmail/A 34721-2023 FSC-klagomål mail.docx", "A 34721-2023")</f>
        <v/>
      </c>
      <c r="AC395">
        <f>HYPERLINK("https://klasma.github.io/Logging_0482/tillsyn/A 34721-2023 tillsynsbegäran.docx", "A 34721-2023")</f>
        <v/>
      </c>
      <c r="AD395">
        <f>HYPERLINK("https://klasma.github.io/Logging_0482/tillsynsmail/A 34721-2023 tillsynsbegäran mail.docx", "A 34721-2023")</f>
        <v/>
      </c>
    </row>
    <row r="396" ht="15" customHeight="1">
      <c r="A396" t="inlineStr">
        <is>
          <t>A 52840-2025</t>
        </is>
      </c>
      <c r="B396" t="inlineStr">
        <is>
          <t>avverkningsanmälan</t>
        </is>
      </c>
      <c r="C396" t="inlineStr">
        <is>
          <t>Föryngringsavverkning</t>
        </is>
      </c>
      <c r="D396" s="1" t="n">
        <v>45957</v>
      </c>
      <c r="E396" s="1" t="n">
        <v>46313</v>
      </c>
      <c r="F396" t="inlineStr">
        <is>
          <t>SÖDERMANLANDS LÄN</t>
        </is>
      </c>
      <c r="G396" t="inlineStr">
        <is>
          <t>ESKILSTUNA</t>
        </is>
      </c>
      <c r="I396" t="n">
        <v>1.3</v>
      </c>
      <c r="J396" t="n">
        <v>0</v>
      </c>
      <c r="K396" t="n">
        <v>0</v>
      </c>
      <c r="L396" t="n">
        <v>0</v>
      </c>
      <c r="M396" t="n">
        <v>1</v>
      </c>
      <c r="N396" t="n">
        <v>0</v>
      </c>
      <c r="O396" t="n">
        <v>0</v>
      </c>
      <c r="P396" t="n">
        <v>0</v>
      </c>
      <c r="Q396" t="n">
        <v>1</v>
      </c>
      <c r="R396" t="n">
        <v>1</v>
      </c>
      <c r="S396" t="n">
        <v>1</v>
      </c>
      <c r="T396" t="n">
        <v>1</v>
      </c>
      <c r="U396" t="n">
        <v>0</v>
      </c>
      <c r="V396" s="2" t="inlineStr">
        <is>
          <t>Skrovlig taggsvamp</t>
        </is>
      </c>
      <c r="W396">
        <f>HYPERLINK("https://klasma.github.io/Logging_0484/artfynd/A 52840-2025 artfynd.xlsx", "A 52840-2025")</f>
        <v/>
      </c>
      <c r="X396">
        <f>HYPERLINK("https://klasma.github.io/Logging_0484/kartor/A 52840-2025 karta.png", "A 52840-2025")</f>
        <v/>
      </c>
      <c r="Y396">
        <f>HYPERLINK("https://klasma.github.io/Logging_0484/kartor_geotiff/A 52840-2025 georefererad karta.tif", "A 52840-2025")</f>
        <v/>
      </c>
      <c r="AA396">
        <f>HYPERLINK("https://klasma.github.io/Logging_0484/klagomål/A 52840-2025 FSC-klagomål.docx", "A 52840-2025")</f>
        <v/>
      </c>
      <c r="AB396">
        <f>HYPERLINK("https://klasma.github.io/Logging_0484/klagomålsmail/A 52840-2025 FSC-klagomål mail.docx", "A 52840-2025")</f>
        <v/>
      </c>
      <c r="AC396">
        <f>HYPERLINK("https://klasma.github.io/Logging_0484/tillsyn/A 52840-2025 tillsynsbegäran.docx", "A 52840-2025")</f>
        <v/>
      </c>
      <c r="AD396">
        <f>HYPERLINK("https://klasma.github.io/Logging_0484/tillsynsmail/A 52840-2025 tillsynsbegäran mail.docx", "A 52840-2025")</f>
        <v/>
      </c>
    </row>
    <row r="397" ht="15" customHeight="1">
      <c r="A397" t="inlineStr">
        <is>
          <t>A 66230-2021</t>
        </is>
      </c>
      <c r="B397" t="inlineStr">
        <is>
          <t>avverkningsanmälan</t>
        </is>
      </c>
      <c r="C397" t="inlineStr">
        <is>
          <t>Föryngringsavverkning</t>
        </is>
      </c>
      <c r="D397" s="1" t="n">
        <v>44518</v>
      </c>
      <c r="E397" s="1" t="n">
        <v>46313</v>
      </c>
      <c r="F397" t="inlineStr">
        <is>
          <t>SÖDERMANLANDS LÄN</t>
        </is>
      </c>
      <c r="G397" t="inlineStr">
        <is>
          <t>FLEN</t>
        </is>
      </c>
      <c r="I397" t="n">
        <v>1.5</v>
      </c>
      <c r="J397" t="n">
        <v>0</v>
      </c>
      <c r="K397" t="n">
        <v>0</v>
      </c>
      <c r="L397" t="n">
        <v>1</v>
      </c>
      <c r="M397" t="n">
        <v>0</v>
      </c>
      <c r="N397" t="n">
        <v>0</v>
      </c>
      <c r="O397" t="n">
        <v>0</v>
      </c>
      <c r="P397" t="n">
        <v>0</v>
      </c>
      <c r="Q397" t="n">
        <v>1</v>
      </c>
      <c r="R397" t="n">
        <v>0</v>
      </c>
      <c r="S397" t="n">
        <v>1</v>
      </c>
      <c r="T397" t="n">
        <v>1</v>
      </c>
      <c r="U397" t="n">
        <v>0</v>
      </c>
      <c r="V397" s="2" t="inlineStr">
        <is>
          <t>Svinrot</t>
        </is>
      </c>
      <c r="W397">
        <f>HYPERLINK("https://klasma.github.io/Logging_0482/artfynd/A 66230-2021 artfynd.xlsx", "A 66230-2021")</f>
        <v/>
      </c>
      <c r="X397">
        <f>HYPERLINK("https://klasma.github.io/Logging_0482/kartor/A 66230-2021 karta.png", "A 66230-2021")</f>
        <v/>
      </c>
      <c r="Y397">
        <f>HYPERLINK("https://klasma.github.io/Logging_0482/kartor_geotiff/A 66230-2021 georefererad karta.tif", "A 66230-2021")</f>
        <v/>
      </c>
      <c r="AA397">
        <f>HYPERLINK("https://klasma.github.io/Logging_0482/klagomål/A 66230-2021 FSC-klagomål.docx", "A 66230-2021")</f>
        <v/>
      </c>
      <c r="AB397">
        <f>HYPERLINK("https://klasma.github.io/Logging_0482/klagomålsmail/A 66230-2021 FSC-klagomål mail.docx", "A 66230-2021")</f>
        <v/>
      </c>
      <c r="AC397">
        <f>HYPERLINK("https://klasma.github.io/Logging_0482/tillsyn/A 66230-2021 tillsynsbegäran.docx", "A 66230-2021")</f>
        <v/>
      </c>
      <c r="AD397">
        <f>HYPERLINK("https://klasma.github.io/Logging_0482/tillsynsmail/A 66230-2021 tillsynsbegäran mail.docx", "A 66230-2021")</f>
        <v/>
      </c>
    </row>
    <row r="398" ht="15" customHeight="1">
      <c r="A398" t="inlineStr">
        <is>
          <t>A 52579-2025</t>
        </is>
      </c>
      <c r="B398" t="inlineStr">
        <is>
          <t>avverkningsanmälan</t>
        </is>
      </c>
      <c r="C398" t="inlineStr">
        <is>
          <t>Föryngringsavverkning</t>
        </is>
      </c>
      <c r="D398" s="1" t="n">
        <v>45954</v>
      </c>
      <c r="E398" s="1" t="n">
        <v>46313</v>
      </c>
      <c r="F398" t="inlineStr">
        <is>
          <t>SÖDERMANLANDS LÄN</t>
        </is>
      </c>
      <c r="G398" t="inlineStr">
        <is>
          <t>FLEN</t>
        </is>
      </c>
      <c r="H398" t="inlineStr">
        <is>
          <t>Holmen skog AB</t>
        </is>
      </c>
      <c r="I398" t="n">
        <v>4.5</v>
      </c>
      <c r="J398" t="n">
        <v>0</v>
      </c>
      <c r="K398" t="n">
        <v>0</v>
      </c>
      <c r="L398" t="n">
        <v>1</v>
      </c>
      <c r="M398" t="n">
        <v>0</v>
      </c>
      <c r="N398" t="n">
        <v>0</v>
      </c>
      <c r="O398" t="n">
        <v>0</v>
      </c>
      <c r="P398" t="n">
        <v>0</v>
      </c>
      <c r="Q398" t="n">
        <v>1</v>
      </c>
      <c r="R398" t="n">
        <v>0</v>
      </c>
      <c r="S398" t="n">
        <v>1</v>
      </c>
      <c r="T398" t="n">
        <v>1</v>
      </c>
      <c r="U398" t="n">
        <v>0</v>
      </c>
      <c r="V398" s="2" t="inlineStr">
        <is>
          <t>Slåtterfibbla</t>
        </is>
      </c>
      <c r="W398">
        <f>HYPERLINK("https://klasma.github.io/Logging_0482/artfynd/A 52579-2025 artfynd.xlsx", "A 52579-2025")</f>
        <v/>
      </c>
      <c r="X398">
        <f>HYPERLINK("https://klasma.github.io/Logging_0482/kartor/A 52579-2025 karta.png", "A 52579-2025")</f>
        <v/>
      </c>
      <c r="Y398">
        <f>HYPERLINK("https://klasma.github.io/Logging_0482/kartor_geotiff/A 52579-2025 georefererad karta.tif", "A 52579-2025")</f>
        <v/>
      </c>
      <c r="AA398">
        <f>HYPERLINK("https://klasma.github.io/Logging_0482/klagomål/A 52579-2025 FSC-klagomål.docx", "A 52579-2025")</f>
        <v/>
      </c>
      <c r="AB398">
        <f>HYPERLINK("https://klasma.github.io/Logging_0482/klagomålsmail/A 52579-2025 FSC-klagomål mail.docx", "A 52579-2025")</f>
        <v/>
      </c>
      <c r="AC398">
        <f>HYPERLINK("https://klasma.github.io/Logging_0482/tillsyn/A 52579-2025 tillsynsbegäran.docx", "A 52579-2025")</f>
        <v/>
      </c>
      <c r="AD398">
        <f>HYPERLINK("https://klasma.github.io/Logging_0482/tillsynsmail/A 52579-2025 tillsynsbegäran mail.docx", "A 52579-2025")</f>
        <v/>
      </c>
    </row>
    <row r="399" ht="15" customHeight="1">
      <c r="A399" t="inlineStr">
        <is>
          <t>A 22495-2026</t>
        </is>
      </c>
      <c r="B399" t="inlineStr">
        <is>
          <t>avverkningsanmälan</t>
        </is>
      </c>
      <c r="C399" t="inlineStr">
        <is>
          <t>Föryngringsavverkning</t>
        </is>
      </c>
      <c r="D399" s="1" t="n">
        <v>46155</v>
      </c>
      <c r="E399" s="1" t="n">
        <v>46313</v>
      </c>
      <c r="F399" t="inlineStr">
        <is>
          <t>SÖDERMANLANDS LÄN</t>
        </is>
      </c>
      <c r="G399" t="inlineStr">
        <is>
          <t>NYKÖPING</t>
        </is>
      </c>
      <c r="H399" t="inlineStr">
        <is>
          <t>Holmen skog AB</t>
        </is>
      </c>
      <c r="I399" t="n">
        <v>2.6</v>
      </c>
      <c r="J399" t="n">
        <v>0</v>
      </c>
      <c r="K399" t="n">
        <v>1</v>
      </c>
      <c r="L399" t="n">
        <v>0</v>
      </c>
      <c r="M399" t="n">
        <v>0</v>
      </c>
      <c r="N399" t="n">
        <v>0</v>
      </c>
      <c r="O399" t="n">
        <v>0</v>
      </c>
      <c r="P399" t="n">
        <v>0</v>
      </c>
      <c r="Q399" t="n">
        <v>0</v>
      </c>
      <c r="R399" t="n">
        <v>0</v>
      </c>
      <c r="S399" t="n">
        <v>1</v>
      </c>
      <c r="T399" t="n">
        <v>1</v>
      </c>
      <c r="U399" t="n">
        <v>0</v>
      </c>
      <c r="V399" s="2" t="inlineStr">
        <is>
          <t>Vedticka</t>
        </is>
      </c>
      <c r="W399">
        <f>HYPERLINK("https://klasma.github.io/Logging_0480/artfynd/A 22495-2026 artfynd.xlsx", "A 22495-2026")</f>
        <v/>
      </c>
      <c r="X399">
        <f>HYPERLINK("https://klasma.github.io/Logging_0480/kartor/A 22495-2026 karta.png", "A 22495-2026")</f>
        <v/>
      </c>
      <c r="Y399">
        <f>HYPERLINK("https://klasma.github.io/Logging_0480/kartor_geotiff/A 22495-2026 georefererad karta.tif", "A 22495-2026")</f>
        <v/>
      </c>
      <c r="AA399">
        <f>HYPERLINK("https://klasma.github.io/Logging_0480/klagomål/A 22495-2026 FSC-klagomål.docx", "A 22495-2026")</f>
        <v/>
      </c>
      <c r="AB399">
        <f>HYPERLINK("https://klasma.github.io/Logging_0480/klagomålsmail/A 22495-2026 FSC-klagomål mail.docx", "A 22495-2026")</f>
        <v/>
      </c>
      <c r="AC399">
        <f>HYPERLINK("https://klasma.github.io/Logging_0480/tillsyn/A 22495-2026 tillsynsbegäran.docx", "A 22495-2026")</f>
        <v/>
      </c>
      <c r="AD399">
        <f>HYPERLINK("https://klasma.github.io/Logging_0480/tillsynsmail/A 22495-2026 tillsynsbegäran mail.docx", "A 22495-2026")</f>
        <v/>
      </c>
    </row>
    <row r="400" ht="15" customHeight="1">
      <c r="A400" t="inlineStr">
        <is>
          <t>A 1242-2022</t>
        </is>
      </c>
      <c r="B400" t="inlineStr">
        <is>
          <t>avverkningsanmälan</t>
        </is>
      </c>
      <c r="C400" t="inlineStr">
        <is>
          <t>Föryngringsavverkning</t>
        </is>
      </c>
      <c r="D400" s="1" t="n">
        <v>44572</v>
      </c>
      <c r="E400" s="1" t="n">
        <v>46313</v>
      </c>
      <c r="F400" t="inlineStr">
        <is>
          <t>SÖDERMANLANDS LÄN</t>
        </is>
      </c>
      <c r="G400" t="inlineStr">
        <is>
          <t>FLEN</t>
        </is>
      </c>
      <c r="H400" t="inlineStr">
        <is>
          <t>Övriga statliga verk och myndigheter</t>
        </is>
      </c>
      <c r="I400" t="n">
        <v>9.300000000000001</v>
      </c>
      <c r="J400" t="n">
        <v>0</v>
      </c>
      <c r="K400" t="n">
        <v>0</v>
      </c>
      <c r="L400" t="n">
        <v>1</v>
      </c>
      <c r="M400" t="n">
        <v>0</v>
      </c>
      <c r="N400" t="n">
        <v>0</v>
      </c>
      <c r="O400" t="n">
        <v>0</v>
      </c>
      <c r="P400" t="n">
        <v>0</v>
      </c>
      <c r="Q400" t="n">
        <v>1</v>
      </c>
      <c r="R400" t="n">
        <v>0</v>
      </c>
      <c r="S400" t="n">
        <v>1</v>
      </c>
      <c r="T400" t="n">
        <v>1</v>
      </c>
      <c r="U400" t="n">
        <v>0</v>
      </c>
      <c r="V400" s="2" t="inlineStr">
        <is>
          <t>Slåtterfibbla</t>
        </is>
      </c>
      <c r="W400">
        <f>HYPERLINK("https://klasma.github.io/Logging_0482/artfynd/A 1242-2022 artfynd.xlsx", "A 1242-2022")</f>
        <v/>
      </c>
      <c r="X400">
        <f>HYPERLINK("https://klasma.github.io/Logging_0482/kartor/A 1242-2022 karta.png", "A 1242-2022")</f>
        <v/>
      </c>
      <c r="Y400">
        <f>HYPERLINK("https://klasma.github.io/Logging_0482/kartor_geotiff/A 1242-2022 georefererad karta.tif", "A 1242-2022")</f>
        <v/>
      </c>
      <c r="AA400">
        <f>HYPERLINK("https://klasma.github.io/Logging_0482/klagomål/A 1242-2022 FSC-klagomål.docx", "A 1242-2022")</f>
        <v/>
      </c>
      <c r="AB400">
        <f>HYPERLINK("https://klasma.github.io/Logging_0482/klagomålsmail/A 1242-2022 FSC-klagomål mail.docx", "A 1242-2022")</f>
        <v/>
      </c>
      <c r="AC400">
        <f>HYPERLINK("https://klasma.github.io/Logging_0482/tillsyn/A 1242-2022 tillsynsbegäran.docx", "A 1242-2022")</f>
        <v/>
      </c>
      <c r="AD400">
        <f>HYPERLINK("https://klasma.github.io/Logging_0482/tillsynsmail/A 1242-2022 tillsynsbegäran mail.docx", "A 1242-2022")</f>
        <v/>
      </c>
    </row>
    <row r="401" ht="15" customHeight="1">
      <c r="A401" t="inlineStr">
        <is>
          <t>A 8387-2024</t>
        </is>
      </c>
      <c r="B401" t="inlineStr">
        <is>
          <t>avverkningsanmälan</t>
        </is>
      </c>
      <c r="C401" t="inlineStr">
        <is>
          <t>Föryngringsavverkning</t>
        </is>
      </c>
      <c r="D401" s="1" t="n">
        <v>45352</v>
      </c>
      <c r="E401" s="1" t="n">
        <v>46313</v>
      </c>
      <c r="F401" t="inlineStr">
        <is>
          <t>SÖDERMANLANDS LÄN</t>
        </is>
      </c>
      <c r="G401" t="inlineStr">
        <is>
          <t>NYKÖPING</t>
        </is>
      </c>
      <c r="H401" t="inlineStr">
        <is>
          <t>Sveaskog</t>
        </is>
      </c>
      <c r="I401" t="n">
        <v>0.6</v>
      </c>
      <c r="J401" t="n">
        <v>1</v>
      </c>
      <c r="K401" t="n">
        <v>0</v>
      </c>
      <c r="L401" t="n">
        <v>1</v>
      </c>
      <c r="M401" t="n">
        <v>0</v>
      </c>
      <c r="N401" t="n">
        <v>0</v>
      </c>
      <c r="O401" t="n">
        <v>0</v>
      </c>
      <c r="P401" t="n">
        <v>0</v>
      </c>
      <c r="Q401" t="n">
        <v>1</v>
      </c>
      <c r="R401" t="n">
        <v>0</v>
      </c>
      <c r="S401" t="n">
        <v>1</v>
      </c>
      <c r="T401" t="n">
        <v>1</v>
      </c>
      <c r="U401" t="n">
        <v>0</v>
      </c>
      <c r="V401" s="2" t="inlineStr">
        <is>
          <t>Gulsparv</t>
        </is>
      </c>
      <c r="W401">
        <f>HYPERLINK("https://klasma.github.io/Logging_0480/artfynd/A 8387-2024 artfynd.xlsx", "A 8387-2024")</f>
        <v/>
      </c>
      <c r="X401">
        <f>HYPERLINK("https://klasma.github.io/Logging_0480/kartor/A 8387-2024 karta.png", "A 8387-2024")</f>
        <v/>
      </c>
      <c r="Y401">
        <f>HYPERLINK("https://klasma.github.io/Logging_0480/kartor_geotiff/A 8387-2024 georefererad karta.tif", "A 8387-2024")</f>
        <v/>
      </c>
      <c r="AA401">
        <f>HYPERLINK("https://klasma.github.io/Logging_0480/klagomål/A 8387-2024 FSC-klagomål.docx", "A 8387-2024")</f>
        <v/>
      </c>
      <c r="AB401">
        <f>HYPERLINK("https://klasma.github.io/Logging_0480/klagomålsmail/A 8387-2024 FSC-klagomål mail.docx", "A 8387-2024")</f>
        <v/>
      </c>
      <c r="AC401">
        <f>HYPERLINK("https://klasma.github.io/Logging_0480/tillsyn/A 8387-2024 tillsynsbegäran.docx", "A 8387-2024")</f>
        <v/>
      </c>
      <c r="AD401">
        <f>HYPERLINK("https://klasma.github.io/Logging_0480/tillsynsmail/A 8387-2024 tillsynsbegäran mail.docx", "A 8387-2024")</f>
        <v/>
      </c>
      <c r="AE401">
        <f>HYPERLINK("https://klasma.github.io/Logging_0480/fåglar/A 8387-2024 prioriterade fågelarter.docx", "A 8387-2024")</f>
        <v/>
      </c>
    </row>
    <row r="402" ht="15" customHeight="1">
      <c r="A402" t="inlineStr">
        <is>
          <t>A 14101-2025</t>
        </is>
      </c>
      <c r="B402" t="inlineStr">
        <is>
          <t>avverkningsanmälan</t>
        </is>
      </c>
      <c r="C402" t="inlineStr">
        <is>
          <t>Föryngringsavverkning</t>
        </is>
      </c>
      <c r="D402" s="1" t="n">
        <v>45740</v>
      </c>
      <c r="E402" s="1" t="n">
        <v>46313</v>
      </c>
      <c r="F402" t="inlineStr">
        <is>
          <t>SÖDERMANLANDS LÄN</t>
        </is>
      </c>
      <c r="G402" t="inlineStr">
        <is>
          <t>FLEN</t>
        </is>
      </c>
      <c r="H402" t="inlineStr">
        <is>
          <t>Övriga statliga verk och myndigheter</t>
        </is>
      </c>
      <c r="I402" t="n">
        <v>1.3</v>
      </c>
      <c r="J402" t="n">
        <v>0</v>
      </c>
      <c r="K402" t="n">
        <v>0</v>
      </c>
      <c r="L402" t="n">
        <v>1</v>
      </c>
      <c r="M402" t="n">
        <v>0</v>
      </c>
      <c r="N402" t="n">
        <v>0</v>
      </c>
      <c r="O402" t="n">
        <v>0</v>
      </c>
      <c r="P402" t="n">
        <v>0</v>
      </c>
      <c r="Q402" t="n">
        <v>1</v>
      </c>
      <c r="R402" t="n">
        <v>0</v>
      </c>
      <c r="S402" t="n">
        <v>1</v>
      </c>
      <c r="T402" t="n">
        <v>1</v>
      </c>
      <c r="U402" t="n">
        <v>0</v>
      </c>
      <c r="V402" s="2" t="inlineStr">
        <is>
          <t>Motaggsvamp</t>
        </is>
      </c>
      <c r="W402">
        <f>HYPERLINK("https://klasma.github.io/Logging_0482/artfynd/A 14101-2025 artfynd.xlsx", "A 14101-2025")</f>
        <v/>
      </c>
      <c r="X402">
        <f>HYPERLINK("https://klasma.github.io/Logging_0482/kartor/A 14101-2025 karta.png", "A 14101-2025")</f>
        <v/>
      </c>
      <c r="Y402">
        <f>HYPERLINK("https://klasma.github.io/Logging_0482/kartor_geotiff/A 14101-2025 georefererad karta.tif", "A 14101-2025")</f>
        <v/>
      </c>
      <c r="AA402">
        <f>HYPERLINK("https://klasma.github.io/Logging_0482/klagomål/A 14101-2025 FSC-klagomål.docx", "A 14101-2025")</f>
        <v/>
      </c>
      <c r="AB402">
        <f>HYPERLINK("https://klasma.github.io/Logging_0482/klagomålsmail/A 14101-2025 FSC-klagomål mail.docx", "A 14101-2025")</f>
        <v/>
      </c>
      <c r="AC402">
        <f>HYPERLINK("https://klasma.github.io/Logging_0482/tillsyn/A 14101-2025 tillsynsbegäran.docx", "A 14101-2025")</f>
        <v/>
      </c>
      <c r="AD402">
        <f>HYPERLINK("https://klasma.github.io/Logging_0482/tillsynsmail/A 14101-2025 tillsynsbegäran mail.docx", "A 14101-2025")</f>
        <v/>
      </c>
    </row>
    <row r="403" ht="15" customHeight="1">
      <c r="A403" t="inlineStr">
        <is>
          <t>A 44413-2024</t>
        </is>
      </c>
      <c r="B403" t="inlineStr">
        <is>
          <t>avverkningsanmälan</t>
        </is>
      </c>
      <c r="C403" t="inlineStr">
        <is>
          <t>Föryngringsavverkning</t>
        </is>
      </c>
      <c r="D403" s="1" t="n">
        <v>45573</v>
      </c>
      <c r="E403" s="1" t="n">
        <v>46313</v>
      </c>
      <c r="F403" t="inlineStr">
        <is>
          <t>SÖDERMANLANDS LÄN</t>
        </is>
      </c>
      <c r="G403" t="inlineStr">
        <is>
          <t>KATRINEHOLM</t>
        </is>
      </c>
      <c r="I403" t="n">
        <v>0.7</v>
      </c>
      <c r="J403" t="n">
        <v>1</v>
      </c>
      <c r="K403" t="n">
        <v>0</v>
      </c>
      <c r="L403" t="n">
        <v>0</v>
      </c>
      <c r="M403" t="n">
        <v>1</v>
      </c>
      <c r="N403" t="n">
        <v>0</v>
      </c>
      <c r="O403" t="n">
        <v>0</v>
      </c>
      <c r="P403" t="n">
        <v>0</v>
      </c>
      <c r="Q403" t="n">
        <v>1</v>
      </c>
      <c r="R403" t="n">
        <v>1</v>
      </c>
      <c r="S403" t="n">
        <v>1</v>
      </c>
      <c r="T403" t="n">
        <v>4</v>
      </c>
      <c r="U403" t="n">
        <v>0</v>
      </c>
      <c r="V403" s="2" t="inlineStr">
        <is>
          <t>Knärot</t>
        </is>
      </c>
      <c r="W403">
        <f>HYPERLINK("https://klasma.github.io/Logging_0483/artfynd/A 44413-2024 artfynd.xlsx", "A 44413-2024")</f>
        <v/>
      </c>
      <c r="X403">
        <f>HYPERLINK("https://klasma.github.io/Logging_0483/kartor/A 44413-2024 karta.png", "A 44413-2024")</f>
        <v/>
      </c>
      <c r="Y403">
        <f>HYPERLINK("https://klasma.github.io/Logging_0483/kartor_geotiff/A 44413-2024 georefererad karta.tif", "A 44413-2024")</f>
        <v/>
      </c>
      <c r="Z403">
        <f>HYPERLINK("https://klasma.github.io/Logging_0483/knärot/A 44413-2024 karta knärot.png", "A 44413-2024")</f>
        <v/>
      </c>
      <c r="AA403">
        <f>HYPERLINK("https://klasma.github.io/Logging_0483/klagomål/A 44413-2024 FSC-klagomål.docx", "A 44413-2024")</f>
        <v/>
      </c>
      <c r="AB403">
        <f>HYPERLINK("https://klasma.github.io/Logging_0483/klagomålsmail/A 44413-2024 FSC-klagomål mail.docx", "A 44413-2024")</f>
        <v/>
      </c>
      <c r="AC403">
        <f>HYPERLINK("https://klasma.github.io/Logging_0483/tillsyn/A 44413-2024 tillsynsbegäran.docx", "A 44413-2024")</f>
        <v/>
      </c>
      <c r="AD403">
        <f>HYPERLINK("https://klasma.github.io/Logging_0483/tillsynsmail/A 44413-2024 tillsynsbegäran mail.docx", "A 44413-2024")</f>
        <v/>
      </c>
    </row>
    <row r="404" ht="15" customHeight="1">
      <c r="A404" t="inlineStr">
        <is>
          <t>A 52320-2023</t>
        </is>
      </c>
      <c r="B404" t="inlineStr">
        <is>
          <t>avverkningsanmälan</t>
        </is>
      </c>
      <c r="C404" t="inlineStr">
        <is>
          <t>Föryngringsavverkning</t>
        </is>
      </c>
      <c r="D404" s="1" t="n">
        <v>45224</v>
      </c>
      <c r="E404" s="1" t="n">
        <v>46313</v>
      </c>
      <c r="F404" t="inlineStr">
        <is>
          <t>SÖDERMANLANDS LÄN</t>
        </is>
      </c>
      <c r="G404" t="inlineStr">
        <is>
          <t>STRÄNGNÄS</t>
        </is>
      </c>
      <c r="I404" t="n">
        <v>1.2</v>
      </c>
      <c r="J404" t="n">
        <v>0</v>
      </c>
      <c r="K404" t="n">
        <v>1</v>
      </c>
      <c r="L404" t="n">
        <v>0</v>
      </c>
      <c r="M404" t="n">
        <v>0</v>
      </c>
      <c r="N404" t="n">
        <v>0</v>
      </c>
      <c r="O404" t="n">
        <v>0</v>
      </c>
      <c r="P404" t="n">
        <v>0</v>
      </c>
      <c r="Q404" t="n">
        <v>0</v>
      </c>
      <c r="R404" t="n">
        <v>0</v>
      </c>
      <c r="S404" t="n">
        <v>1</v>
      </c>
      <c r="T404" t="n">
        <v>1</v>
      </c>
      <c r="U404" t="n">
        <v>0</v>
      </c>
      <c r="V404" s="2" t="inlineStr">
        <is>
          <t>Mindre märgborre</t>
        </is>
      </c>
      <c r="W404">
        <f>HYPERLINK("https://klasma.github.io/Logging_0486/artfynd/A 52320-2023 artfynd.xlsx", "A 52320-2023")</f>
        <v/>
      </c>
      <c r="X404">
        <f>HYPERLINK("https://klasma.github.io/Logging_0486/kartor/A 52320-2023 karta.png", "A 52320-2023")</f>
        <v/>
      </c>
      <c r="Y404">
        <f>HYPERLINK("https://klasma.github.io/Logging_0486/kartor_geotiff/A 52320-2023 georefererad karta.tif", "A 52320-2023")</f>
        <v/>
      </c>
      <c r="AA404">
        <f>HYPERLINK("https://klasma.github.io/Logging_0486/klagomål/A 52320-2023 FSC-klagomål.docx", "A 52320-2023")</f>
        <v/>
      </c>
      <c r="AB404">
        <f>HYPERLINK("https://klasma.github.io/Logging_0486/klagomålsmail/A 52320-2023 FSC-klagomål mail.docx", "A 52320-2023")</f>
        <v/>
      </c>
      <c r="AC404">
        <f>HYPERLINK("https://klasma.github.io/Logging_0486/tillsyn/A 52320-2023 tillsynsbegäran.docx", "A 52320-2023")</f>
        <v/>
      </c>
      <c r="AD404">
        <f>HYPERLINK("https://klasma.github.io/Logging_0486/tillsynsmail/A 52320-2023 tillsynsbegäran mail.docx", "A 52320-2023")</f>
        <v/>
      </c>
    </row>
    <row r="405" ht="15" customHeight="1">
      <c r="A405" t="inlineStr">
        <is>
          <t>A 43246-2024</t>
        </is>
      </c>
      <c r="B405" t="inlineStr">
        <is>
          <t>avverkningsanmälan</t>
        </is>
      </c>
      <c r="C405" t="inlineStr">
        <is>
          <t>Föryngringsavverkning</t>
        </is>
      </c>
      <c r="D405" s="1" t="n">
        <v>45568</v>
      </c>
      <c r="E405" s="1" t="n">
        <v>46313</v>
      </c>
      <c r="F405" t="inlineStr">
        <is>
          <t>SÖDERMANLANDS LÄN</t>
        </is>
      </c>
      <c r="G405" t="inlineStr">
        <is>
          <t>GNESTA</t>
        </is>
      </c>
      <c r="H405" t="inlineStr">
        <is>
          <t>Holmen skog AB</t>
        </is>
      </c>
      <c r="I405" t="n">
        <v>2</v>
      </c>
      <c r="J405" t="n">
        <v>0</v>
      </c>
      <c r="K405" t="n">
        <v>0</v>
      </c>
      <c r="L405" t="n">
        <v>1</v>
      </c>
      <c r="M405" t="n">
        <v>0</v>
      </c>
      <c r="N405" t="n">
        <v>0</v>
      </c>
      <c r="O405" t="n">
        <v>0</v>
      </c>
      <c r="P405" t="n">
        <v>0</v>
      </c>
      <c r="Q405" t="n">
        <v>1</v>
      </c>
      <c r="R405" t="n">
        <v>0</v>
      </c>
      <c r="S405" t="n">
        <v>1</v>
      </c>
      <c r="T405" t="n">
        <v>1</v>
      </c>
      <c r="U405" t="n">
        <v>1</v>
      </c>
      <c r="V405" s="2" t="inlineStr">
        <is>
          <t>Motaggsvamp</t>
        </is>
      </c>
      <c r="W405">
        <f>HYPERLINK("https://klasma.github.io/Logging_0461/artfynd/A 43246-2024 artfynd.xlsx", "A 43246-2024")</f>
        <v/>
      </c>
      <c r="X405">
        <f>HYPERLINK("https://klasma.github.io/Logging_0461/kartor/A 43246-2024 karta.png", "A 43246-2024")</f>
        <v/>
      </c>
      <c r="Y405">
        <f>HYPERLINK("https://klasma.github.io/Logging_0461/kartor_geotiff/A 43246-2024 georefererad karta.tif", "A 43246-2024")</f>
        <v/>
      </c>
      <c r="AA405">
        <f>HYPERLINK("https://klasma.github.io/Logging_0461/klagomål/A 43246-2024 FSC-klagomål.docx", "A 43246-2024")</f>
        <v/>
      </c>
      <c r="AB405">
        <f>HYPERLINK("https://klasma.github.io/Logging_0461/klagomålsmail/A 43246-2024 FSC-klagomål mail.docx", "A 43246-2024")</f>
        <v/>
      </c>
      <c r="AC405">
        <f>HYPERLINK("https://klasma.github.io/Logging_0461/tillsyn/A 43246-2024 tillsynsbegäran.docx", "A 43246-2024")</f>
        <v/>
      </c>
      <c r="AD405">
        <f>HYPERLINK("https://klasma.github.io/Logging_0461/tillsynsmail/A 43246-2024 tillsynsbegäran mail.docx", "A 43246-2024")</f>
        <v/>
      </c>
    </row>
    <row r="406" ht="15" customHeight="1">
      <c r="A406" t="inlineStr">
        <is>
          <t>A 9502-2026</t>
        </is>
      </c>
      <c r="B406" t="inlineStr">
        <is>
          <t>avverkningsanmälan</t>
        </is>
      </c>
      <c r="C406" t="inlineStr">
        <is>
          <t>Föryngringsavverkning</t>
        </is>
      </c>
      <c r="D406" s="1" t="n">
        <v>46071</v>
      </c>
      <c r="E406" s="1" t="n">
        <v>46313</v>
      </c>
      <c r="F406" t="inlineStr">
        <is>
          <t>SÖDERMANLANDS LÄN</t>
        </is>
      </c>
      <c r="G406" t="inlineStr">
        <is>
          <t>GNESTA</t>
        </is>
      </c>
      <c r="I406" t="n">
        <v>8</v>
      </c>
      <c r="J406" t="n">
        <v>0</v>
      </c>
      <c r="K406" t="n">
        <v>1</v>
      </c>
      <c r="L406" t="n">
        <v>0</v>
      </c>
      <c r="M406" t="n">
        <v>0</v>
      </c>
      <c r="N406" t="n">
        <v>0</v>
      </c>
      <c r="O406" t="n">
        <v>0</v>
      </c>
      <c r="P406" t="n">
        <v>0</v>
      </c>
      <c r="Q406" t="n">
        <v>0</v>
      </c>
      <c r="R406" t="n">
        <v>0</v>
      </c>
      <c r="S406" t="n">
        <v>1</v>
      </c>
      <c r="T406" t="n">
        <v>1</v>
      </c>
      <c r="U406" t="n">
        <v>0</v>
      </c>
      <c r="V406" s="2" t="inlineStr">
        <is>
          <t>Rödgul trumpetsvamp</t>
        </is>
      </c>
      <c r="W406">
        <f>HYPERLINK("https://klasma.github.io/Logging_0461/artfynd/A 9502-2026 artfynd.xlsx", "A 9502-2026")</f>
        <v/>
      </c>
      <c r="X406">
        <f>HYPERLINK("https://klasma.github.io/Logging_0461/kartor/A 9502-2026 karta.png", "A 9502-2026")</f>
        <v/>
      </c>
      <c r="Y406">
        <f>HYPERLINK("https://klasma.github.io/Logging_0461/kartor_geotiff/A 9502-2026 georefererad karta.tif", "A 9502-2026")</f>
        <v/>
      </c>
      <c r="AA406">
        <f>HYPERLINK("https://klasma.github.io/Logging_0461/klagomål/A 9502-2026 FSC-klagomål.docx", "A 9502-2026")</f>
        <v/>
      </c>
      <c r="AB406">
        <f>HYPERLINK("https://klasma.github.io/Logging_0461/klagomålsmail/A 9502-2026 FSC-klagomål mail.docx", "A 9502-2026")</f>
        <v/>
      </c>
      <c r="AC406">
        <f>HYPERLINK("https://klasma.github.io/Logging_0461/tillsyn/A 9502-2026 tillsynsbegäran.docx", "A 9502-2026")</f>
        <v/>
      </c>
      <c r="AD406">
        <f>HYPERLINK("https://klasma.github.io/Logging_0461/tillsynsmail/A 9502-2026 tillsynsbegäran mail.docx", "A 9502-2026")</f>
        <v/>
      </c>
    </row>
    <row r="407" ht="15" customHeight="1">
      <c r="A407" t="inlineStr">
        <is>
          <t>A 10550-2026</t>
        </is>
      </c>
      <c r="B407" t="inlineStr">
        <is>
          <t>avverkningsanmälan</t>
        </is>
      </c>
      <c r="C407" t="inlineStr">
        <is>
          <t>Föryngringsavverkning</t>
        </is>
      </c>
      <c r="D407" s="1" t="n">
        <v>46077</v>
      </c>
      <c r="E407" s="1" t="n">
        <v>46313</v>
      </c>
      <c r="F407" t="inlineStr">
        <is>
          <t>SÖDERMANLANDS LÄN</t>
        </is>
      </c>
      <c r="G407" t="inlineStr">
        <is>
          <t>GNESTA</t>
        </is>
      </c>
      <c r="H407" t="inlineStr">
        <is>
          <t>Övriga Aktiebolag</t>
        </is>
      </c>
      <c r="I407" t="n">
        <v>3.8</v>
      </c>
      <c r="J407" t="n">
        <v>0</v>
      </c>
      <c r="K407" t="n">
        <v>0</v>
      </c>
      <c r="L407" t="n">
        <v>1</v>
      </c>
      <c r="M407" t="n">
        <v>0</v>
      </c>
      <c r="N407" t="n">
        <v>0</v>
      </c>
      <c r="O407" t="n">
        <v>0</v>
      </c>
      <c r="P407" t="n">
        <v>0</v>
      </c>
      <c r="Q407" t="n">
        <v>1</v>
      </c>
      <c r="R407" t="n">
        <v>0</v>
      </c>
      <c r="S407" t="n">
        <v>1</v>
      </c>
      <c r="T407" t="n">
        <v>1</v>
      </c>
      <c r="U407" t="n">
        <v>0</v>
      </c>
      <c r="V407" s="2" t="inlineStr">
        <is>
          <t>Svedjenäva</t>
        </is>
      </c>
      <c r="W407">
        <f>HYPERLINK("https://klasma.github.io/Logging_0461/artfynd/A 10550-2026 artfynd.xlsx", "A 10550-2026")</f>
        <v/>
      </c>
      <c r="X407">
        <f>HYPERLINK("https://klasma.github.io/Logging_0461/kartor/A 10550-2026 karta.png", "A 10550-2026")</f>
        <v/>
      </c>
      <c r="Y407">
        <f>HYPERLINK("https://klasma.github.io/Logging_0461/kartor_geotiff/A 10550-2026 georefererad karta.tif", "A 10550-2026")</f>
        <v/>
      </c>
      <c r="AA407">
        <f>HYPERLINK("https://klasma.github.io/Logging_0461/klagomål/A 10550-2026 FSC-klagomål.docx", "A 10550-2026")</f>
        <v/>
      </c>
      <c r="AB407">
        <f>HYPERLINK("https://klasma.github.io/Logging_0461/klagomålsmail/A 10550-2026 FSC-klagomål mail.docx", "A 10550-2026")</f>
        <v/>
      </c>
      <c r="AC407">
        <f>HYPERLINK("https://klasma.github.io/Logging_0461/tillsyn/A 10550-2026 tillsynsbegäran.docx", "A 10550-2026")</f>
        <v/>
      </c>
      <c r="AD407">
        <f>HYPERLINK("https://klasma.github.io/Logging_0461/tillsynsmail/A 10550-2026 tillsynsbegäran mail.docx", "A 10550-2026")</f>
        <v/>
      </c>
    </row>
    <row r="408" ht="15" customHeight="1">
      <c r="A408" t="inlineStr">
        <is>
          <t>A 37317-2023</t>
        </is>
      </c>
      <c r="B408" t="inlineStr">
        <is>
          <t>avverkningsanmälan</t>
        </is>
      </c>
      <c r="C408" t="inlineStr">
        <is>
          <t>Föryngringsavverkning</t>
        </is>
      </c>
      <c r="D408" s="1" t="n">
        <v>45156</v>
      </c>
      <c r="E408" s="1" t="n">
        <v>46313</v>
      </c>
      <c r="F408" t="inlineStr">
        <is>
          <t>SÖDERMANLANDS LÄN</t>
        </is>
      </c>
      <c r="G408" t="inlineStr">
        <is>
          <t>FLEN</t>
        </is>
      </c>
      <c r="H408" t="inlineStr">
        <is>
          <t>Holmen skog AB</t>
        </is>
      </c>
      <c r="I408" t="n">
        <v>5.1</v>
      </c>
      <c r="J408" t="n">
        <v>0</v>
      </c>
      <c r="K408" t="n">
        <v>1</v>
      </c>
      <c r="L408" t="n">
        <v>0</v>
      </c>
      <c r="M408" t="n">
        <v>0</v>
      </c>
      <c r="N408" t="n">
        <v>0</v>
      </c>
      <c r="O408" t="n">
        <v>0</v>
      </c>
      <c r="P408" t="n">
        <v>0</v>
      </c>
      <c r="Q408" t="n">
        <v>0</v>
      </c>
      <c r="R408" t="n">
        <v>0</v>
      </c>
      <c r="S408" t="n">
        <v>1</v>
      </c>
      <c r="T408" t="n">
        <v>1</v>
      </c>
      <c r="U408" t="n">
        <v>0</v>
      </c>
      <c r="V408" s="2" t="inlineStr">
        <is>
          <t>Svavelriska</t>
        </is>
      </c>
      <c r="W408">
        <f>HYPERLINK("https://klasma.github.io/Logging_0482/artfynd/A 37317-2023 artfynd.xlsx", "A 37317-2023")</f>
        <v/>
      </c>
      <c r="X408">
        <f>HYPERLINK("https://klasma.github.io/Logging_0482/kartor/A 37317-2023 karta.png", "A 37317-2023")</f>
        <v/>
      </c>
      <c r="Y408">
        <f>HYPERLINK("https://klasma.github.io/Logging_0482/kartor_geotiff/A 37317-2023 georefererad karta.tif", "A 37317-2023")</f>
        <v/>
      </c>
      <c r="AA408">
        <f>HYPERLINK("https://klasma.github.io/Logging_0482/klagomål/A 37317-2023 FSC-klagomål.docx", "A 37317-2023")</f>
        <v/>
      </c>
      <c r="AB408">
        <f>HYPERLINK("https://klasma.github.io/Logging_0482/klagomålsmail/A 37317-2023 FSC-klagomål mail.docx", "A 37317-2023")</f>
        <v/>
      </c>
      <c r="AC408">
        <f>HYPERLINK("https://klasma.github.io/Logging_0482/tillsyn/A 37317-2023 tillsynsbegäran.docx", "A 37317-2023")</f>
        <v/>
      </c>
      <c r="AD408">
        <f>HYPERLINK("https://klasma.github.io/Logging_0482/tillsynsmail/A 37317-2023 tillsynsbegäran mail.docx", "A 37317-2023")</f>
        <v/>
      </c>
    </row>
    <row r="409" ht="15" customHeight="1">
      <c r="A409" t="inlineStr">
        <is>
          <t>A 59070-2022</t>
        </is>
      </c>
      <c r="B409" t="inlineStr">
        <is>
          <t>avverkningsanmälan</t>
        </is>
      </c>
      <c r="C409" t="inlineStr">
        <is>
          <t>Föryngringsavverkning</t>
        </is>
      </c>
      <c r="D409" s="1" t="n">
        <v>44904</v>
      </c>
      <c r="E409" s="1" t="n">
        <v>46313</v>
      </c>
      <c r="F409" t="inlineStr">
        <is>
          <t>SÖDERMANLANDS LÄN</t>
        </is>
      </c>
      <c r="G409" t="inlineStr">
        <is>
          <t>ESKILSTUNA</t>
        </is>
      </c>
      <c r="I409" t="n">
        <v>6.6</v>
      </c>
      <c r="J409" t="n">
        <v>0</v>
      </c>
      <c r="K409" t="n">
        <v>0</v>
      </c>
      <c r="L409" t="n">
        <v>0</v>
      </c>
      <c r="M409" t="n">
        <v>1</v>
      </c>
      <c r="N409" t="n">
        <v>0</v>
      </c>
      <c r="O409" t="n">
        <v>0</v>
      </c>
      <c r="P409" t="n">
        <v>0</v>
      </c>
      <c r="Q409" t="n">
        <v>1</v>
      </c>
      <c r="R409" t="n">
        <v>1</v>
      </c>
      <c r="S409" t="n">
        <v>1</v>
      </c>
      <c r="T409" t="n">
        <v>1</v>
      </c>
      <c r="U409" t="n">
        <v>1</v>
      </c>
      <c r="V409" s="2" t="inlineStr">
        <is>
          <t>Igelkott</t>
        </is>
      </c>
      <c r="W409">
        <f>HYPERLINK("https://klasma.github.io/Logging_0484/artfynd/A 59070-2022 artfynd.xlsx", "A 59070-2022")</f>
        <v/>
      </c>
      <c r="X409">
        <f>HYPERLINK("https://klasma.github.io/Logging_0484/kartor/A 59070-2022 karta.png", "A 59070-2022")</f>
        <v/>
      </c>
      <c r="Y409">
        <f>HYPERLINK("https://klasma.github.io/Logging_0484/kartor_geotiff/A 59070-2022 georefererad karta.tif", "A 59070-2022")</f>
        <v/>
      </c>
      <c r="AA409">
        <f>HYPERLINK("https://klasma.github.io/Logging_0484/klagomål/A 59070-2022 FSC-klagomål.docx", "A 59070-2022")</f>
        <v/>
      </c>
      <c r="AB409">
        <f>HYPERLINK("https://klasma.github.io/Logging_0484/klagomålsmail/A 59070-2022 FSC-klagomål mail.docx", "A 59070-2022")</f>
        <v/>
      </c>
      <c r="AC409">
        <f>HYPERLINK("https://klasma.github.io/Logging_0484/tillsyn/A 59070-2022 tillsynsbegäran.docx", "A 59070-2022")</f>
        <v/>
      </c>
      <c r="AD409">
        <f>HYPERLINK("https://klasma.github.io/Logging_0484/tillsynsmail/A 59070-2022 tillsynsbegäran mail.docx", "A 59070-2022")</f>
        <v/>
      </c>
    </row>
    <row r="410" ht="15" customHeight="1">
      <c r="A410" t="inlineStr">
        <is>
          <t>A 57251-2025</t>
        </is>
      </c>
      <c r="B410" t="inlineStr">
        <is>
          <t>avverkningsanmälan</t>
        </is>
      </c>
      <c r="C410" t="inlineStr">
        <is>
          <t>Föryngringsavverkning</t>
        </is>
      </c>
      <c r="D410" s="1" t="n">
        <v>45979</v>
      </c>
      <c r="E410" s="1" t="n">
        <v>46313</v>
      </c>
      <c r="F410" t="inlineStr">
        <is>
          <t>SÖDERMANLANDS LÄN</t>
        </is>
      </c>
      <c r="G410" t="inlineStr">
        <is>
          <t>TROSA</t>
        </is>
      </c>
      <c r="H410" t="inlineStr">
        <is>
          <t>Övriga Aktiebolag</t>
        </is>
      </c>
      <c r="I410" t="n">
        <v>1.6</v>
      </c>
      <c r="J410" t="n">
        <v>0</v>
      </c>
      <c r="K410" t="n">
        <v>0</v>
      </c>
      <c r="L410" t="n">
        <v>1</v>
      </c>
      <c r="M410" t="n">
        <v>0</v>
      </c>
      <c r="N410" t="n">
        <v>0</v>
      </c>
      <c r="O410" t="n">
        <v>0</v>
      </c>
      <c r="P410" t="n">
        <v>0</v>
      </c>
      <c r="Q410" t="n">
        <v>1</v>
      </c>
      <c r="R410" t="n">
        <v>0</v>
      </c>
      <c r="S410" t="n">
        <v>1</v>
      </c>
      <c r="T410" t="n">
        <v>1</v>
      </c>
      <c r="U410" t="n">
        <v>0</v>
      </c>
      <c r="V410" s="2" t="inlineStr">
        <is>
          <t>Flattoppad klubbsvamp</t>
        </is>
      </c>
      <c r="W410">
        <f>HYPERLINK("https://klasma.github.io/Logging_0488/artfynd/A 57251-2025 artfynd.xlsx", "A 57251-2025")</f>
        <v/>
      </c>
      <c r="X410">
        <f>HYPERLINK("https://klasma.github.io/Logging_0488/kartor/A 57251-2025 karta.png", "A 57251-2025")</f>
        <v/>
      </c>
      <c r="Y410">
        <f>HYPERLINK("https://klasma.github.io/Logging_0488/kartor_geotiff/A 57251-2025 georefererad karta.tif", "A 57251-2025")</f>
        <v/>
      </c>
      <c r="AA410">
        <f>HYPERLINK("https://klasma.github.io/Logging_0488/klagomål/A 57251-2025 FSC-klagomål.docx", "A 57251-2025")</f>
        <v/>
      </c>
      <c r="AB410">
        <f>HYPERLINK("https://klasma.github.io/Logging_0488/klagomålsmail/A 57251-2025 FSC-klagomål mail.docx", "A 57251-2025")</f>
        <v/>
      </c>
      <c r="AC410">
        <f>HYPERLINK("https://klasma.github.io/Logging_0488/tillsyn/A 57251-2025 tillsynsbegäran.docx", "A 57251-2025")</f>
        <v/>
      </c>
      <c r="AD410">
        <f>HYPERLINK("https://klasma.github.io/Logging_0488/tillsynsmail/A 57251-2025 tillsynsbegäran mail.docx", "A 57251-2025")</f>
        <v/>
      </c>
    </row>
    <row r="411" ht="15" customHeight="1">
      <c r="A411" t="inlineStr">
        <is>
          <t>A 60529-2024</t>
        </is>
      </c>
      <c r="B411" t="inlineStr">
        <is>
          <t>avverkningsanmälan</t>
        </is>
      </c>
      <c r="C411" t="inlineStr">
        <is>
          <t>Föryngringsavverkning</t>
        </is>
      </c>
      <c r="D411" s="1" t="n">
        <v>45643</v>
      </c>
      <c r="E411" s="1" t="n">
        <v>46313</v>
      </c>
      <c r="F411" t="inlineStr">
        <is>
          <t>SÖDERMANLANDS LÄN</t>
        </is>
      </c>
      <c r="G411" t="inlineStr">
        <is>
          <t>FLEN</t>
        </is>
      </c>
      <c r="I411" t="n">
        <v>2.5</v>
      </c>
      <c r="J411" t="n">
        <v>0</v>
      </c>
      <c r="K411" t="n">
        <v>0</v>
      </c>
      <c r="L411" t="n">
        <v>1</v>
      </c>
      <c r="M411" t="n">
        <v>0</v>
      </c>
      <c r="N411" t="n">
        <v>0</v>
      </c>
      <c r="O411" t="n">
        <v>0</v>
      </c>
      <c r="P411" t="n">
        <v>0</v>
      </c>
      <c r="Q411" t="n">
        <v>1</v>
      </c>
      <c r="R411" t="n">
        <v>0</v>
      </c>
      <c r="S411" t="n">
        <v>1</v>
      </c>
      <c r="T411" t="n">
        <v>1</v>
      </c>
      <c r="U411" t="n">
        <v>0</v>
      </c>
      <c r="V411" s="2" t="inlineStr">
        <is>
          <t>Skarp dropptaggsvamp</t>
        </is>
      </c>
      <c r="W411">
        <f>HYPERLINK("https://klasma.github.io/Logging_0482/artfynd/A 60529-2024 artfynd.xlsx", "A 60529-2024")</f>
        <v/>
      </c>
      <c r="X411">
        <f>HYPERLINK("https://klasma.github.io/Logging_0482/kartor/A 60529-2024 karta.png", "A 60529-2024")</f>
        <v/>
      </c>
      <c r="Y411">
        <f>HYPERLINK("https://klasma.github.io/Logging_0482/kartor_geotiff/A 60529-2024 georefererad karta.tif", "A 60529-2024")</f>
        <v/>
      </c>
      <c r="AA411">
        <f>HYPERLINK("https://klasma.github.io/Logging_0482/klagomål/A 60529-2024 FSC-klagomål.docx", "A 60529-2024")</f>
        <v/>
      </c>
      <c r="AB411">
        <f>HYPERLINK("https://klasma.github.io/Logging_0482/klagomålsmail/A 60529-2024 FSC-klagomål mail.docx", "A 60529-2024")</f>
        <v/>
      </c>
      <c r="AC411">
        <f>HYPERLINK("https://klasma.github.io/Logging_0482/tillsyn/A 60529-2024 tillsynsbegäran.docx", "A 60529-2024")</f>
        <v/>
      </c>
      <c r="AD411">
        <f>HYPERLINK("https://klasma.github.io/Logging_0482/tillsynsmail/A 60529-2024 tillsynsbegäran mail.docx", "A 60529-2024")</f>
        <v/>
      </c>
    </row>
    <row r="412" ht="15" customHeight="1">
      <c r="A412" t="inlineStr">
        <is>
          <t>A 38379-2024</t>
        </is>
      </c>
      <c r="B412" t="inlineStr">
        <is>
          <t>avverkningsanmälan</t>
        </is>
      </c>
      <c r="C412" t="inlineStr">
        <is>
          <t>Avverkning för annat ändamål</t>
        </is>
      </c>
      <c r="D412" s="1" t="n">
        <v>45546</v>
      </c>
      <c r="E412" s="1" t="n">
        <v>46313</v>
      </c>
      <c r="F412" t="inlineStr">
        <is>
          <t>SÖDERMANLANDS LÄN</t>
        </is>
      </c>
      <c r="G412" t="inlineStr">
        <is>
          <t>GNESTA</t>
        </is>
      </c>
      <c r="I412" t="n">
        <v>1</v>
      </c>
      <c r="J412" t="n">
        <v>0</v>
      </c>
      <c r="K412" t="n">
        <v>0</v>
      </c>
      <c r="L412" t="n">
        <v>1</v>
      </c>
      <c r="M412" t="n">
        <v>0</v>
      </c>
      <c r="N412" t="n">
        <v>0</v>
      </c>
      <c r="O412" t="n">
        <v>0</v>
      </c>
      <c r="P412" t="n">
        <v>0</v>
      </c>
      <c r="Q412" t="n">
        <v>1</v>
      </c>
      <c r="R412" t="n">
        <v>0</v>
      </c>
      <c r="S412" t="n">
        <v>1</v>
      </c>
      <c r="T412" t="n">
        <v>1</v>
      </c>
      <c r="U412" t="n">
        <v>0</v>
      </c>
      <c r="V412" s="2" t="inlineStr">
        <is>
          <t>Gullklöver</t>
        </is>
      </c>
      <c r="W412">
        <f>HYPERLINK("https://klasma.github.io/Logging_0461/artfynd/A 38379-2024 artfynd.xlsx", "A 38379-2024")</f>
        <v/>
      </c>
      <c r="X412">
        <f>HYPERLINK("https://klasma.github.io/Logging_0461/kartor/A 38379-2024 karta.png", "A 38379-2024")</f>
        <v/>
      </c>
      <c r="Y412">
        <f>HYPERLINK("https://klasma.github.io/Logging_0461/kartor_geotiff/A 38379-2024 georefererad karta.tif", "A 38379-2024")</f>
        <v/>
      </c>
      <c r="AA412">
        <f>HYPERLINK("https://klasma.github.io/Logging_0461/klagomål/A 38379-2024 FSC-klagomål.docx", "A 38379-2024")</f>
        <v/>
      </c>
      <c r="AB412">
        <f>HYPERLINK("https://klasma.github.io/Logging_0461/klagomålsmail/A 38379-2024 FSC-klagomål mail.docx", "A 38379-2024")</f>
        <v/>
      </c>
      <c r="AC412">
        <f>HYPERLINK("https://klasma.github.io/Logging_0461/tillsyn/A 38379-2024 tillsynsbegäran.docx", "A 38379-2024")</f>
        <v/>
      </c>
      <c r="AD412">
        <f>HYPERLINK("https://klasma.github.io/Logging_0461/tillsynsmail/A 38379-2024 tillsynsbegäran mail.docx", "A 38379-2024")</f>
        <v/>
      </c>
    </row>
    <row r="413" ht="15" customHeight="1">
      <c r="A413" t="inlineStr">
        <is>
          <t>A 53339-2023</t>
        </is>
      </c>
      <c r="B413" t="inlineStr">
        <is>
          <t>avverkningsanmälan</t>
        </is>
      </c>
      <c r="C413" t="inlineStr">
        <is>
          <t>Föryngringsavverkning</t>
        </is>
      </c>
      <c r="D413" s="1" t="n">
        <v>45222</v>
      </c>
      <c r="E413" s="1" t="n">
        <v>46313</v>
      </c>
      <c r="F413" t="inlineStr">
        <is>
          <t>SÖDERMANLANDS LÄN</t>
        </is>
      </c>
      <c r="G413" t="inlineStr">
        <is>
          <t>FLEN</t>
        </is>
      </c>
      <c r="I413" t="n">
        <v>1.1</v>
      </c>
      <c r="J413" t="n">
        <v>1</v>
      </c>
      <c r="K413" t="n">
        <v>0</v>
      </c>
      <c r="L413" t="n">
        <v>0</v>
      </c>
      <c r="M413" t="n">
        <v>0</v>
      </c>
      <c r="N413" t="n">
        <v>0</v>
      </c>
      <c r="O413" t="n">
        <v>0</v>
      </c>
      <c r="P413" t="n">
        <v>0</v>
      </c>
      <c r="Q413" t="n">
        <v>0</v>
      </c>
      <c r="R413" t="n">
        <v>0</v>
      </c>
      <c r="S413" t="n">
        <v>1</v>
      </c>
      <c r="T413" t="n">
        <v>1</v>
      </c>
      <c r="U413" t="n">
        <v>1</v>
      </c>
      <c r="V413" s="2" t="inlineStr">
        <is>
          <t>Blåsippa</t>
        </is>
      </c>
      <c r="W413">
        <f>HYPERLINK("https://klasma.github.io/Logging_0482/artfynd/A 53339-2023 artfynd.xlsx", "A 53339-2023")</f>
        <v/>
      </c>
      <c r="X413">
        <f>HYPERLINK("https://klasma.github.io/Logging_0482/kartor/A 53339-2023 karta.png", "A 53339-2023")</f>
        <v/>
      </c>
      <c r="Y413">
        <f>HYPERLINK("https://klasma.github.io/Logging_0482/kartor_geotiff/A 53339-2023 georefererad karta.tif", "A 53339-2023")</f>
        <v/>
      </c>
      <c r="AA413">
        <f>HYPERLINK("https://klasma.github.io/Logging_0482/klagomål/A 53339-2023 FSC-klagomål.docx", "A 53339-2023")</f>
        <v/>
      </c>
      <c r="AB413">
        <f>HYPERLINK("https://klasma.github.io/Logging_0482/klagomålsmail/A 53339-2023 FSC-klagomål mail.docx", "A 53339-2023")</f>
        <v/>
      </c>
      <c r="AC413">
        <f>HYPERLINK("https://klasma.github.io/Logging_0482/tillsyn/A 53339-2023 tillsynsbegäran.docx", "A 53339-2023")</f>
        <v/>
      </c>
      <c r="AD413">
        <f>HYPERLINK("https://klasma.github.io/Logging_0482/tillsynsmail/A 53339-2023 tillsynsbegäran mail.docx", "A 53339-2023")</f>
        <v/>
      </c>
    </row>
    <row r="414" ht="15" customHeight="1">
      <c r="A414" t="inlineStr">
        <is>
          <t>A 7794-2023</t>
        </is>
      </c>
      <c r="B414" t="inlineStr">
        <is>
          <t>avverkningsanmälan</t>
        </is>
      </c>
      <c r="C414" t="inlineStr">
        <is>
          <t>Föryngringsavverkning</t>
        </is>
      </c>
      <c r="D414" s="1" t="n">
        <v>44973</v>
      </c>
      <c r="E414" s="1" t="n">
        <v>46313</v>
      </c>
      <c r="F414" t="inlineStr">
        <is>
          <t>SÖDERMANLANDS LÄN</t>
        </is>
      </c>
      <c r="G414" t="inlineStr">
        <is>
          <t>GNESTA</t>
        </is>
      </c>
      <c r="I414" t="n">
        <v>10.2</v>
      </c>
      <c r="J414" t="n">
        <v>0</v>
      </c>
      <c r="K414" t="n">
        <v>0</v>
      </c>
      <c r="L414" t="n">
        <v>1</v>
      </c>
      <c r="M414" t="n">
        <v>0</v>
      </c>
      <c r="N414" t="n">
        <v>0</v>
      </c>
      <c r="O414" t="n">
        <v>0</v>
      </c>
      <c r="P414" t="n">
        <v>0</v>
      </c>
      <c r="Q414" t="n">
        <v>1</v>
      </c>
      <c r="R414" t="n">
        <v>0</v>
      </c>
      <c r="S414" t="n">
        <v>1</v>
      </c>
      <c r="T414" t="n">
        <v>1</v>
      </c>
      <c r="U414" t="n">
        <v>0</v>
      </c>
      <c r="V414" s="2" t="inlineStr">
        <is>
          <t>Jungfrulin</t>
        </is>
      </c>
      <c r="W414">
        <f>HYPERLINK("https://klasma.github.io/Logging_0461/artfynd/A 7794-2023 artfynd.xlsx", "A 7794-2023")</f>
        <v/>
      </c>
      <c r="X414">
        <f>HYPERLINK("https://klasma.github.io/Logging_0461/kartor/A 7794-2023 karta.png", "A 7794-2023")</f>
        <v/>
      </c>
      <c r="Y414">
        <f>HYPERLINK("https://klasma.github.io/Logging_0461/kartor_geotiff/A 7794-2023 georefererad karta.tif", "A 7794-2023")</f>
        <v/>
      </c>
      <c r="AA414">
        <f>HYPERLINK("https://klasma.github.io/Logging_0461/klagomål/A 7794-2023 FSC-klagomål.docx", "A 7794-2023")</f>
        <v/>
      </c>
      <c r="AB414">
        <f>HYPERLINK("https://klasma.github.io/Logging_0461/klagomålsmail/A 7794-2023 FSC-klagomål mail.docx", "A 7794-2023")</f>
        <v/>
      </c>
      <c r="AC414">
        <f>HYPERLINK("https://klasma.github.io/Logging_0461/tillsyn/A 7794-2023 tillsynsbegäran.docx", "A 7794-2023")</f>
        <v/>
      </c>
      <c r="AD414">
        <f>HYPERLINK("https://klasma.github.io/Logging_0461/tillsynsmail/A 7794-2023 tillsynsbegäran mail.docx", "A 7794-2023")</f>
        <v/>
      </c>
    </row>
    <row r="415" ht="15" customHeight="1">
      <c r="A415" t="inlineStr">
        <is>
          <t>A 59905-2025</t>
        </is>
      </c>
      <c r="B415" t="inlineStr">
        <is>
          <t>avverkningsanmälan</t>
        </is>
      </c>
      <c r="C415" t="inlineStr">
        <is>
          <t>Föryngringsavverkning</t>
        </is>
      </c>
      <c r="D415" s="1" t="n">
        <v>45993</v>
      </c>
      <c r="E415" s="1" t="n">
        <v>46313</v>
      </c>
      <c r="F415" t="inlineStr">
        <is>
          <t>SÖDERMANLANDS LÄN</t>
        </is>
      </c>
      <c r="G415" t="inlineStr">
        <is>
          <t>NYKÖPING</t>
        </is>
      </c>
      <c r="H415" t="inlineStr">
        <is>
          <t>Holmen skog AB</t>
        </is>
      </c>
      <c r="I415" t="n">
        <v>11.7</v>
      </c>
      <c r="J415" t="n">
        <v>0</v>
      </c>
      <c r="K415" t="n">
        <v>0</v>
      </c>
      <c r="L415" t="n">
        <v>1</v>
      </c>
      <c r="M415" t="n">
        <v>0</v>
      </c>
      <c r="N415" t="n">
        <v>0</v>
      </c>
      <c r="O415" t="n">
        <v>0</v>
      </c>
      <c r="P415" t="n">
        <v>0</v>
      </c>
      <c r="Q415" t="n">
        <v>1</v>
      </c>
      <c r="R415" t="n">
        <v>0</v>
      </c>
      <c r="S415" t="n">
        <v>1</v>
      </c>
      <c r="T415" t="n">
        <v>1</v>
      </c>
      <c r="U415" t="n">
        <v>0</v>
      </c>
      <c r="V415" s="2" t="inlineStr">
        <is>
          <t>Kattfotslav</t>
        </is>
      </c>
      <c r="W415">
        <f>HYPERLINK("https://klasma.github.io/Logging_0480/artfynd/A 59905-2025 artfynd.xlsx", "A 59905-2025")</f>
        <v/>
      </c>
      <c r="X415">
        <f>HYPERLINK("https://klasma.github.io/Logging_0480/kartor/A 59905-2025 karta.png", "A 59905-2025")</f>
        <v/>
      </c>
      <c r="Y415">
        <f>HYPERLINK("https://klasma.github.io/Logging_0480/kartor_geotiff/A 59905-2025 georefererad karta.tif", "A 59905-2025")</f>
        <v/>
      </c>
      <c r="AA415">
        <f>HYPERLINK("https://klasma.github.io/Logging_0480/klagomål/A 59905-2025 FSC-klagomål.docx", "A 59905-2025")</f>
        <v/>
      </c>
      <c r="AB415">
        <f>HYPERLINK("https://klasma.github.io/Logging_0480/klagomålsmail/A 59905-2025 FSC-klagomål mail.docx", "A 59905-2025")</f>
        <v/>
      </c>
      <c r="AC415">
        <f>HYPERLINK("https://klasma.github.io/Logging_0480/tillsyn/A 59905-2025 tillsynsbegäran.docx", "A 59905-2025")</f>
        <v/>
      </c>
      <c r="AD415">
        <f>HYPERLINK("https://klasma.github.io/Logging_0480/tillsynsmail/A 59905-2025 tillsynsbegäran mail.docx", "A 59905-2025")</f>
        <v/>
      </c>
    </row>
    <row r="416" ht="15" customHeight="1">
      <c r="A416" t="inlineStr">
        <is>
          <t>A 18879-2023</t>
        </is>
      </c>
      <c r="B416" t="inlineStr">
        <is>
          <t>avverkningsanmälan</t>
        </is>
      </c>
      <c r="C416" t="inlineStr">
        <is>
          <t>Föryngringsavverkning</t>
        </is>
      </c>
      <c r="D416" s="1" t="n">
        <v>45044</v>
      </c>
      <c r="E416" s="1" t="n">
        <v>46313</v>
      </c>
      <c r="F416" t="inlineStr">
        <is>
          <t>SÖDERMANLANDS LÄN</t>
        </is>
      </c>
      <c r="G416" t="inlineStr">
        <is>
          <t>STRÄNGNÄS</t>
        </is>
      </c>
      <c r="I416" t="n">
        <v>1.8</v>
      </c>
      <c r="J416" t="n">
        <v>1</v>
      </c>
      <c r="K416" t="n">
        <v>0</v>
      </c>
      <c r="L416" t="n">
        <v>0</v>
      </c>
      <c r="M416" t="n">
        <v>0</v>
      </c>
      <c r="N416" t="n">
        <v>0</v>
      </c>
      <c r="O416" t="n">
        <v>0</v>
      </c>
      <c r="P416" t="n">
        <v>0</v>
      </c>
      <c r="Q416" t="n">
        <v>0</v>
      </c>
      <c r="R416" t="n">
        <v>0</v>
      </c>
      <c r="S416" t="n">
        <v>1</v>
      </c>
      <c r="T416" t="n">
        <v>1</v>
      </c>
      <c r="U416" t="n">
        <v>0</v>
      </c>
      <c r="V416" s="2" t="inlineStr">
        <is>
          <t>Mistel</t>
        </is>
      </c>
      <c r="W416">
        <f>HYPERLINK("https://klasma.github.io/Logging_0486/artfynd/A 18879-2023 artfynd.xlsx", "A 18879-2023")</f>
        <v/>
      </c>
      <c r="X416">
        <f>HYPERLINK("https://klasma.github.io/Logging_0486/kartor/A 18879-2023 karta.png", "A 18879-2023")</f>
        <v/>
      </c>
      <c r="Y416">
        <f>HYPERLINK("https://klasma.github.io/Logging_0486/kartor_geotiff/A 18879-2023 georefererad karta.tif", "A 18879-2023")</f>
        <v/>
      </c>
      <c r="AA416">
        <f>HYPERLINK("https://klasma.github.io/Logging_0486/klagomål/A 18879-2023 FSC-klagomål.docx", "A 18879-2023")</f>
        <v/>
      </c>
      <c r="AB416">
        <f>HYPERLINK("https://klasma.github.io/Logging_0486/klagomålsmail/A 18879-2023 FSC-klagomål mail.docx", "A 18879-2023")</f>
        <v/>
      </c>
      <c r="AC416">
        <f>HYPERLINK("https://klasma.github.io/Logging_0486/tillsyn/A 18879-2023 tillsynsbegäran.docx", "A 18879-2023")</f>
        <v/>
      </c>
      <c r="AD416">
        <f>HYPERLINK("https://klasma.github.io/Logging_0486/tillsynsmail/A 18879-2023 tillsynsbegäran mail.docx", "A 18879-2023")</f>
        <v/>
      </c>
    </row>
    <row r="417" ht="15" customHeight="1">
      <c r="A417" t="inlineStr">
        <is>
          <t>A 24179-2026</t>
        </is>
      </c>
      <c r="B417" t="inlineStr">
        <is>
          <t>avverkningsanmälan</t>
        </is>
      </c>
      <c r="C417" t="inlineStr">
        <is>
          <t>Föryngringsavverkning</t>
        </is>
      </c>
      <c r="D417" s="1" t="n">
        <v>46168</v>
      </c>
      <c r="E417" s="1" t="n">
        <v>46313</v>
      </c>
      <c r="F417" t="inlineStr">
        <is>
          <t>SÖDERMANLANDS LÄN</t>
        </is>
      </c>
      <c r="G417" t="inlineStr">
        <is>
          <t>FLEN</t>
        </is>
      </c>
      <c r="H417" t="inlineStr">
        <is>
          <t>Holmen skog AB</t>
        </is>
      </c>
      <c r="I417" t="n">
        <v>1.8</v>
      </c>
      <c r="J417" t="n">
        <v>0</v>
      </c>
      <c r="K417" t="n">
        <v>0</v>
      </c>
      <c r="L417" t="n">
        <v>1</v>
      </c>
      <c r="M417" t="n">
        <v>0</v>
      </c>
      <c r="N417" t="n">
        <v>0</v>
      </c>
      <c r="O417" t="n">
        <v>0</v>
      </c>
      <c r="P417" t="n">
        <v>0</v>
      </c>
      <c r="Q417" t="n">
        <v>1</v>
      </c>
      <c r="R417" t="n">
        <v>0</v>
      </c>
      <c r="S417" t="n">
        <v>1</v>
      </c>
      <c r="T417" t="n">
        <v>1</v>
      </c>
      <c r="U417" t="n">
        <v>0</v>
      </c>
      <c r="V417" s="2" t="inlineStr">
        <is>
          <t>Gullklöver</t>
        </is>
      </c>
      <c r="W417">
        <f>HYPERLINK("https://klasma.github.io/Logging_0482/artfynd/A 24179-2026 artfynd.xlsx", "A 24179-2026")</f>
        <v/>
      </c>
      <c r="X417">
        <f>HYPERLINK("https://klasma.github.io/Logging_0482/kartor/A 24179-2026 karta.png", "A 24179-2026")</f>
        <v/>
      </c>
      <c r="Y417">
        <f>HYPERLINK("https://klasma.github.io/Logging_0482/kartor_geotiff/A 24179-2026 georefererad karta.tif", "A 24179-2026")</f>
        <v/>
      </c>
      <c r="AA417">
        <f>HYPERLINK("https://klasma.github.io/Logging_0482/klagomål/A 24179-2026 FSC-klagomål.docx", "A 24179-2026")</f>
        <v/>
      </c>
      <c r="AB417">
        <f>HYPERLINK("https://klasma.github.io/Logging_0482/klagomålsmail/A 24179-2026 FSC-klagomål mail.docx", "A 24179-2026")</f>
        <v/>
      </c>
      <c r="AC417">
        <f>HYPERLINK("https://klasma.github.io/Logging_0482/tillsyn/A 24179-2026 tillsynsbegäran.docx", "A 24179-2026")</f>
        <v/>
      </c>
      <c r="AD417">
        <f>HYPERLINK("https://klasma.github.io/Logging_0482/tillsynsmail/A 24179-2026 tillsynsbegäran mail.docx", "A 24179-2026")</f>
        <v/>
      </c>
    </row>
    <row r="418" ht="15" customHeight="1">
      <c r="A418" t="inlineStr">
        <is>
          <t>A 4903-2022</t>
        </is>
      </c>
      <c r="B418" t="inlineStr">
        <is>
          <t>avverkningsanmälan</t>
        </is>
      </c>
      <c r="C418" t="inlineStr">
        <is>
          <t>Föryngringsavverkning</t>
        </is>
      </c>
      <c r="D418" s="1" t="n">
        <v>44593</v>
      </c>
      <c r="E418" s="1" t="n">
        <v>46313</v>
      </c>
      <c r="F418" t="inlineStr">
        <is>
          <t>SÖDERMANLANDS LÄN</t>
        </is>
      </c>
      <c r="G418" t="inlineStr">
        <is>
          <t>NYKÖPING</t>
        </is>
      </c>
      <c r="I418" t="n">
        <v>2.7</v>
      </c>
      <c r="J418" t="n">
        <v>1</v>
      </c>
      <c r="K418" t="n">
        <v>0</v>
      </c>
      <c r="L418" t="n">
        <v>0</v>
      </c>
      <c r="M418" t="n">
        <v>1</v>
      </c>
      <c r="N418" t="n">
        <v>0</v>
      </c>
      <c r="O418" t="n">
        <v>0</v>
      </c>
      <c r="P418" t="n">
        <v>0</v>
      </c>
      <c r="Q418" t="n">
        <v>1</v>
      </c>
      <c r="R418" t="n">
        <v>1</v>
      </c>
      <c r="S418" t="n">
        <v>1</v>
      </c>
      <c r="T418" t="n">
        <v>1</v>
      </c>
      <c r="U418" t="n">
        <v>1</v>
      </c>
      <c r="V418" s="2" t="inlineStr">
        <is>
          <t>Knärot</t>
        </is>
      </c>
      <c r="W418">
        <f>HYPERLINK("https://klasma.github.io/Logging_0480/artfynd/A 4903-2022 artfynd.xlsx", "A 4903-2022")</f>
        <v/>
      </c>
      <c r="X418">
        <f>HYPERLINK("https://klasma.github.io/Logging_0480/kartor/A 4903-2022 karta.png", "A 4903-2022")</f>
        <v/>
      </c>
      <c r="Y418">
        <f>HYPERLINK("https://klasma.github.io/Logging_0480/kartor_geotiff/A 4903-2022 georefererad karta.tif", "A 4903-2022")</f>
        <v/>
      </c>
      <c r="Z418">
        <f>HYPERLINK("https://klasma.github.io/Logging_0480/knärot/A 4903-2022 karta knärot.png", "A 4903-2022")</f>
        <v/>
      </c>
      <c r="AA418">
        <f>HYPERLINK("https://klasma.github.io/Logging_0480/klagomål/A 4903-2022 FSC-klagomål.docx", "A 4903-2022")</f>
        <v/>
      </c>
      <c r="AB418">
        <f>HYPERLINK("https://klasma.github.io/Logging_0480/klagomålsmail/A 4903-2022 FSC-klagomål mail.docx", "A 4903-2022")</f>
        <v/>
      </c>
      <c r="AC418">
        <f>HYPERLINK("https://klasma.github.io/Logging_0480/tillsyn/A 4903-2022 tillsynsbegäran.docx", "A 4903-2022")</f>
        <v/>
      </c>
      <c r="AD418">
        <f>HYPERLINK("https://klasma.github.io/Logging_0480/tillsynsmail/A 4903-2022 tillsynsbegäran mail.docx", "A 4903-2022")</f>
        <v/>
      </c>
    </row>
    <row r="419" ht="15" customHeight="1">
      <c r="A419" t="inlineStr">
        <is>
          <t>A 7661-2023</t>
        </is>
      </c>
      <c r="B419" t="inlineStr">
        <is>
          <t>avverkningsanmälan</t>
        </is>
      </c>
      <c r="C419" t="inlineStr">
        <is>
          <t>Föryngringsavverkning</t>
        </is>
      </c>
      <c r="D419" s="1" t="n">
        <v>44972</v>
      </c>
      <c r="E419" s="1" t="n">
        <v>46313</v>
      </c>
      <c r="F419" t="inlineStr">
        <is>
          <t>SÖDERMANLANDS LÄN</t>
        </is>
      </c>
      <c r="G419" t="inlineStr">
        <is>
          <t>GNESTA</t>
        </is>
      </c>
      <c r="I419" t="n">
        <v>2</v>
      </c>
      <c r="J419" t="n">
        <v>1</v>
      </c>
      <c r="K419" t="n">
        <v>0</v>
      </c>
      <c r="L419" t="n">
        <v>0</v>
      </c>
      <c r="M419" t="n">
        <v>0</v>
      </c>
      <c r="N419" t="n">
        <v>0</v>
      </c>
      <c r="O419" t="n">
        <v>0</v>
      </c>
      <c r="P419" t="n">
        <v>0</v>
      </c>
      <c r="Q419" t="n">
        <v>0</v>
      </c>
      <c r="R419" t="n">
        <v>0</v>
      </c>
      <c r="S419" t="n">
        <v>1</v>
      </c>
      <c r="T419" t="n">
        <v>1</v>
      </c>
      <c r="U419" t="n">
        <v>0</v>
      </c>
      <c r="V419" s="2" t="inlineStr">
        <is>
          <t>Blåsippa</t>
        </is>
      </c>
      <c r="W419">
        <f>HYPERLINK("https://klasma.github.io/Logging_0461/artfynd/A 7661-2023 artfynd.xlsx", "A 7661-2023")</f>
        <v/>
      </c>
      <c r="X419">
        <f>HYPERLINK("https://klasma.github.io/Logging_0461/kartor/A 7661-2023 karta.png", "A 7661-2023")</f>
        <v/>
      </c>
      <c r="Y419">
        <f>HYPERLINK("https://klasma.github.io/Logging_0461/kartor_geotiff/A 7661-2023 georefererad karta.tif", "A 7661-2023")</f>
        <v/>
      </c>
      <c r="AA419">
        <f>HYPERLINK("https://klasma.github.io/Logging_0461/klagomål/A 7661-2023 FSC-klagomål.docx", "A 7661-2023")</f>
        <v/>
      </c>
      <c r="AB419">
        <f>HYPERLINK("https://klasma.github.io/Logging_0461/klagomålsmail/A 7661-2023 FSC-klagomål mail.docx", "A 7661-2023")</f>
        <v/>
      </c>
      <c r="AC419">
        <f>HYPERLINK("https://klasma.github.io/Logging_0461/tillsyn/A 7661-2023 tillsynsbegäran.docx", "A 7661-2023")</f>
        <v/>
      </c>
      <c r="AD419">
        <f>HYPERLINK("https://klasma.github.io/Logging_0461/tillsynsmail/A 7661-2023 tillsynsbegäran mail.docx", "A 7661-2023")</f>
        <v/>
      </c>
    </row>
    <row r="420" ht="15" customHeight="1">
      <c r="A420" t="inlineStr">
        <is>
          <t>A 9303-2023</t>
        </is>
      </c>
      <c r="B420" t="inlineStr">
        <is>
          <t>avverkningsanmälan</t>
        </is>
      </c>
      <c r="C420" t="inlineStr">
        <is>
          <t>Föryngringsavverkning</t>
        </is>
      </c>
      <c r="D420" s="1" t="n">
        <v>44980</v>
      </c>
      <c r="E420" s="1" t="n">
        <v>46313</v>
      </c>
      <c r="F420" t="inlineStr">
        <is>
          <t>SÖDERMANLANDS LÄN</t>
        </is>
      </c>
      <c r="G420" t="inlineStr">
        <is>
          <t>GNESTA</t>
        </is>
      </c>
      <c r="I420" t="n">
        <v>0.7</v>
      </c>
      <c r="J420" t="n">
        <v>0</v>
      </c>
      <c r="K420" t="n">
        <v>1</v>
      </c>
      <c r="L420" t="n">
        <v>0</v>
      </c>
      <c r="M420" t="n">
        <v>0</v>
      </c>
      <c r="N420" t="n">
        <v>0</v>
      </c>
      <c r="O420" t="n">
        <v>0</v>
      </c>
      <c r="P420" t="n">
        <v>0</v>
      </c>
      <c r="Q420" t="n">
        <v>0</v>
      </c>
      <c r="R420" t="n">
        <v>0</v>
      </c>
      <c r="S420" t="n">
        <v>1</v>
      </c>
      <c r="T420" t="n">
        <v>1</v>
      </c>
      <c r="U420" t="n">
        <v>1</v>
      </c>
      <c r="V420" s="2" t="inlineStr">
        <is>
          <t>Zontaggsvamp</t>
        </is>
      </c>
      <c r="W420">
        <f>HYPERLINK("https://klasma.github.io/Logging_0461/artfynd/A 9303-2023 artfynd.xlsx", "A 9303-2023")</f>
        <v/>
      </c>
      <c r="X420">
        <f>HYPERLINK("https://klasma.github.io/Logging_0461/kartor/A 9303-2023 karta.png", "A 9303-2023")</f>
        <v/>
      </c>
      <c r="Y420">
        <f>HYPERLINK("https://klasma.github.io/Logging_0461/kartor_geotiff/A 9303-2023 georefererad karta.tif", "A 9303-2023")</f>
        <v/>
      </c>
      <c r="AA420">
        <f>HYPERLINK("https://klasma.github.io/Logging_0461/klagomål/A 9303-2023 FSC-klagomål.docx", "A 9303-2023")</f>
        <v/>
      </c>
      <c r="AB420">
        <f>HYPERLINK("https://klasma.github.io/Logging_0461/klagomålsmail/A 9303-2023 FSC-klagomål mail.docx", "A 9303-2023")</f>
        <v/>
      </c>
      <c r="AC420">
        <f>HYPERLINK("https://klasma.github.io/Logging_0461/tillsyn/A 9303-2023 tillsynsbegäran.docx", "A 9303-2023")</f>
        <v/>
      </c>
      <c r="AD420">
        <f>HYPERLINK("https://klasma.github.io/Logging_0461/tillsynsmail/A 9303-2023 tillsynsbegäran mail.docx", "A 9303-2023")</f>
        <v/>
      </c>
    </row>
    <row r="421" ht="15" customHeight="1">
      <c r="A421" t="inlineStr">
        <is>
          <t>A 13848-2026</t>
        </is>
      </c>
      <c r="B421" t="inlineStr">
        <is>
          <t>avverkningsanmälan</t>
        </is>
      </c>
      <c r="C421" t="inlineStr">
        <is>
          <t>Föryngringsavverkning</t>
        </is>
      </c>
      <c r="D421" s="1" t="n">
        <v>46098</v>
      </c>
      <c r="E421" s="1" t="n">
        <v>46313</v>
      </c>
      <c r="F421" t="inlineStr">
        <is>
          <t>SÖDERMANLANDS LÄN</t>
        </is>
      </c>
      <c r="G421" t="inlineStr">
        <is>
          <t>KATRINEHOLM</t>
        </is>
      </c>
      <c r="I421" t="n">
        <v>3.1</v>
      </c>
      <c r="J421" t="n">
        <v>1</v>
      </c>
      <c r="K421" t="n">
        <v>0</v>
      </c>
      <c r="L421" t="n">
        <v>0</v>
      </c>
      <c r="M421" t="n">
        <v>0</v>
      </c>
      <c r="N421" t="n">
        <v>0</v>
      </c>
      <c r="O421" t="n">
        <v>0</v>
      </c>
      <c r="P421" t="n">
        <v>0</v>
      </c>
      <c r="Q421" t="n">
        <v>0</v>
      </c>
      <c r="R421" t="n">
        <v>0</v>
      </c>
      <c r="S421" t="n">
        <v>1</v>
      </c>
      <c r="T421" t="n">
        <v>1</v>
      </c>
      <c r="U421" t="n">
        <v>0</v>
      </c>
      <c r="V421" s="2" t="inlineStr">
        <is>
          <t>Gröngöling</t>
        </is>
      </c>
      <c r="W421">
        <f>HYPERLINK("https://klasma.github.io/Logging_0483/artfynd/A 13848-2026 artfynd.xlsx", "A 13848-2026")</f>
        <v/>
      </c>
      <c r="X421">
        <f>HYPERLINK("https://klasma.github.io/Logging_0483/kartor/A 13848-2026 karta.png", "A 13848-2026")</f>
        <v/>
      </c>
      <c r="Y421">
        <f>HYPERLINK("https://klasma.github.io/Logging_0483/kartor_geotiff/A 13848-2026 georefererad karta.tif", "A 13848-2026")</f>
        <v/>
      </c>
      <c r="AA421">
        <f>HYPERLINK("https://klasma.github.io/Logging_0483/klagomål/A 13848-2026 FSC-klagomål.docx", "A 13848-2026")</f>
        <v/>
      </c>
      <c r="AB421">
        <f>HYPERLINK("https://klasma.github.io/Logging_0483/klagomålsmail/A 13848-2026 FSC-klagomål mail.docx", "A 13848-2026")</f>
        <v/>
      </c>
      <c r="AC421">
        <f>HYPERLINK("https://klasma.github.io/Logging_0483/tillsyn/A 13848-2026 tillsynsbegäran.docx", "A 13848-2026")</f>
        <v/>
      </c>
      <c r="AD421">
        <f>HYPERLINK("https://klasma.github.io/Logging_0483/tillsynsmail/A 13848-2026 tillsynsbegäran mail.docx", "A 13848-2026")</f>
        <v/>
      </c>
    </row>
    <row r="422" ht="15" customHeight="1">
      <c r="A422" t="inlineStr">
        <is>
          <t>A 42345-2025</t>
        </is>
      </c>
      <c r="B422" t="inlineStr">
        <is>
          <t>avverkningsanmälan</t>
        </is>
      </c>
      <c r="C422" t="inlineStr">
        <is>
          <t>Avverkning för annat ändamål</t>
        </is>
      </c>
      <c r="D422" s="1" t="n">
        <v>45904</v>
      </c>
      <c r="E422" s="1" t="n">
        <v>46313</v>
      </c>
      <c r="F422" t="inlineStr">
        <is>
          <t>SÖDERMANLANDS LÄN</t>
        </is>
      </c>
      <c r="G422" t="inlineStr">
        <is>
          <t>STRÄNGNÄS</t>
        </is>
      </c>
      <c r="I422" t="n">
        <v>5</v>
      </c>
      <c r="J422" t="n">
        <v>0</v>
      </c>
      <c r="K422" t="n">
        <v>0</v>
      </c>
      <c r="L422" t="n">
        <v>0</v>
      </c>
      <c r="M422" t="n">
        <v>0</v>
      </c>
      <c r="N422" t="n">
        <v>1</v>
      </c>
      <c r="O422" t="n">
        <v>0</v>
      </c>
      <c r="P422" t="n">
        <v>0</v>
      </c>
      <c r="Q422" t="n">
        <v>1</v>
      </c>
      <c r="R422" t="n">
        <v>1</v>
      </c>
      <c r="S422" t="n">
        <v>1</v>
      </c>
      <c r="T422" t="n">
        <v>1</v>
      </c>
      <c r="U422" t="n">
        <v>0</v>
      </c>
      <c r="V422" s="2" t="inlineStr">
        <is>
          <t>Ask</t>
        </is>
      </c>
      <c r="W422">
        <f>HYPERLINK("https://klasma.github.io/Logging_0486/artfynd/A 42345-2025 artfynd.xlsx", "A 42345-2025")</f>
        <v/>
      </c>
      <c r="X422">
        <f>HYPERLINK("https://klasma.github.io/Logging_0486/kartor/A 42345-2025 karta.png", "A 42345-2025")</f>
        <v/>
      </c>
      <c r="Y422">
        <f>HYPERLINK("https://klasma.github.io/Logging_0486/kartor_geotiff/A 42345-2025 georefererad karta.tif", "A 42345-2025")</f>
        <v/>
      </c>
      <c r="AA422">
        <f>HYPERLINK("https://klasma.github.io/Logging_0486/klagomål/A 42345-2025 FSC-klagomål.docx", "A 42345-2025")</f>
        <v/>
      </c>
      <c r="AB422">
        <f>HYPERLINK("https://klasma.github.io/Logging_0486/klagomålsmail/A 42345-2025 FSC-klagomål mail.docx", "A 42345-2025")</f>
        <v/>
      </c>
      <c r="AC422">
        <f>HYPERLINK("https://klasma.github.io/Logging_0486/tillsyn/A 42345-2025 tillsynsbegäran.docx", "A 42345-2025")</f>
        <v/>
      </c>
      <c r="AD422">
        <f>HYPERLINK("https://klasma.github.io/Logging_0486/tillsynsmail/A 42345-2025 tillsynsbegäran mail.docx", "A 42345-2025")</f>
        <v/>
      </c>
    </row>
    <row r="423" ht="15" customHeight="1">
      <c r="A423" t="inlineStr">
        <is>
          <t>A 33825-2022</t>
        </is>
      </c>
      <c r="B423" t="inlineStr">
        <is>
          <t>avverkningsanmälan</t>
        </is>
      </c>
      <c r="C423" t="inlineStr">
        <is>
          <t>Föryngringsavverkning</t>
        </is>
      </c>
      <c r="D423" s="1" t="n">
        <v>44790</v>
      </c>
      <c r="E423" s="1" t="n">
        <v>46313</v>
      </c>
      <c r="F423" t="inlineStr">
        <is>
          <t>SÖDERMANLANDS LÄN</t>
        </is>
      </c>
      <c r="G423" t="inlineStr">
        <is>
          <t>GNESTA</t>
        </is>
      </c>
      <c r="I423" t="n">
        <v>5.7</v>
      </c>
      <c r="J423" t="n">
        <v>1</v>
      </c>
      <c r="K423" t="n">
        <v>0</v>
      </c>
      <c r="L423" t="n">
        <v>0</v>
      </c>
      <c r="M423" t="n">
        <v>0</v>
      </c>
      <c r="N423" t="n">
        <v>0</v>
      </c>
      <c r="O423" t="n">
        <v>0</v>
      </c>
      <c r="P423" t="n">
        <v>0</v>
      </c>
      <c r="Q423" t="n">
        <v>0</v>
      </c>
      <c r="R423" t="n">
        <v>0</v>
      </c>
      <c r="S423" t="n">
        <v>1</v>
      </c>
      <c r="T423" t="n">
        <v>1</v>
      </c>
      <c r="U423" t="n">
        <v>0</v>
      </c>
      <c r="V423" s="2" t="inlineStr">
        <is>
          <t>Mattlummer</t>
        </is>
      </c>
      <c r="W423">
        <f>HYPERLINK("https://klasma.github.io/Logging_0461/artfynd/A 33825-2022 artfynd.xlsx", "A 33825-2022")</f>
        <v/>
      </c>
      <c r="X423">
        <f>HYPERLINK("https://klasma.github.io/Logging_0461/kartor/A 33825-2022 karta.png", "A 33825-2022")</f>
        <v/>
      </c>
      <c r="Y423">
        <f>HYPERLINK("https://klasma.github.io/Logging_0461/kartor_geotiff/A 33825-2022 georefererad karta.tif", "A 33825-2022")</f>
        <v/>
      </c>
      <c r="AA423">
        <f>HYPERLINK("https://klasma.github.io/Logging_0461/klagomål/A 33825-2022 FSC-klagomål.docx", "A 33825-2022")</f>
        <v/>
      </c>
      <c r="AB423">
        <f>HYPERLINK("https://klasma.github.io/Logging_0461/klagomålsmail/A 33825-2022 FSC-klagomål mail.docx", "A 33825-2022")</f>
        <v/>
      </c>
      <c r="AC423">
        <f>HYPERLINK("https://klasma.github.io/Logging_0461/tillsyn/A 33825-2022 tillsynsbegäran.docx", "A 33825-2022")</f>
        <v/>
      </c>
      <c r="AD423">
        <f>HYPERLINK("https://klasma.github.io/Logging_0461/tillsynsmail/A 33825-2022 tillsynsbegäran mail.docx", "A 33825-2022")</f>
        <v/>
      </c>
    </row>
    <row r="424" ht="15" customHeight="1">
      <c r="A424" t="inlineStr">
        <is>
          <t>A 63945-2025</t>
        </is>
      </c>
      <c r="B424" t="inlineStr">
        <is>
          <t>avverkningsanmälan</t>
        </is>
      </c>
      <c r="C424" t="inlineStr">
        <is>
          <t>Föryngringsavverkning</t>
        </is>
      </c>
      <c r="D424" s="1" t="n">
        <v>46010</v>
      </c>
      <c r="E424" s="1" t="n">
        <v>46313</v>
      </c>
      <c r="F424" t="inlineStr">
        <is>
          <t>SÖDERMANLANDS LÄN</t>
        </is>
      </c>
      <c r="G424" t="inlineStr">
        <is>
          <t>KATRINEHOLM</t>
        </is>
      </c>
      <c r="H424" t="inlineStr">
        <is>
          <t>Allmännings- och besparingsskogar</t>
        </is>
      </c>
      <c r="I424" t="n">
        <v>1.2</v>
      </c>
      <c r="J424" t="n">
        <v>1</v>
      </c>
      <c r="K424" t="n">
        <v>0</v>
      </c>
      <c r="L424" t="n">
        <v>0</v>
      </c>
      <c r="M424" t="n">
        <v>0</v>
      </c>
      <c r="N424" t="n">
        <v>0</v>
      </c>
      <c r="O424" t="n">
        <v>0</v>
      </c>
      <c r="P424" t="n">
        <v>0</v>
      </c>
      <c r="Q424" t="n">
        <v>0</v>
      </c>
      <c r="R424" t="n">
        <v>0</v>
      </c>
      <c r="S424" t="n">
        <v>1</v>
      </c>
      <c r="T424" t="n">
        <v>1</v>
      </c>
      <c r="U424" t="n">
        <v>1</v>
      </c>
      <c r="V424" s="2" t="inlineStr">
        <is>
          <t>Tjäder</t>
        </is>
      </c>
      <c r="W424">
        <f>HYPERLINK("https://klasma.github.io/Logging_0483/artfynd/A 63945-2025 artfynd.xlsx", "A 63945-2025")</f>
        <v/>
      </c>
      <c r="X424">
        <f>HYPERLINK("https://klasma.github.io/Logging_0483/kartor/A 63945-2025 karta.png", "A 63945-2025")</f>
        <v/>
      </c>
      <c r="Y424">
        <f>HYPERLINK("https://klasma.github.io/Logging_0483/kartor_geotiff/A 63945-2025 georefererad karta.tif", "A 63945-2025")</f>
        <v/>
      </c>
      <c r="AA424">
        <f>HYPERLINK("https://klasma.github.io/Logging_0483/klagomål/A 63945-2025 FSC-klagomål.docx", "A 63945-2025")</f>
        <v/>
      </c>
      <c r="AB424">
        <f>HYPERLINK("https://klasma.github.io/Logging_0483/klagomålsmail/A 63945-2025 FSC-klagomål mail.docx", "A 63945-2025")</f>
        <v/>
      </c>
      <c r="AC424">
        <f>HYPERLINK("https://klasma.github.io/Logging_0483/tillsyn/A 63945-2025 tillsynsbegäran.docx", "A 63945-2025")</f>
        <v/>
      </c>
      <c r="AD424">
        <f>HYPERLINK("https://klasma.github.io/Logging_0483/tillsynsmail/A 63945-2025 tillsynsbegäran mail.docx", "A 63945-2025")</f>
        <v/>
      </c>
      <c r="AE424">
        <f>HYPERLINK("https://klasma.github.io/Logging_0483/fåglar/A 63945-2025 prioriterade fågelarter.docx", "A 63945-2025")</f>
        <v/>
      </c>
    </row>
    <row r="425" ht="15" customHeight="1">
      <c r="A425" t="inlineStr">
        <is>
          <t>A 63423-2025</t>
        </is>
      </c>
      <c r="B425" t="inlineStr">
        <is>
          <t>avverkningsanmälan</t>
        </is>
      </c>
      <c r="C425" t="inlineStr">
        <is>
          <t>Föryngringsavverkning</t>
        </is>
      </c>
      <c r="D425" s="1" t="n">
        <v>46013</v>
      </c>
      <c r="E425" s="1" t="n">
        <v>46313</v>
      </c>
      <c r="F425" t="inlineStr">
        <is>
          <t>SÖDERMANLANDS LÄN</t>
        </is>
      </c>
      <c r="G425" t="inlineStr">
        <is>
          <t>NYKÖPING</t>
        </is>
      </c>
      <c r="I425" t="n">
        <v>7.4</v>
      </c>
      <c r="J425" t="n">
        <v>1</v>
      </c>
      <c r="K425" t="n">
        <v>0</v>
      </c>
      <c r="L425" t="n">
        <v>0</v>
      </c>
      <c r="M425" t="n">
        <v>0</v>
      </c>
      <c r="N425" t="n">
        <v>0</v>
      </c>
      <c r="O425" t="n">
        <v>0</v>
      </c>
      <c r="P425" t="n">
        <v>0</v>
      </c>
      <c r="Q425" t="n">
        <v>0</v>
      </c>
      <c r="R425" t="n">
        <v>0</v>
      </c>
      <c r="S425" t="n">
        <v>1</v>
      </c>
      <c r="T425" t="n">
        <v>1</v>
      </c>
      <c r="U425" t="n">
        <v>0</v>
      </c>
      <c r="V425" s="2" t="inlineStr">
        <is>
          <t>Blåsippa</t>
        </is>
      </c>
      <c r="W425">
        <f>HYPERLINK("https://klasma.github.io/Logging_0480/artfynd/A 63423-2025 artfynd.xlsx", "A 63423-2025")</f>
        <v/>
      </c>
      <c r="X425">
        <f>HYPERLINK("https://klasma.github.io/Logging_0480/kartor/A 63423-2025 karta.png", "A 63423-2025")</f>
        <v/>
      </c>
      <c r="Y425">
        <f>HYPERLINK("https://klasma.github.io/Logging_0480/kartor_geotiff/A 63423-2025 georefererad karta.tif", "A 63423-2025")</f>
        <v/>
      </c>
      <c r="AA425">
        <f>HYPERLINK("https://klasma.github.io/Logging_0480/klagomål/A 63423-2025 FSC-klagomål.docx", "A 63423-2025")</f>
        <v/>
      </c>
      <c r="AB425">
        <f>HYPERLINK("https://klasma.github.io/Logging_0480/klagomålsmail/A 63423-2025 FSC-klagomål mail.docx", "A 63423-2025")</f>
        <v/>
      </c>
      <c r="AC425">
        <f>HYPERLINK("https://klasma.github.io/Logging_0480/tillsyn/A 63423-2025 tillsynsbegäran.docx", "A 63423-2025")</f>
        <v/>
      </c>
      <c r="AD425">
        <f>HYPERLINK("https://klasma.github.io/Logging_0480/tillsynsmail/A 63423-2025 tillsynsbegäran mail.docx", "A 63423-2025")</f>
        <v/>
      </c>
    </row>
    <row r="426" ht="15" customHeight="1">
      <c r="A426" t="inlineStr">
        <is>
          <t>A 50554-2023</t>
        </is>
      </c>
      <c r="B426" t="inlineStr">
        <is>
          <t>avverkningsanmälan</t>
        </is>
      </c>
      <c r="C426" t="inlineStr">
        <is>
          <t>Föryngringsavverkning</t>
        </is>
      </c>
      <c r="D426" s="1" t="n">
        <v>45210</v>
      </c>
      <c r="E426" s="1" t="n">
        <v>46313</v>
      </c>
      <c r="F426" t="inlineStr">
        <is>
          <t>SÖDERMANLANDS LÄN</t>
        </is>
      </c>
      <c r="G426" t="inlineStr">
        <is>
          <t>NYKÖPING</t>
        </is>
      </c>
      <c r="I426" t="n">
        <v>10.9</v>
      </c>
      <c r="J426" t="n">
        <v>0</v>
      </c>
      <c r="K426" t="n">
        <v>1</v>
      </c>
      <c r="L426" t="n">
        <v>0</v>
      </c>
      <c r="M426" t="n">
        <v>0</v>
      </c>
      <c r="N426" t="n">
        <v>0</v>
      </c>
      <c r="O426" t="n">
        <v>0</v>
      </c>
      <c r="P426" t="n">
        <v>0</v>
      </c>
      <c r="Q426" t="n">
        <v>0</v>
      </c>
      <c r="R426" t="n">
        <v>0</v>
      </c>
      <c r="S426" t="n">
        <v>1</v>
      </c>
      <c r="T426" t="n">
        <v>1</v>
      </c>
      <c r="U426" t="n">
        <v>0</v>
      </c>
      <c r="V426" s="2" t="inlineStr">
        <is>
          <t>Grönpyrola</t>
        </is>
      </c>
      <c r="W426">
        <f>HYPERLINK("https://klasma.github.io/Logging_0480/artfynd/A 50554-2023 artfynd.xlsx", "A 50554-2023")</f>
        <v/>
      </c>
      <c r="X426">
        <f>HYPERLINK("https://klasma.github.io/Logging_0480/kartor/A 50554-2023 karta.png", "A 50554-2023")</f>
        <v/>
      </c>
      <c r="Y426">
        <f>HYPERLINK("https://klasma.github.io/Logging_0480/kartor_geotiff/A 50554-2023 georefererad karta.tif", "A 50554-2023")</f>
        <v/>
      </c>
      <c r="AA426">
        <f>HYPERLINK("https://klasma.github.io/Logging_0480/klagomål/A 50554-2023 FSC-klagomål.docx", "A 50554-2023")</f>
        <v/>
      </c>
      <c r="AB426">
        <f>HYPERLINK("https://klasma.github.io/Logging_0480/klagomålsmail/A 50554-2023 FSC-klagomål mail.docx", "A 50554-2023")</f>
        <v/>
      </c>
      <c r="AC426">
        <f>HYPERLINK("https://klasma.github.io/Logging_0480/tillsyn/A 50554-2023 tillsynsbegäran.docx", "A 50554-2023")</f>
        <v/>
      </c>
      <c r="AD426">
        <f>HYPERLINK("https://klasma.github.io/Logging_0480/tillsynsmail/A 50554-2023 tillsynsbegäran mail.docx", "A 50554-2023")</f>
        <v/>
      </c>
    </row>
    <row r="427" ht="15" customHeight="1">
      <c r="A427" t="inlineStr">
        <is>
          <t>A 62957-2025</t>
        </is>
      </c>
      <c r="B427" t="inlineStr">
        <is>
          <t>avverkningsanmälan</t>
        </is>
      </c>
      <c r="C427" t="inlineStr">
        <is>
          <t>Föryngringsavverkning</t>
        </is>
      </c>
      <c r="D427" s="1" t="n">
        <v>46009</v>
      </c>
      <c r="E427" s="1" t="n">
        <v>46313</v>
      </c>
      <c r="F427" t="inlineStr">
        <is>
          <t>SÖDERMANLANDS LÄN</t>
        </is>
      </c>
      <c r="G427" t="inlineStr">
        <is>
          <t>KATRINEHOLM</t>
        </is>
      </c>
      <c r="H427" t="inlineStr">
        <is>
          <t>Allmännings- och besparingsskogar</t>
        </is>
      </c>
      <c r="I427" t="n">
        <v>1.7</v>
      </c>
      <c r="J427" t="n">
        <v>1</v>
      </c>
      <c r="K427" t="n">
        <v>0</v>
      </c>
      <c r="L427" t="n">
        <v>0</v>
      </c>
      <c r="M427" t="n">
        <v>0</v>
      </c>
      <c r="N427" t="n">
        <v>0</v>
      </c>
      <c r="O427" t="n">
        <v>0</v>
      </c>
      <c r="P427" t="n">
        <v>0</v>
      </c>
      <c r="Q427" t="n">
        <v>0</v>
      </c>
      <c r="R427" t="n">
        <v>0</v>
      </c>
      <c r="S427" t="n">
        <v>1</v>
      </c>
      <c r="T427" t="n">
        <v>1</v>
      </c>
      <c r="U427" t="n">
        <v>0</v>
      </c>
      <c r="V427" s="2" t="inlineStr">
        <is>
          <t>Utter</t>
        </is>
      </c>
      <c r="W427">
        <f>HYPERLINK("https://klasma.github.io/Logging_0483/artfynd/A 62957-2025 artfynd.xlsx", "A 62957-2025")</f>
        <v/>
      </c>
      <c r="X427">
        <f>HYPERLINK("https://klasma.github.io/Logging_0483/kartor/A 62957-2025 karta.png", "A 62957-2025")</f>
        <v/>
      </c>
      <c r="Y427">
        <f>HYPERLINK("https://klasma.github.io/Logging_0483/kartor_geotiff/A 62957-2025 georefererad karta.tif", "A 62957-2025")</f>
        <v/>
      </c>
      <c r="AA427">
        <f>HYPERLINK("https://klasma.github.io/Logging_0483/klagomål/A 62957-2025 FSC-klagomål.docx", "A 62957-2025")</f>
        <v/>
      </c>
      <c r="AB427">
        <f>HYPERLINK("https://klasma.github.io/Logging_0483/klagomålsmail/A 62957-2025 FSC-klagomål mail.docx", "A 62957-2025")</f>
        <v/>
      </c>
      <c r="AC427">
        <f>HYPERLINK("https://klasma.github.io/Logging_0483/tillsyn/A 62957-2025 tillsynsbegäran.docx", "A 62957-2025")</f>
        <v/>
      </c>
      <c r="AD427">
        <f>HYPERLINK("https://klasma.github.io/Logging_0483/tillsynsmail/A 62957-2025 tillsynsbegäran mail.docx", "A 62957-2025")</f>
        <v/>
      </c>
    </row>
    <row r="428" ht="15" customHeight="1">
      <c r="A428" t="inlineStr">
        <is>
          <t>A 64713-2023</t>
        </is>
      </c>
      <c r="B428" t="inlineStr">
        <is>
          <t>avverkningsanmälan</t>
        </is>
      </c>
      <c r="C428" t="inlineStr">
        <is>
          <t>Föryngringsavverkning</t>
        </is>
      </c>
      <c r="D428" s="1" t="n">
        <v>45281</v>
      </c>
      <c r="E428" s="1" t="n">
        <v>46313</v>
      </c>
      <c r="F428" t="inlineStr">
        <is>
          <t>SÖDERMANLANDS LÄN</t>
        </is>
      </c>
      <c r="G428" t="inlineStr">
        <is>
          <t>KATRINEHOLM</t>
        </is>
      </c>
      <c r="I428" t="n">
        <v>4.9</v>
      </c>
      <c r="J428" t="n">
        <v>1</v>
      </c>
      <c r="K428" t="n">
        <v>0</v>
      </c>
      <c r="L428" t="n">
        <v>0</v>
      </c>
      <c r="M428" t="n">
        <v>0</v>
      </c>
      <c r="N428" t="n">
        <v>0</v>
      </c>
      <c r="O428" t="n">
        <v>0</v>
      </c>
      <c r="P428" t="n">
        <v>0</v>
      </c>
      <c r="Q428" t="n">
        <v>0</v>
      </c>
      <c r="R428" t="n">
        <v>0</v>
      </c>
      <c r="S428" t="n">
        <v>1</v>
      </c>
      <c r="T428" t="n">
        <v>1</v>
      </c>
      <c r="U428" t="n">
        <v>0</v>
      </c>
      <c r="V428" s="2" t="inlineStr">
        <is>
          <t>Gröngöling</t>
        </is>
      </c>
      <c r="W428">
        <f>HYPERLINK("https://klasma.github.io/Logging_0483/artfynd/A 64713-2023 artfynd.xlsx", "A 64713-2023")</f>
        <v/>
      </c>
      <c r="X428">
        <f>HYPERLINK("https://klasma.github.io/Logging_0483/kartor/A 64713-2023 karta.png", "A 64713-2023")</f>
        <v/>
      </c>
      <c r="Y428">
        <f>HYPERLINK("https://klasma.github.io/Logging_0483/kartor_geotiff/A 64713-2023 georefererad karta.tif", "A 64713-2023")</f>
        <v/>
      </c>
      <c r="AA428">
        <f>HYPERLINK("https://klasma.github.io/Logging_0483/klagomål/A 64713-2023 FSC-klagomål.docx", "A 64713-2023")</f>
        <v/>
      </c>
      <c r="AB428">
        <f>HYPERLINK("https://klasma.github.io/Logging_0483/klagomålsmail/A 64713-2023 FSC-klagomål mail.docx", "A 64713-2023")</f>
        <v/>
      </c>
      <c r="AC428">
        <f>HYPERLINK("https://klasma.github.io/Logging_0483/tillsyn/A 64713-2023 tillsynsbegäran.docx", "A 64713-2023")</f>
        <v/>
      </c>
      <c r="AD428">
        <f>HYPERLINK("https://klasma.github.io/Logging_0483/tillsynsmail/A 64713-2023 tillsynsbegäran mail.docx", "A 64713-2023")</f>
        <v/>
      </c>
    </row>
    <row r="429" ht="15" customHeight="1">
      <c r="A429" t="inlineStr">
        <is>
          <t>A 24454-2022</t>
        </is>
      </c>
      <c r="B429" t="inlineStr">
        <is>
          <t>avverkningsanmälan</t>
        </is>
      </c>
      <c r="C429" t="inlineStr">
        <is>
          <t>Föryngringsavverkning</t>
        </is>
      </c>
      <c r="D429" s="1" t="n">
        <v>44726</v>
      </c>
      <c r="E429" s="1" t="n">
        <v>46313</v>
      </c>
      <c r="F429" t="inlineStr">
        <is>
          <t>SÖDERMANLANDS LÄN</t>
        </is>
      </c>
      <c r="G429" t="inlineStr">
        <is>
          <t>STRÄNGNÄS</t>
        </is>
      </c>
      <c r="I429" t="n">
        <v>12.5</v>
      </c>
      <c r="J429" t="n">
        <v>1</v>
      </c>
      <c r="K429" t="n">
        <v>0</v>
      </c>
      <c r="L429" t="n">
        <v>0</v>
      </c>
      <c r="M429" t="n">
        <v>0</v>
      </c>
      <c r="N429" t="n">
        <v>0</v>
      </c>
      <c r="O429" t="n">
        <v>0</v>
      </c>
      <c r="P429" t="n">
        <v>0</v>
      </c>
      <c r="Q429" t="n">
        <v>0</v>
      </c>
      <c r="R429" t="n">
        <v>0</v>
      </c>
      <c r="S429" t="n">
        <v>1</v>
      </c>
      <c r="T429" t="n">
        <v>1</v>
      </c>
      <c r="U429" t="n">
        <v>1</v>
      </c>
      <c r="V429" s="2" t="inlineStr">
        <is>
          <t>Järpe</t>
        </is>
      </c>
      <c r="W429">
        <f>HYPERLINK("https://klasma.github.io/Logging_0486/artfynd/A 24454-2022 artfynd.xlsx", "A 24454-2022")</f>
        <v/>
      </c>
      <c r="X429">
        <f>HYPERLINK("https://klasma.github.io/Logging_0486/kartor/A 24454-2022 karta.png", "A 24454-2022")</f>
        <v/>
      </c>
      <c r="Y429">
        <f>HYPERLINK("https://klasma.github.io/Logging_0486/kartor_geotiff/A 24454-2022 georefererad karta.tif", "A 24454-2022")</f>
        <v/>
      </c>
      <c r="AA429">
        <f>HYPERLINK("https://klasma.github.io/Logging_0486/klagomål/A 24454-2022 FSC-klagomål.docx", "A 24454-2022")</f>
        <v/>
      </c>
      <c r="AB429">
        <f>HYPERLINK("https://klasma.github.io/Logging_0486/klagomålsmail/A 24454-2022 FSC-klagomål mail.docx", "A 24454-2022")</f>
        <v/>
      </c>
      <c r="AC429">
        <f>HYPERLINK("https://klasma.github.io/Logging_0486/tillsyn/A 24454-2022 tillsynsbegäran.docx", "A 24454-2022")</f>
        <v/>
      </c>
      <c r="AD429">
        <f>HYPERLINK("https://klasma.github.io/Logging_0486/tillsynsmail/A 24454-2022 tillsynsbegäran mail.docx", "A 24454-2022")</f>
        <v/>
      </c>
      <c r="AE429">
        <f>HYPERLINK("https://klasma.github.io/Logging_0486/fåglar/A 24454-2022 prioriterade fågelarter.docx", "A 24454-2022")</f>
        <v/>
      </c>
    </row>
    <row r="430" ht="15" customHeight="1">
      <c r="A430" t="inlineStr">
        <is>
          <t>A 9645-2023</t>
        </is>
      </c>
      <c r="B430" t="inlineStr">
        <is>
          <t>avverkningsanmälan</t>
        </is>
      </c>
      <c r="C430" t="inlineStr">
        <is>
          <t>Föryngringsavverkning</t>
        </is>
      </c>
      <c r="D430" s="1" t="n">
        <v>44984</v>
      </c>
      <c r="E430" s="1" t="n">
        <v>46313</v>
      </c>
      <c r="F430" t="inlineStr">
        <is>
          <t>SÖDERMANLANDS LÄN</t>
        </is>
      </c>
      <c r="G430" t="inlineStr">
        <is>
          <t>ESKILSTUNA</t>
        </is>
      </c>
      <c r="I430" t="n">
        <v>2.3</v>
      </c>
      <c r="J430" t="n">
        <v>1</v>
      </c>
      <c r="K430" t="n">
        <v>0</v>
      </c>
      <c r="L430" t="n">
        <v>0</v>
      </c>
      <c r="M430" t="n">
        <v>0</v>
      </c>
      <c r="N430" t="n">
        <v>0</v>
      </c>
      <c r="O430" t="n">
        <v>0</v>
      </c>
      <c r="P430" t="n">
        <v>0</v>
      </c>
      <c r="Q430" t="n">
        <v>0</v>
      </c>
      <c r="R430" t="n">
        <v>0</v>
      </c>
      <c r="S430" t="n">
        <v>1</v>
      </c>
      <c r="T430" t="n">
        <v>1</v>
      </c>
      <c r="U430" t="n">
        <v>1</v>
      </c>
      <c r="V430" s="2" t="inlineStr">
        <is>
          <t>Skogsduva</t>
        </is>
      </c>
      <c r="W430">
        <f>HYPERLINK("https://klasma.github.io/Logging_0484/artfynd/A 9645-2023 artfynd.xlsx", "A 9645-2023")</f>
        <v/>
      </c>
      <c r="X430">
        <f>HYPERLINK("https://klasma.github.io/Logging_0484/kartor/A 9645-2023 karta.png", "A 9645-2023")</f>
        <v/>
      </c>
      <c r="Y430">
        <f>HYPERLINK("https://klasma.github.io/Logging_0484/kartor_geotiff/A 9645-2023 georefererad karta.tif", "A 9645-2023")</f>
        <v/>
      </c>
      <c r="AA430">
        <f>HYPERLINK("https://klasma.github.io/Logging_0484/klagomål/A 9645-2023 FSC-klagomål.docx", "A 9645-2023")</f>
        <v/>
      </c>
      <c r="AB430">
        <f>HYPERLINK("https://klasma.github.io/Logging_0484/klagomålsmail/A 9645-2023 FSC-klagomål mail.docx", "A 9645-2023")</f>
        <v/>
      </c>
      <c r="AC430">
        <f>HYPERLINK("https://klasma.github.io/Logging_0484/tillsyn/A 9645-2023 tillsynsbegäran.docx", "A 9645-2023")</f>
        <v/>
      </c>
      <c r="AD430">
        <f>HYPERLINK("https://klasma.github.io/Logging_0484/tillsynsmail/A 9645-2023 tillsynsbegäran mail.docx", "A 9645-2023")</f>
        <v/>
      </c>
    </row>
    <row r="431" ht="15" customHeight="1">
      <c r="A431" t="inlineStr">
        <is>
          <t>A 55087-2022</t>
        </is>
      </c>
      <c r="B431" t="inlineStr">
        <is>
          <t>avverkningsanmälan</t>
        </is>
      </c>
      <c r="C431" t="inlineStr">
        <is>
          <t>Föryngringsavverkning</t>
        </is>
      </c>
      <c r="D431" s="1" t="n">
        <v>44886</v>
      </c>
      <c r="E431" s="1" t="n">
        <v>46313</v>
      </c>
      <c r="F431" t="inlineStr">
        <is>
          <t>SÖDERMANLANDS LÄN</t>
        </is>
      </c>
      <c r="G431" t="inlineStr">
        <is>
          <t>ESKILSTUNA</t>
        </is>
      </c>
      <c r="I431" t="n">
        <v>1</v>
      </c>
      <c r="J431" t="n">
        <v>1</v>
      </c>
      <c r="K431" t="n">
        <v>0</v>
      </c>
      <c r="L431" t="n">
        <v>1</v>
      </c>
      <c r="M431" t="n">
        <v>0</v>
      </c>
      <c r="N431" t="n">
        <v>0</v>
      </c>
      <c r="O431" t="n">
        <v>0</v>
      </c>
      <c r="P431" t="n">
        <v>0</v>
      </c>
      <c r="Q431" t="n">
        <v>1</v>
      </c>
      <c r="R431" t="n">
        <v>0</v>
      </c>
      <c r="S431" t="n">
        <v>1</v>
      </c>
      <c r="T431" t="n">
        <v>1</v>
      </c>
      <c r="U431" t="n">
        <v>0</v>
      </c>
      <c r="V431" s="2" t="inlineStr">
        <is>
          <t>Gulsparv</t>
        </is>
      </c>
      <c r="W431">
        <f>HYPERLINK("https://klasma.github.io/Logging_0484/artfynd/A 55087-2022 artfynd.xlsx", "A 55087-2022")</f>
        <v/>
      </c>
      <c r="X431">
        <f>HYPERLINK("https://klasma.github.io/Logging_0484/kartor/A 55087-2022 karta.png", "A 55087-2022")</f>
        <v/>
      </c>
      <c r="Y431">
        <f>HYPERLINK("https://klasma.github.io/Logging_0484/kartor_geotiff/A 55087-2022 georefererad karta.tif", "A 55087-2022")</f>
        <v/>
      </c>
      <c r="AA431">
        <f>HYPERLINK("https://klasma.github.io/Logging_0484/klagomål/A 55087-2022 FSC-klagomål.docx", "A 55087-2022")</f>
        <v/>
      </c>
      <c r="AB431">
        <f>HYPERLINK("https://klasma.github.io/Logging_0484/klagomålsmail/A 55087-2022 FSC-klagomål mail.docx", "A 55087-2022")</f>
        <v/>
      </c>
      <c r="AC431">
        <f>HYPERLINK("https://klasma.github.io/Logging_0484/tillsyn/A 55087-2022 tillsynsbegäran.docx", "A 55087-2022")</f>
        <v/>
      </c>
      <c r="AD431">
        <f>HYPERLINK("https://klasma.github.io/Logging_0484/tillsynsmail/A 55087-2022 tillsynsbegäran mail.docx", "A 55087-2022")</f>
        <v/>
      </c>
      <c r="AE431">
        <f>HYPERLINK("https://klasma.github.io/Logging_0484/fåglar/A 55087-2022 prioriterade fågelarter.docx", "A 55087-2022")</f>
        <v/>
      </c>
    </row>
    <row r="432" ht="15" customHeight="1">
      <c r="A432" t="inlineStr">
        <is>
          <t>A 2043-2026</t>
        </is>
      </c>
      <c r="B432" t="inlineStr">
        <is>
          <t>avverkningsanmälan</t>
        </is>
      </c>
      <c r="C432" t="inlineStr">
        <is>
          <t>Föryngringsavverkning</t>
        </is>
      </c>
      <c r="D432" s="1" t="n">
        <v>46035</v>
      </c>
      <c r="E432" s="1" t="n">
        <v>46313</v>
      </c>
      <c r="F432" t="inlineStr">
        <is>
          <t>SÖDERMANLANDS LÄN</t>
        </is>
      </c>
      <c r="G432" t="inlineStr">
        <is>
          <t>FLEN</t>
        </is>
      </c>
      <c r="H432" t="inlineStr">
        <is>
          <t>Holmen skog AB</t>
        </is>
      </c>
      <c r="I432" t="n">
        <v>2.1</v>
      </c>
      <c r="J432" t="n">
        <v>0</v>
      </c>
      <c r="K432" t="n">
        <v>0</v>
      </c>
      <c r="L432" t="n">
        <v>1</v>
      </c>
      <c r="M432" t="n">
        <v>0</v>
      </c>
      <c r="N432" t="n">
        <v>0</v>
      </c>
      <c r="O432" t="n">
        <v>0</v>
      </c>
      <c r="P432" t="n">
        <v>0</v>
      </c>
      <c r="Q432" t="n">
        <v>1</v>
      </c>
      <c r="R432" t="n">
        <v>0</v>
      </c>
      <c r="S432" t="n">
        <v>1</v>
      </c>
      <c r="T432" t="n">
        <v>1</v>
      </c>
      <c r="U432" t="n">
        <v>0</v>
      </c>
      <c r="V432" s="2" t="inlineStr">
        <is>
          <t>Scharlakansvaxing</t>
        </is>
      </c>
      <c r="W432">
        <f>HYPERLINK("https://klasma.github.io/Logging_0482/artfynd/A 2043-2026 artfynd.xlsx", "A 2043-2026")</f>
        <v/>
      </c>
      <c r="X432">
        <f>HYPERLINK("https://klasma.github.io/Logging_0482/kartor/A 2043-2026 karta.png", "A 2043-2026")</f>
        <v/>
      </c>
      <c r="Y432">
        <f>HYPERLINK("https://klasma.github.io/Logging_0482/kartor_geotiff/A 2043-2026 georefererad karta.tif", "A 2043-2026")</f>
        <v/>
      </c>
      <c r="AA432">
        <f>HYPERLINK("https://klasma.github.io/Logging_0482/klagomål/A 2043-2026 FSC-klagomål.docx", "A 2043-2026")</f>
        <v/>
      </c>
      <c r="AB432">
        <f>HYPERLINK("https://klasma.github.io/Logging_0482/klagomålsmail/A 2043-2026 FSC-klagomål mail.docx", "A 2043-2026")</f>
        <v/>
      </c>
      <c r="AC432">
        <f>HYPERLINK("https://klasma.github.io/Logging_0482/tillsyn/A 2043-2026 tillsynsbegäran.docx", "A 2043-2026")</f>
        <v/>
      </c>
      <c r="AD432">
        <f>HYPERLINK("https://klasma.github.io/Logging_0482/tillsynsmail/A 2043-2026 tillsynsbegäran mail.docx", "A 2043-2026")</f>
        <v/>
      </c>
    </row>
    <row r="433" ht="15" customHeight="1">
      <c r="A433" t="inlineStr">
        <is>
          <t>A 2036-2026</t>
        </is>
      </c>
      <c r="B433" t="inlineStr">
        <is>
          <t>avverkningsanmälan</t>
        </is>
      </c>
      <c r="C433" t="inlineStr">
        <is>
          <t>Föryngringsavverkning</t>
        </is>
      </c>
      <c r="D433" s="1" t="n">
        <v>46035</v>
      </c>
      <c r="E433" s="1" t="n">
        <v>46313</v>
      </c>
      <c r="F433" t="inlineStr">
        <is>
          <t>SÖDERMANLANDS LÄN</t>
        </is>
      </c>
      <c r="G433" t="inlineStr">
        <is>
          <t>FLEN</t>
        </is>
      </c>
      <c r="H433" t="inlineStr">
        <is>
          <t>Holmen skog AB</t>
        </is>
      </c>
      <c r="I433" t="n">
        <v>0.6</v>
      </c>
      <c r="J433" t="n">
        <v>1</v>
      </c>
      <c r="K433" t="n">
        <v>0</v>
      </c>
      <c r="L433" t="n">
        <v>0</v>
      </c>
      <c r="M433" t="n">
        <v>1</v>
      </c>
      <c r="N433" t="n">
        <v>0</v>
      </c>
      <c r="O433" t="n">
        <v>0</v>
      </c>
      <c r="P433" t="n">
        <v>0</v>
      </c>
      <c r="Q433" t="n">
        <v>1</v>
      </c>
      <c r="R433" t="n">
        <v>1</v>
      </c>
      <c r="S433" t="n">
        <v>1</v>
      </c>
      <c r="T433" t="n">
        <v>1</v>
      </c>
      <c r="U433" t="n">
        <v>0</v>
      </c>
      <c r="V433" s="2" t="inlineStr">
        <is>
          <t>Knärot</t>
        </is>
      </c>
      <c r="W433">
        <f>HYPERLINK("https://klasma.github.io/Logging_0482/artfynd/A 2036-2026 artfynd.xlsx", "A 2036-2026")</f>
        <v/>
      </c>
      <c r="X433">
        <f>HYPERLINK("https://klasma.github.io/Logging_0482/kartor/A 2036-2026 karta.png", "A 2036-2026")</f>
        <v/>
      </c>
      <c r="Y433">
        <f>HYPERLINK("https://klasma.github.io/Logging_0482/kartor_geotiff/A 2036-2026 georefererad karta.tif", "A 2036-2026")</f>
        <v/>
      </c>
      <c r="Z433">
        <f>HYPERLINK("https://klasma.github.io/Logging_0482/knärot/A 2036-2026 karta knärot.png", "A 2036-2026")</f>
        <v/>
      </c>
      <c r="AA433">
        <f>HYPERLINK("https://klasma.github.io/Logging_0482/klagomål/A 2036-2026 FSC-klagomål.docx", "A 2036-2026")</f>
        <v/>
      </c>
      <c r="AB433">
        <f>HYPERLINK("https://klasma.github.io/Logging_0482/klagomålsmail/A 2036-2026 FSC-klagomål mail.docx", "A 2036-2026")</f>
        <v/>
      </c>
      <c r="AC433">
        <f>HYPERLINK("https://klasma.github.io/Logging_0482/tillsyn/A 2036-2026 tillsynsbegäran.docx", "A 2036-2026")</f>
        <v/>
      </c>
      <c r="AD433">
        <f>HYPERLINK("https://klasma.github.io/Logging_0482/tillsynsmail/A 2036-2026 tillsynsbegäran mail.docx", "A 2036-2026")</f>
        <v/>
      </c>
    </row>
    <row r="434" ht="15" customHeight="1">
      <c r="A434" t="inlineStr">
        <is>
          <t>A 26310-2026</t>
        </is>
      </c>
      <c r="B434" t="inlineStr">
        <is>
          <t>avverkningsanmälan</t>
        </is>
      </c>
      <c r="C434" t="inlineStr">
        <is>
          <t>Föryngringsavverkning</t>
        </is>
      </c>
      <c r="D434" s="1" t="n">
        <v>46181</v>
      </c>
      <c r="E434" s="1" t="n">
        <v>46313</v>
      </c>
      <c r="F434" t="inlineStr">
        <is>
          <t>SÖDERMANLANDS LÄN</t>
        </is>
      </c>
      <c r="G434" t="inlineStr">
        <is>
          <t>FLEN</t>
        </is>
      </c>
      <c r="I434" t="n">
        <v>1.2</v>
      </c>
      <c r="J434" t="n">
        <v>1</v>
      </c>
      <c r="K434" t="n">
        <v>0</v>
      </c>
      <c r="L434" t="n">
        <v>0</v>
      </c>
      <c r="M434" t="n">
        <v>0</v>
      </c>
      <c r="N434" t="n">
        <v>0</v>
      </c>
      <c r="O434" t="n">
        <v>0</v>
      </c>
      <c r="P434" t="n">
        <v>0</v>
      </c>
      <c r="Q434" t="n">
        <v>0</v>
      </c>
      <c r="R434" t="n">
        <v>0</v>
      </c>
      <c r="S434" t="n">
        <v>1</v>
      </c>
      <c r="T434" t="n">
        <v>1</v>
      </c>
      <c r="U434" t="n">
        <v>0</v>
      </c>
      <c r="V434" s="2" t="inlineStr">
        <is>
          <t>Spillkråka</t>
        </is>
      </c>
      <c r="W434">
        <f>HYPERLINK("https://klasma.github.io/Logging_0482/artfynd/A 26310-2026 artfynd.xlsx", "A 26310-2026")</f>
        <v/>
      </c>
      <c r="X434">
        <f>HYPERLINK("https://klasma.github.io/Logging_0482/kartor/A 26310-2026 karta.png", "A 26310-2026")</f>
        <v/>
      </c>
      <c r="Y434">
        <f>HYPERLINK("https://klasma.github.io/Logging_0482/kartor_geotiff/A 26310-2026 georefererad karta.tif", "A 26310-2026")</f>
        <v/>
      </c>
      <c r="AA434">
        <f>HYPERLINK("https://klasma.github.io/Logging_0482/klagomål/A 26310-2026 FSC-klagomål.docx", "A 26310-2026")</f>
        <v/>
      </c>
      <c r="AB434">
        <f>HYPERLINK("https://klasma.github.io/Logging_0482/klagomålsmail/A 26310-2026 FSC-klagomål mail.docx", "A 26310-2026")</f>
        <v/>
      </c>
      <c r="AC434">
        <f>HYPERLINK("https://klasma.github.io/Logging_0482/tillsyn/A 26310-2026 tillsynsbegäran.docx", "A 26310-2026")</f>
        <v/>
      </c>
      <c r="AD434">
        <f>HYPERLINK("https://klasma.github.io/Logging_0482/tillsynsmail/A 26310-2026 tillsynsbegäran mail.docx", "A 26310-2026")</f>
        <v/>
      </c>
      <c r="AE434">
        <f>HYPERLINK("https://klasma.github.io/Logging_0482/fåglar/A 26310-2026 prioriterade fågelarter.docx", "A 26310-2026")</f>
        <v/>
      </c>
    </row>
    <row r="435" ht="15" customHeight="1">
      <c r="A435" t="inlineStr">
        <is>
          <t>A 44486-2023</t>
        </is>
      </c>
      <c r="B435" t="inlineStr">
        <is>
          <t>avverkningsanmälan</t>
        </is>
      </c>
      <c r="C435" t="inlineStr">
        <is>
          <t>Föryngringsavverkning</t>
        </is>
      </c>
      <c r="D435" s="1" t="n">
        <v>45183</v>
      </c>
      <c r="E435" s="1" t="n">
        <v>46313</v>
      </c>
      <c r="F435" t="inlineStr">
        <is>
          <t>SÖDERMANLANDS LÄN</t>
        </is>
      </c>
      <c r="G435" t="inlineStr">
        <is>
          <t>KATRINEHOLM</t>
        </is>
      </c>
      <c r="I435" t="n">
        <v>1.7</v>
      </c>
      <c r="J435" t="n">
        <v>0</v>
      </c>
      <c r="K435" t="n">
        <v>0</v>
      </c>
      <c r="L435" t="n">
        <v>1</v>
      </c>
      <c r="M435" t="n">
        <v>0</v>
      </c>
      <c r="N435" t="n">
        <v>0</v>
      </c>
      <c r="O435" t="n">
        <v>0</v>
      </c>
      <c r="P435" t="n">
        <v>0</v>
      </c>
      <c r="Q435" t="n">
        <v>1</v>
      </c>
      <c r="R435" t="n">
        <v>0</v>
      </c>
      <c r="S435" t="n">
        <v>1</v>
      </c>
      <c r="T435" t="n">
        <v>1</v>
      </c>
      <c r="U435" t="n">
        <v>1</v>
      </c>
      <c r="V435" s="2" t="inlineStr">
        <is>
          <t>Svedjenäva</t>
        </is>
      </c>
      <c r="W435">
        <f>HYPERLINK("https://klasma.github.io/Logging_0483/artfynd/A 44486-2023 artfynd.xlsx", "A 44486-2023")</f>
        <v/>
      </c>
      <c r="X435">
        <f>HYPERLINK("https://klasma.github.io/Logging_0483/kartor/A 44486-2023 karta.png", "A 44486-2023")</f>
        <v/>
      </c>
      <c r="Y435">
        <f>HYPERLINK("https://klasma.github.io/Logging_0483/kartor_geotiff/A 44486-2023 georefererad karta.tif", "A 44486-2023")</f>
        <v/>
      </c>
      <c r="AA435">
        <f>HYPERLINK("https://klasma.github.io/Logging_0483/klagomål/A 44486-2023 FSC-klagomål.docx", "A 44486-2023")</f>
        <v/>
      </c>
      <c r="AB435">
        <f>HYPERLINK("https://klasma.github.io/Logging_0483/klagomålsmail/A 44486-2023 FSC-klagomål mail.docx", "A 44486-2023")</f>
        <v/>
      </c>
      <c r="AC435">
        <f>HYPERLINK("https://klasma.github.io/Logging_0483/tillsyn/A 44486-2023 tillsynsbegäran.docx", "A 44486-2023")</f>
        <v/>
      </c>
      <c r="AD435">
        <f>HYPERLINK("https://klasma.github.io/Logging_0483/tillsynsmail/A 44486-2023 tillsynsbegäran mail.docx", "A 44486-2023")</f>
        <v/>
      </c>
    </row>
    <row r="436" ht="15" customHeight="1">
      <c r="A436" t="inlineStr">
        <is>
          <t>A 5509-2023</t>
        </is>
      </c>
      <c r="B436" t="inlineStr">
        <is>
          <t>avverkningsanmälan</t>
        </is>
      </c>
      <c r="C436" t="inlineStr">
        <is>
          <t>Föryngringsavverkning</t>
        </is>
      </c>
      <c r="D436" s="1" t="n">
        <v>44960</v>
      </c>
      <c r="E436" s="1" t="n">
        <v>46313</v>
      </c>
      <c r="F436" t="inlineStr">
        <is>
          <t>SÖDERMANLANDS LÄN</t>
        </is>
      </c>
      <c r="G436" t="inlineStr">
        <is>
          <t>NYKÖPING</t>
        </is>
      </c>
      <c r="I436" t="n">
        <v>1.2</v>
      </c>
      <c r="J436" t="n">
        <v>1</v>
      </c>
      <c r="K436" t="n">
        <v>0</v>
      </c>
      <c r="L436" t="n">
        <v>0</v>
      </c>
      <c r="M436" t="n">
        <v>0</v>
      </c>
      <c r="N436" t="n">
        <v>0</v>
      </c>
      <c r="O436" t="n">
        <v>0</v>
      </c>
      <c r="P436" t="n">
        <v>0</v>
      </c>
      <c r="Q436" t="n">
        <v>0</v>
      </c>
      <c r="R436" t="n">
        <v>0</v>
      </c>
      <c r="S436" t="n">
        <v>1</v>
      </c>
      <c r="T436" t="n">
        <v>1</v>
      </c>
      <c r="U436" t="n">
        <v>0</v>
      </c>
      <c r="V436" s="2" t="inlineStr">
        <is>
          <t>Kungsfågel</t>
        </is>
      </c>
      <c r="W436">
        <f>HYPERLINK("https://klasma.github.io/Logging_0480/artfynd/A 5509-2023 artfynd.xlsx", "A 5509-2023")</f>
        <v/>
      </c>
      <c r="X436">
        <f>HYPERLINK("https://klasma.github.io/Logging_0480/kartor/A 5509-2023 karta.png", "A 5509-2023")</f>
        <v/>
      </c>
      <c r="Y436">
        <f>HYPERLINK("https://klasma.github.io/Logging_0480/kartor_geotiff/A 5509-2023 georefererad karta.tif", "A 5509-2023")</f>
        <v/>
      </c>
      <c r="AA436">
        <f>HYPERLINK("https://klasma.github.io/Logging_0480/klagomål/A 5509-2023 FSC-klagomål.docx", "A 5509-2023")</f>
        <v/>
      </c>
      <c r="AB436">
        <f>HYPERLINK("https://klasma.github.io/Logging_0480/klagomålsmail/A 5509-2023 FSC-klagomål mail.docx", "A 5509-2023")</f>
        <v/>
      </c>
      <c r="AC436">
        <f>HYPERLINK("https://klasma.github.io/Logging_0480/tillsyn/A 5509-2023 tillsynsbegäran.docx", "A 5509-2023")</f>
        <v/>
      </c>
      <c r="AD436">
        <f>HYPERLINK("https://klasma.github.io/Logging_0480/tillsynsmail/A 5509-2023 tillsynsbegäran mail.docx", "A 5509-2023")</f>
        <v/>
      </c>
    </row>
    <row r="437" ht="15" customHeight="1">
      <c r="A437" t="inlineStr">
        <is>
          <t>A 4305-2026</t>
        </is>
      </c>
      <c r="B437" t="inlineStr">
        <is>
          <t>avverkningsanmälan</t>
        </is>
      </c>
      <c r="C437" t="inlineStr">
        <is>
          <t>Föryngringsavverkning</t>
        </is>
      </c>
      <c r="D437" s="1" t="n">
        <v>46045</v>
      </c>
      <c r="E437" s="1" t="n">
        <v>46313</v>
      </c>
      <c r="F437" t="inlineStr">
        <is>
          <t>SÖDERMANLANDS LÄN</t>
        </is>
      </c>
      <c r="G437" t="inlineStr">
        <is>
          <t>NYKÖPING</t>
        </is>
      </c>
      <c r="I437" t="n">
        <v>3.8</v>
      </c>
      <c r="J437" t="n">
        <v>0</v>
      </c>
      <c r="K437" t="n">
        <v>0</v>
      </c>
      <c r="L437" t="n">
        <v>1</v>
      </c>
      <c r="M437" t="n">
        <v>0</v>
      </c>
      <c r="N437" t="n">
        <v>0</v>
      </c>
      <c r="O437" t="n">
        <v>0</v>
      </c>
      <c r="P437" t="n">
        <v>0</v>
      </c>
      <c r="Q437" t="n">
        <v>1</v>
      </c>
      <c r="R437" t="n">
        <v>0</v>
      </c>
      <c r="S437" t="n">
        <v>1</v>
      </c>
      <c r="T437" t="n">
        <v>1</v>
      </c>
      <c r="U437" t="n">
        <v>1</v>
      </c>
      <c r="V437" s="2" t="inlineStr">
        <is>
          <t>Tallticka</t>
        </is>
      </c>
      <c r="W437">
        <f>HYPERLINK("https://klasma.github.io/Logging_0480/artfynd/A 4305-2026 artfynd.xlsx", "A 4305-2026")</f>
        <v/>
      </c>
      <c r="X437">
        <f>HYPERLINK("https://klasma.github.io/Logging_0480/kartor/A 4305-2026 karta.png", "A 4305-2026")</f>
        <v/>
      </c>
      <c r="Y437">
        <f>HYPERLINK("https://klasma.github.io/Logging_0480/kartor_geotiff/A 4305-2026 georefererad karta.tif", "A 4305-2026")</f>
        <v/>
      </c>
      <c r="AA437">
        <f>HYPERLINK("https://klasma.github.io/Logging_0480/klagomål/A 4305-2026 FSC-klagomål.docx", "A 4305-2026")</f>
        <v/>
      </c>
      <c r="AB437">
        <f>HYPERLINK("https://klasma.github.io/Logging_0480/klagomålsmail/A 4305-2026 FSC-klagomål mail.docx", "A 4305-2026")</f>
        <v/>
      </c>
      <c r="AC437">
        <f>HYPERLINK("https://klasma.github.io/Logging_0480/tillsyn/A 4305-2026 tillsynsbegäran.docx", "A 4305-2026")</f>
        <v/>
      </c>
      <c r="AD437">
        <f>HYPERLINK("https://klasma.github.io/Logging_0480/tillsynsmail/A 4305-2026 tillsynsbegäran mail.docx", "A 4305-2026")</f>
        <v/>
      </c>
    </row>
    <row r="438" ht="15" customHeight="1">
      <c r="A438" t="inlineStr">
        <is>
          <t>A 20415-2024</t>
        </is>
      </c>
      <c r="B438" t="inlineStr">
        <is>
          <t>avverkningsanmälan</t>
        </is>
      </c>
      <c r="C438" t="inlineStr">
        <is>
          <t>Föryngringsavverkning</t>
        </is>
      </c>
      <c r="D438" s="1" t="n">
        <v>45435</v>
      </c>
      <c r="E438" s="1" t="n">
        <v>46313</v>
      </c>
      <c r="F438" t="inlineStr">
        <is>
          <t>SÖDERMANLANDS LÄN</t>
        </is>
      </c>
      <c r="G438" t="inlineStr">
        <is>
          <t>NYKÖPING</t>
        </is>
      </c>
      <c r="H438" t="inlineStr">
        <is>
          <t>Kommuner</t>
        </is>
      </c>
      <c r="I438" t="n">
        <v>6.4</v>
      </c>
      <c r="J438" t="n">
        <v>1</v>
      </c>
      <c r="K438" t="n">
        <v>0</v>
      </c>
      <c r="L438" t="n">
        <v>1</v>
      </c>
      <c r="M438" t="n">
        <v>0</v>
      </c>
      <c r="N438" t="n">
        <v>0</v>
      </c>
      <c r="O438" t="n">
        <v>0</v>
      </c>
      <c r="P438" t="n">
        <v>0</v>
      </c>
      <c r="Q438" t="n">
        <v>1</v>
      </c>
      <c r="R438" t="n">
        <v>0</v>
      </c>
      <c r="S438" t="n">
        <v>1</v>
      </c>
      <c r="T438" t="n">
        <v>1</v>
      </c>
      <c r="U438" t="n">
        <v>0</v>
      </c>
      <c r="V438" s="2" t="inlineStr">
        <is>
          <t>Gulsparv</t>
        </is>
      </c>
      <c r="W438">
        <f>HYPERLINK("https://klasma.github.io/Logging_0480/artfynd/A 20415-2024 artfynd.xlsx", "A 20415-2024")</f>
        <v/>
      </c>
      <c r="X438">
        <f>HYPERLINK("https://klasma.github.io/Logging_0480/kartor/A 20415-2024 karta.png", "A 20415-2024")</f>
        <v/>
      </c>
      <c r="Y438">
        <f>HYPERLINK("https://klasma.github.io/Logging_0480/kartor_geotiff/A 20415-2024 georefererad karta.tif", "A 20415-2024")</f>
        <v/>
      </c>
      <c r="AA438">
        <f>HYPERLINK("https://klasma.github.io/Logging_0480/klagomål/A 20415-2024 FSC-klagomål.docx", "A 20415-2024")</f>
        <v/>
      </c>
      <c r="AB438">
        <f>HYPERLINK("https://klasma.github.io/Logging_0480/klagomålsmail/A 20415-2024 FSC-klagomål mail.docx", "A 20415-2024")</f>
        <v/>
      </c>
      <c r="AC438">
        <f>HYPERLINK("https://klasma.github.io/Logging_0480/tillsyn/A 20415-2024 tillsynsbegäran.docx", "A 20415-2024")</f>
        <v/>
      </c>
      <c r="AD438">
        <f>HYPERLINK("https://klasma.github.io/Logging_0480/tillsynsmail/A 20415-2024 tillsynsbegäran mail.docx", "A 20415-2024")</f>
        <v/>
      </c>
      <c r="AE438">
        <f>HYPERLINK("https://klasma.github.io/Logging_0480/fåglar/A 20415-2024 prioriterade fågelarter.docx", "A 20415-2024")</f>
        <v/>
      </c>
    </row>
    <row r="439" ht="15" customHeight="1">
      <c r="A439" t="inlineStr">
        <is>
          <t>A 20425-2024</t>
        </is>
      </c>
      <c r="B439" t="inlineStr">
        <is>
          <t>avverkningsanmälan</t>
        </is>
      </c>
      <c r="C439" t="inlineStr">
        <is>
          <t>Föryngringsavverkning</t>
        </is>
      </c>
      <c r="D439" s="1" t="n">
        <v>45435</v>
      </c>
      <c r="E439" s="1" t="n">
        <v>46313</v>
      </c>
      <c r="F439" t="inlineStr">
        <is>
          <t>SÖDERMANLANDS LÄN</t>
        </is>
      </c>
      <c r="G439" t="inlineStr">
        <is>
          <t>NYKÖPING</t>
        </is>
      </c>
      <c r="H439" t="inlineStr">
        <is>
          <t>Kommuner</t>
        </is>
      </c>
      <c r="I439" t="n">
        <v>1.3</v>
      </c>
      <c r="J439" t="n">
        <v>0</v>
      </c>
      <c r="K439" t="n">
        <v>0</v>
      </c>
      <c r="L439" t="n">
        <v>0</v>
      </c>
      <c r="M439" t="n">
        <v>0</v>
      </c>
      <c r="N439" t="n">
        <v>1</v>
      </c>
      <c r="O439" t="n">
        <v>0</v>
      </c>
      <c r="P439" t="n">
        <v>0</v>
      </c>
      <c r="Q439" t="n">
        <v>1</v>
      </c>
      <c r="R439" t="n">
        <v>1</v>
      </c>
      <c r="S439" t="n">
        <v>1</v>
      </c>
      <c r="T439" t="n">
        <v>1</v>
      </c>
      <c r="U439" t="n">
        <v>0</v>
      </c>
      <c r="V439" s="2" t="inlineStr">
        <is>
          <t>Skogsalm</t>
        </is>
      </c>
      <c r="W439">
        <f>HYPERLINK("https://klasma.github.io/Logging_0480/artfynd/A 20425-2024 artfynd.xlsx", "A 20425-2024")</f>
        <v/>
      </c>
      <c r="X439">
        <f>HYPERLINK("https://klasma.github.io/Logging_0480/kartor/A 20425-2024 karta.png", "A 20425-2024")</f>
        <v/>
      </c>
      <c r="Y439">
        <f>HYPERLINK("https://klasma.github.io/Logging_0480/kartor_geotiff/A 20425-2024 georefererad karta.tif", "A 20425-2024")</f>
        <v/>
      </c>
      <c r="AA439">
        <f>HYPERLINK("https://klasma.github.io/Logging_0480/klagomål/A 20425-2024 FSC-klagomål.docx", "A 20425-2024")</f>
        <v/>
      </c>
      <c r="AB439">
        <f>HYPERLINK("https://klasma.github.io/Logging_0480/klagomålsmail/A 20425-2024 FSC-klagomål mail.docx", "A 20425-2024")</f>
        <v/>
      </c>
      <c r="AC439">
        <f>HYPERLINK("https://klasma.github.io/Logging_0480/tillsyn/A 20425-2024 tillsynsbegäran.docx", "A 20425-2024")</f>
        <v/>
      </c>
      <c r="AD439">
        <f>HYPERLINK("https://klasma.github.io/Logging_0480/tillsynsmail/A 20425-2024 tillsynsbegäran mail.docx", "A 20425-2024")</f>
        <v/>
      </c>
    </row>
    <row r="440" ht="15" customHeight="1">
      <c r="A440" t="inlineStr">
        <is>
          <t>A 26491-2026</t>
        </is>
      </c>
      <c r="B440" t="inlineStr">
        <is>
          <t>avverkningsanmälan</t>
        </is>
      </c>
      <c r="C440" t="inlineStr">
        <is>
          <t>Föryngringsavverkning</t>
        </is>
      </c>
      <c r="D440" s="1" t="n">
        <v>46183</v>
      </c>
      <c r="E440" s="1" t="n">
        <v>46313</v>
      </c>
      <c r="F440" t="inlineStr">
        <is>
          <t>SÖDERMANLANDS LÄN</t>
        </is>
      </c>
      <c r="G440" t="inlineStr">
        <is>
          <t>KATRINEHOLM</t>
        </is>
      </c>
      <c r="I440" t="n">
        <v>6.5</v>
      </c>
      <c r="J440" t="n">
        <v>0</v>
      </c>
      <c r="K440" t="n">
        <v>0</v>
      </c>
      <c r="L440" t="n">
        <v>1</v>
      </c>
      <c r="M440" t="n">
        <v>0</v>
      </c>
      <c r="N440" t="n">
        <v>0</v>
      </c>
      <c r="O440" t="n">
        <v>0</v>
      </c>
      <c r="P440" t="n">
        <v>0</v>
      </c>
      <c r="Q440" t="n">
        <v>1</v>
      </c>
      <c r="R440" t="n">
        <v>0</v>
      </c>
      <c r="S440" t="n">
        <v>1</v>
      </c>
      <c r="T440" t="n">
        <v>1</v>
      </c>
      <c r="U440" t="n">
        <v>1</v>
      </c>
      <c r="V440" s="2" t="inlineStr">
        <is>
          <t>Jungfrulinspraktmal</t>
        </is>
      </c>
      <c r="W440">
        <f>HYPERLINK("https://klasma.github.io/Logging_0483/artfynd/A 26491-2026 artfynd.xlsx", "A 26491-2026")</f>
        <v/>
      </c>
      <c r="X440">
        <f>HYPERLINK("https://klasma.github.io/Logging_0483/kartor/A 26491-2026 karta.png", "A 26491-2026")</f>
        <v/>
      </c>
      <c r="Y440">
        <f>HYPERLINK("https://klasma.github.io/Logging_0483/kartor_geotiff/A 26491-2026 georefererad karta.tif", "A 26491-2026")</f>
        <v/>
      </c>
      <c r="AA440">
        <f>HYPERLINK("https://klasma.github.io/Logging_0483/klagomål/A 26491-2026 FSC-klagomål.docx", "A 26491-2026")</f>
        <v/>
      </c>
      <c r="AB440">
        <f>HYPERLINK("https://klasma.github.io/Logging_0483/klagomålsmail/A 26491-2026 FSC-klagomål mail.docx", "A 26491-2026")</f>
        <v/>
      </c>
      <c r="AC440">
        <f>HYPERLINK("https://klasma.github.io/Logging_0483/tillsyn/A 26491-2026 tillsynsbegäran.docx", "A 26491-2026")</f>
        <v/>
      </c>
      <c r="AD440">
        <f>HYPERLINK("https://klasma.github.io/Logging_0483/tillsynsmail/A 26491-2026 tillsynsbegäran mail.docx", "A 26491-2026")</f>
        <v/>
      </c>
    </row>
    <row r="441" ht="15" customHeight="1">
      <c r="A441" t="inlineStr">
        <is>
          <t>A 26097-2026</t>
        </is>
      </c>
      <c r="B441" t="inlineStr">
        <is>
          <t>avverkningsanmälan</t>
        </is>
      </c>
      <c r="C441" t="inlineStr">
        <is>
          <t>Föryngringsavverkning</t>
        </is>
      </c>
      <c r="D441" s="1" t="n">
        <v>46181</v>
      </c>
      <c r="E441" s="1" t="n">
        <v>46313</v>
      </c>
      <c r="F441" t="inlineStr">
        <is>
          <t>SÖDERMANLANDS LÄN</t>
        </is>
      </c>
      <c r="G441" t="inlineStr">
        <is>
          <t>ESKILSTUNA</t>
        </is>
      </c>
      <c r="H441" t="inlineStr">
        <is>
          <t>Sveaskog</t>
        </is>
      </c>
      <c r="I441" t="n">
        <v>2.5</v>
      </c>
      <c r="J441" t="n">
        <v>0</v>
      </c>
      <c r="K441" t="n">
        <v>0</v>
      </c>
      <c r="L441" t="n">
        <v>1</v>
      </c>
      <c r="M441" t="n">
        <v>0</v>
      </c>
      <c r="N441" t="n">
        <v>0</v>
      </c>
      <c r="O441" t="n">
        <v>0</v>
      </c>
      <c r="P441" t="n">
        <v>0</v>
      </c>
      <c r="Q441" t="n">
        <v>1</v>
      </c>
      <c r="R441" t="n">
        <v>0</v>
      </c>
      <c r="S441" t="n">
        <v>1</v>
      </c>
      <c r="T441" t="n">
        <v>1</v>
      </c>
      <c r="U441" t="n">
        <v>1</v>
      </c>
      <c r="V441" s="2" t="inlineStr">
        <is>
          <t>Svinrot</t>
        </is>
      </c>
      <c r="W441">
        <f>HYPERLINK("https://klasma.github.io/Logging_0484/artfynd/A 26097-2026 artfynd.xlsx", "A 26097-2026")</f>
        <v/>
      </c>
      <c r="X441">
        <f>HYPERLINK("https://klasma.github.io/Logging_0484/kartor/A 26097-2026 karta.png", "A 26097-2026")</f>
        <v/>
      </c>
      <c r="Y441">
        <f>HYPERLINK("https://klasma.github.io/Logging_0484/kartor_geotiff/A 26097-2026 georefererad karta.tif", "A 26097-2026")</f>
        <v/>
      </c>
      <c r="AA441">
        <f>HYPERLINK("https://klasma.github.io/Logging_0484/klagomål/A 26097-2026 FSC-klagomål.docx", "A 26097-2026")</f>
        <v/>
      </c>
      <c r="AB441">
        <f>HYPERLINK("https://klasma.github.io/Logging_0484/klagomålsmail/A 26097-2026 FSC-klagomål mail.docx", "A 26097-2026")</f>
        <v/>
      </c>
      <c r="AC441">
        <f>HYPERLINK("https://klasma.github.io/Logging_0484/tillsyn/A 26097-2026 tillsynsbegäran.docx", "A 26097-2026")</f>
        <v/>
      </c>
      <c r="AD441">
        <f>HYPERLINK("https://klasma.github.io/Logging_0484/tillsynsmail/A 26097-2026 tillsynsbegäran mail.docx", "A 26097-2026")</f>
        <v/>
      </c>
    </row>
    <row r="442" ht="15" customHeight="1">
      <c r="A442" t="inlineStr">
        <is>
          <t>A 46987-2024</t>
        </is>
      </c>
      <c r="B442" t="inlineStr">
        <is>
          <t>avverkningsanmälan</t>
        </is>
      </c>
      <c r="C442" t="inlineStr">
        <is>
          <t>Föryngringsavverkning</t>
        </is>
      </c>
      <c r="D442" s="1" t="n">
        <v>45586</v>
      </c>
      <c r="E442" s="1" t="n">
        <v>46313</v>
      </c>
      <c r="F442" t="inlineStr">
        <is>
          <t>SÖDERMANLANDS LÄN</t>
        </is>
      </c>
      <c r="G442" t="inlineStr">
        <is>
          <t>FLEN</t>
        </is>
      </c>
      <c r="I442" t="n">
        <v>1.2</v>
      </c>
      <c r="J442" t="n">
        <v>0</v>
      </c>
      <c r="K442" t="n">
        <v>0</v>
      </c>
      <c r="L442" t="n">
        <v>1</v>
      </c>
      <c r="M442" t="n">
        <v>0</v>
      </c>
      <c r="N442" t="n">
        <v>0</v>
      </c>
      <c r="O442" t="n">
        <v>0</v>
      </c>
      <c r="P442" t="n">
        <v>0</v>
      </c>
      <c r="Q442" t="n">
        <v>1</v>
      </c>
      <c r="R442" t="n">
        <v>0</v>
      </c>
      <c r="S442" t="n">
        <v>1</v>
      </c>
      <c r="T442" t="n">
        <v>1</v>
      </c>
      <c r="U442" t="n">
        <v>1</v>
      </c>
      <c r="V442" s="2" t="inlineStr">
        <is>
          <t>Svinrot</t>
        </is>
      </c>
      <c r="W442">
        <f>HYPERLINK("https://klasma.github.io/Logging_0482/artfynd/A 46987-2024 artfynd.xlsx", "A 46987-2024")</f>
        <v/>
      </c>
      <c r="X442">
        <f>HYPERLINK("https://klasma.github.io/Logging_0482/kartor/A 46987-2024 karta.png", "A 46987-2024")</f>
        <v/>
      </c>
      <c r="Y442">
        <f>HYPERLINK("https://klasma.github.io/Logging_0482/kartor_geotiff/A 46987-2024 georefererad karta.tif", "A 46987-2024")</f>
        <v/>
      </c>
      <c r="AA442">
        <f>HYPERLINK("https://klasma.github.io/Logging_0482/klagomål/A 46987-2024 FSC-klagomål.docx", "A 46987-2024")</f>
        <v/>
      </c>
      <c r="AB442">
        <f>HYPERLINK("https://klasma.github.io/Logging_0482/klagomålsmail/A 46987-2024 FSC-klagomål mail.docx", "A 46987-2024")</f>
        <v/>
      </c>
      <c r="AC442">
        <f>HYPERLINK("https://klasma.github.io/Logging_0482/tillsyn/A 46987-2024 tillsynsbegäran.docx", "A 46987-2024")</f>
        <v/>
      </c>
      <c r="AD442">
        <f>HYPERLINK("https://klasma.github.io/Logging_0482/tillsynsmail/A 46987-2024 tillsynsbegäran mail.docx", "A 46987-2024")</f>
        <v/>
      </c>
    </row>
    <row r="443" ht="15" customHeight="1">
      <c r="A443" t="inlineStr">
        <is>
          <t>A 26052-2026</t>
        </is>
      </c>
      <c r="B443" t="inlineStr">
        <is>
          <t>avverkningsanmälan</t>
        </is>
      </c>
      <c r="C443" t="inlineStr">
        <is>
          <t>Föryngringsavverkning</t>
        </is>
      </c>
      <c r="D443" s="1" t="n">
        <v>46181</v>
      </c>
      <c r="E443" s="1" t="n">
        <v>46313</v>
      </c>
      <c r="F443" t="inlineStr">
        <is>
          <t>SÖDERMANLANDS LÄN</t>
        </is>
      </c>
      <c r="G443" t="inlineStr">
        <is>
          <t>FLEN</t>
        </is>
      </c>
      <c r="H443" t="inlineStr">
        <is>
          <t>Holmen skog AB</t>
        </is>
      </c>
      <c r="I443" t="n">
        <v>3</v>
      </c>
      <c r="J443" t="n">
        <v>1</v>
      </c>
      <c r="K443" t="n">
        <v>0</v>
      </c>
      <c r="L443" t="n">
        <v>0</v>
      </c>
      <c r="M443" t="n">
        <v>0</v>
      </c>
      <c r="N443" t="n">
        <v>0</v>
      </c>
      <c r="O443" t="n">
        <v>0</v>
      </c>
      <c r="P443" t="n">
        <v>0</v>
      </c>
      <c r="Q443" t="n">
        <v>0</v>
      </c>
      <c r="R443" t="n">
        <v>0</v>
      </c>
      <c r="S443" t="n">
        <v>1</v>
      </c>
      <c r="T443" t="n">
        <v>1</v>
      </c>
      <c r="U443" t="n">
        <v>0</v>
      </c>
      <c r="V443" s="2" t="inlineStr">
        <is>
          <t>Revlummer</t>
        </is>
      </c>
      <c r="W443">
        <f>HYPERLINK("https://klasma.github.io/Logging_0482/artfynd/A 26052-2026 artfynd.xlsx", "A 26052-2026")</f>
        <v/>
      </c>
      <c r="X443">
        <f>HYPERLINK("https://klasma.github.io/Logging_0482/kartor/A 26052-2026 karta.png", "A 26052-2026")</f>
        <v/>
      </c>
      <c r="Y443">
        <f>HYPERLINK("https://klasma.github.io/Logging_0482/kartor_geotiff/A 26052-2026 georefererad karta.tif", "A 26052-2026")</f>
        <v/>
      </c>
      <c r="AA443">
        <f>HYPERLINK("https://klasma.github.io/Logging_0482/klagomål/A 26052-2026 FSC-klagomål.docx", "A 26052-2026")</f>
        <v/>
      </c>
      <c r="AB443">
        <f>HYPERLINK("https://klasma.github.io/Logging_0482/klagomålsmail/A 26052-2026 FSC-klagomål mail.docx", "A 26052-2026")</f>
        <v/>
      </c>
      <c r="AC443">
        <f>HYPERLINK("https://klasma.github.io/Logging_0482/tillsyn/A 26052-2026 tillsynsbegäran.docx", "A 26052-2026")</f>
        <v/>
      </c>
      <c r="AD443">
        <f>HYPERLINK("https://klasma.github.io/Logging_0482/tillsynsmail/A 26052-2026 tillsynsbegäran mail.docx", "A 26052-2026")</f>
        <v/>
      </c>
    </row>
    <row r="444" ht="15" customHeight="1">
      <c r="A444" t="inlineStr">
        <is>
          <t>A 26008-2026</t>
        </is>
      </c>
      <c r="B444" t="inlineStr">
        <is>
          <t>avverkningsanmälan</t>
        </is>
      </c>
      <c r="C444" t="inlineStr">
        <is>
          <t>Föryngringsavverkning</t>
        </is>
      </c>
      <c r="D444" s="1" t="n">
        <v>46181</v>
      </c>
      <c r="E444" s="1" t="n">
        <v>46313</v>
      </c>
      <c r="F444" t="inlineStr">
        <is>
          <t>SÖDERMANLANDS LÄN</t>
        </is>
      </c>
      <c r="G444" t="inlineStr">
        <is>
          <t>ESKILSTUNA</t>
        </is>
      </c>
      <c r="I444" t="n">
        <v>2.8</v>
      </c>
      <c r="J444" t="n">
        <v>0</v>
      </c>
      <c r="K444" t="n">
        <v>1</v>
      </c>
      <c r="L444" t="n">
        <v>0</v>
      </c>
      <c r="M444" t="n">
        <v>0</v>
      </c>
      <c r="N444" t="n">
        <v>0</v>
      </c>
      <c r="O444" t="n">
        <v>0</v>
      </c>
      <c r="P444" t="n">
        <v>0</v>
      </c>
      <c r="Q444" t="n">
        <v>0</v>
      </c>
      <c r="R444" t="n">
        <v>0</v>
      </c>
      <c r="S444" t="n">
        <v>1</v>
      </c>
      <c r="T444" t="n">
        <v>8</v>
      </c>
      <c r="U444" t="n">
        <v>0</v>
      </c>
      <c r="V444" s="2" t="inlineStr">
        <is>
          <t>Svart trolldruva</t>
        </is>
      </c>
      <c r="W444">
        <f>HYPERLINK("https://klasma.github.io/Logging_0484/artfynd/A 26008-2026 artfynd.xlsx", "A 26008-2026")</f>
        <v/>
      </c>
      <c r="X444">
        <f>HYPERLINK("https://klasma.github.io/Logging_0484/kartor/A 26008-2026 karta.png", "A 26008-2026")</f>
        <v/>
      </c>
      <c r="Y444">
        <f>HYPERLINK("https://klasma.github.io/Logging_0484/kartor_geotiff/A 26008-2026 georefererad karta.tif", "A 26008-2026")</f>
        <v/>
      </c>
      <c r="AA444">
        <f>HYPERLINK("https://klasma.github.io/Logging_0484/klagomål/A 26008-2026 FSC-klagomål.docx", "A 26008-2026")</f>
        <v/>
      </c>
      <c r="AB444">
        <f>HYPERLINK("https://klasma.github.io/Logging_0484/klagomålsmail/A 26008-2026 FSC-klagomål mail.docx", "A 26008-2026")</f>
        <v/>
      </c>
      <c r="AC444">
        <f>HYPERLINK("https://klasma.github.io/Logging_0484/tillsyn/A 26008-2026 tillsynsbegäran.docx", "A 26008-2026")</f>
        <v/>
      </c>
      <c r="AD444">
        <f>HYPERLINK("https://klasma.github.io/Logging_0484/tillsynsmail/A 26008-2026 tillsynsbegäran mail.docx", "A 26008-2026")</f>
        <v/>
      </c>
    </row>
    <row r="445" ht="15" customHeight="1">
      <c r="A445" t="inlineStr">
        <is>
          <t>A 26094-2026</t>
        </is>
      </c>
      <c r="B445" t="inlineStr">
        <is>
          <t>avverkningsanmälan</t>
        </is>
      </c>
      <c r="C445" t="inlineStr">
        <is>
          <t>Föryngringsavverkning</t>
        </is>
      </c>
      <c r="D445" s="1" t="n">
        <v>46181</v>
      </c>
      <c r="E445" s="1" t="n">
        <v>46313</v>
      </c>
      <c r="F445" t="inlineStr">
        <is>
          <t>SÖDERMANLANDS LÄN</t>
        </is>
      </c>
      <c r="G445" t="inlineStr">
        <is>
          <t>ESKILSTUNA</t>
        </is>
      </c>
      <c r="H445" t="inlineStr">
        <is>
          <t>Sveaskog</t>
        </is>
      </c>
      <c r="I445" t="n">
        <v>3.4</v>
      </c>
      <c r="J445" t="n">
        <v>1</v>
      </c>
      <c r="K445" t="n">
        <v>0</v>
      </c>
      <c r="L445" t="n">
        <v>0</v>
      </c>
      <c r="M445" t="n">
        <v>0</v>
      </c>
      <c r="N445" t="n">
        <v>0</v>
      </c>
      <c r="O445" t="n">
        <v>0</v>
      </c>
      <c r="P445" t="n">
        <v>0</v>
      </c>
      <c r="Q445" t="n">
        <v>0</v>
      </c>
      <c r="R445" t="n">
        <v>0</v>
      </c>
      <c r="S445" t="n">
        <v>1</v>
      </c>
      <c r="T445" t="n">
        <v>1</v>
      </c>
      <c r="U445" t="n">
        <v>1</v>
      </c>
      <c r="V445" s="2" t="inlineStr">
        <is>
          <t>Spillkråka</t>
        </is>
      </c>
      <c r="W445">
        <f>HYPERLINK("https://klasma.github.io/Logging_0484/artfynd/A 26094-2026 artfynd.xlsx", "A 26094-2026")</f>
        <v/>
      </c>
      <c r="X445">
        <f>HYPERLINK("https://klasma.github.io/Logging_0484/kartor/A 26094-2026 karta.png", "A 26094-2026")</f>
        <v/>
      </c>
      <c r="Y445">
        <f>HYPERLINK("https://klasma.github.io/Logging_0484/kartor_geotiff/A 26094-2026 georefererad karta.tif", "A 26094-2026")</f>
        <v/>
      </c>
      <c r="AA445">
        <f>HYPERLINK("https://klasma.github.io/Logging_0484/klagomål/A 26094-2026 FSC-klagomål.docx", "A 26094-2026")</f>
        <v/>
      </c>
      <c r="AB445">
        <f>HYPERLINK("https://klasma.github.io/Logging_0484/klagomålsmail/A 26094-2026 FSC-klagomål mail.docx", "A 26094-2026")</f>
        <v/>
      </c>
      <c r="AC445">
        <f>HYPERLINK("https://klasma.github.io/Logging_0484/tillsyn/A 26094-2026 tillsynsbegäran.docx", "A 26094-2026")</f>
        <v/>
      </c>
      <c r="AD445">
        <f>HYPERLINK("https://klasma.github.io/Logging_0484/tillsynsmail/A 26094-2026 tillsynsbegäran mail.docx", "A 26094-2026")</f>
        <v/>
      </c>
      <c r="AE445">
        <f>HYPERLINK("https://klasma.github.io/Logging_0484/fåglar/A 26094-2026 prioriterade fågelarter.docx", "A 26094-2026")</f>
        <v/>
      </c>
    </row>
    <row r="446" ht="15" customHeight="1">
      <c r="A446" t="inlineStr">
        <is>
          <t>A 11123-2023</t>
        </is>
      </c>
      <c r="B446" t="inlineStr">
        <is>
          <t>avverkningsanmälan</t>
        </is>
      </c>
      <c r="C446" t="inlineStr">
        <is>
          <t>Avverkning för annat ändamål</t>
        </is>
      </c>
      <c r="D446" s="1" t="n">
        <v>44986</v>
      </c>
      <c r="E446" s="1" t="n">
        <v>46313</v>
      </c>
      <c r="F446" t="inlineStr">
        <is>
          <t>SÖDERMANLANDS LÄN</t>
        </is>
      </c>
      <c r="G446" t="inlineStr">
        <is>
          <t>TROSA</t>
        </is>
      </c>
      <c r="H446" t="inlineStr">
        <is>
          <t>Övriga statliga verk och myndigheter</t>
        </is>
      </c>
      <c r="I446" t="n">
        <v>9.4</v>
      </c>
      <c r="J446" t="n">
        <v>1</v>
      </c>
      <c r="K446" t="n">
        <v>0</v>
      </c>
      <c r="L446" t="n">
        <v>0</v>
      </c>
      <c r="M446" t="n">
        <v>0</v>
      </c>
      <c r="N446" t="n">
        <v>0</v>
      </c>
      <c r="O446" t="n">
        <v>0</v>
      </c>
      <c r="P446" t="n">
        <v>0</v>
      </c>
      <c r="Q446" t="n">
        <v>0</v>
      </c>
      <c r="R446" t="n">
        <v>0</v>
      </c>
      <c r="S446" t="n">
        <v>1</v>
      </c>
      <c r="T446" t="n">
        <v>1</v>
      </c>
      <c r="U446" t="n">
        <v>1</v>
      </c>
      <c r="V446" s="2" t="inlineStr">
        <is>
          <t>Kungsfågel</t>
        </is>
      </c>
      <c r="W446">
        <f>HYPERLINK("https://klasma.github.io/Logging_0488/artfynd/A 11123-2023 artfynd.xlsx", "A 11123-2023")</f>
        <v/>
      </c>
      <c r="X446">
        <f>HYPERLINK("https://klasma.github.io/Logging_0488/kartor/A 11123-2023 karta.png", "A 11123-2023")</f>
        <v/>
      </c>
      <c r="Y446">
        <f>HYPERLINK("https://klasma.github.io/Logging_0488/kartor_geotiff/A 11123-2023 georefererad karta.tif", "A 11123-2023")</f>
        <v/>
      </c>
      <c r="AA446">
        <f>HYPERLINK("https://klasma.github.io/Logging_0488/klagomål/A 11123-2023 FSC-klagomål.docx", "A 11123-2023")</f>
        <v/>
      </c>
      <c r="AB446">
        <f>HYPERLINK("https://klasma.github.io/Logging_0488/klagomålsmail/A 11123-2023 FSC-klagomål mail.docx", "A 11123-2023")</f>
        <v/>
      </c>
      <c r="AC446">
        <f>HYPERLINK("https://klasma.github.io/Logging_0488/tillsyn/A 11123-2023 tillsynsbegäran.docx", "A 11123-2023")</f>
        <v/>
      </c>
      <c r="AD446">
        <f>HYPERLINK("https://klasma.github.io/Logging_0488/tillsynsmail/A 11123-2023 tillsynsbegäran mail.docx", "A 11123-2023")</f>
        <v/>
      </c>
    </row>
    <row r="447" ht="15" customHeight="1">
      <c r="A447" t="inlineStr">
        <is>
          <t>A 10770-2022</t>
        </is>
      </c>
      <c r="B447" t="inlineStr">
        <is>
          <t>avverkningsanmälan</t>
        </is>
      </c>
      <c r="C447" t="inlineStr">
        <is>
          <t>Föryngringsavverkning</t>
        </is>
      </c>
      <c r="D447" s="1" t="n">
        <v>44624</v>
      </c>
      <c r="E447" s="1" t="n">
        <v>46313</v>
      </c>
      <c r="F447" t="inlineStr">
        <is>
          <t>SÖDERMANLANDS LÄN</t>
        </is>
      </c>
      <c r="G447" t="inlineStr">
        <is>
          <t>FLEN</t>
        </is>
      </c>
      <c r="I447" t="n">
        <v>2.3</v>
      </c>
      <c r="J447" t="n">
        <v>0</v>
      </c>
      <c r="K447" t="n">
        <v>0</v>
      </c>
      <c r="L447" t="n">
        <v>1</v>
      </c>
      <c r="M447" t="n">
        <v>0</v>
      </c>
      <c r="N447" t="n">
        <v>0</v>
      </c>
      <c r="O447" t="n">
        <v>0</v>
      </c>
      <c r="P447" t="n">
        <v>0</v>
      </c>
      <c r="Q447" t="n">
        <v>1</v>
      </c>
      <c r="R447" t="n">
        <v>0</v>
      </c>
      <c r="S447" t="n">
        <v>1</v>
      </c>
      <c r="T447" t="n">
        <v>1</v>
      </c>
      <c r="U447" t="n">
        <v>1</v>
      </c>
      <c r="V447" s="2" t="inlineStr">
        <is>
          <t>Svinrot</t>
        </is>
      </c>
      <c r="W447">
        <f>HYPERLINK("https://klasma.github.io/Logging_0482/artfynd/A 10770-2022 artfynd.xlsx", "A 10770-2022")</f>
        <v/>
      </c>
      <c r="X447">
        <f>HYPERLINK("https://klasma.github.io/Logging_0482/kartor/A 10770-2022 karta.png", "A 10770-2022")</f>
        <v/>
      </c>
      <c r="Y447">
        <f>HYPERLINK("https://klasma.github.io/Logging_0482/kartor_geotiff/A 10770-2022 georefererad karta.tif", "A 10770-2022")</f>
        <v/>
      </c>
      <c r="AA447">
        <f>HYPERLINK("https://klasma.github.io/Logging_0482/klagomål/A 10770-2022 FSC-klagomål.docx", "A 10770-2022")</f>
        <v/>
      </c>
      <c r="AB447">
        <f>HYPERLINK("https://klasma.github.io/Logging_0482/klagomålsmail/A 10770-2022 FSC-klagomål mail.docx", "A 10770-2022")</f>
        <v/>
      </c>
      <c r="AC447">
        <f>HYPERLINK("https://klasma.github.io/Logging_0482/tillsyn/A 10770-2022 tillsynsbegäran.docx", "A 10770-2022")</f>
        <v/>
      </c>
      <c r="AD447">
        <f>HYPERLINK("https://klasma.github.io/Logging_0482/tillsynsmail/A 10770-2022 tillsynsbegäran mail.docx", "A 10770-2022")</f>
        <v/>
      </c>
    </row>
    <row r="448" ht="15" customHeight="1">
      <c r="A448" t="inlineStr">
        <is>
          <t>A 6714-2026</t>
        </is>
      </c>
      <c r="B448" t="inlineStr">
        <is>
          <t>avverkningsanmälan</t>
        </is>
      </c>
      <c r="C448" t="inlineStr">
        <is>
          <t>Föryngringsavverkning</t>
        </is>
      </c>
      <c r="D448" s="1" t="n">
        <v>46056</v>
      </c>
      <c r="E448" s="1" t="n">
        <v>46313</v>
      </c>
      <c r="F448" t="inlineStr">
        <is>
          <t>SÖDERMANLANDS LÄN</t>
        </is>
      </c>
      <c r="G448" t="inlineStr">
        <is>
          <t>FLEN</t>
        </is>
      </c>
      <c r="I448" t="n">
        <v>4.6</v>
      </c>
      <c r="J448" t="n">
        <v>0</v>
      </c>
      <c r="K448" t="n">
        <v>0</v>
      </c>
      <c r="L448" t="n">
        <v>1</v>
      </c>
      <c r="M448" t="n">
        <v>0</v>
      </c>
      <c r="N448" t="n">
        <v>0</v>
      </c>
      <c r="O448" t="n">
        <v>0</v>
      </c>
      <c r="P448" t="n">
        <v>0</v>
      </c>
      <c r="Q448" t="n">
        <v>1</v>
      </c>
      <c r="R448" t="n">
        <v>0</v>
      </c>
      <c r="S448" t="n">
        <v>1</v>
      </c>
      <c r="T448" t="n">
        <v>1</v>
      </c>
      <c r="U448" t="n">
        <v>0</v>
      </c>
      <c r="V448" s="2" t="inlineStr">
        <is>
          <t>Svinrot</t>
        </is>
      </c>
      <c r="W448">
        <f>HYPERLINK("https://klasma.github.io/Logging_0482/artfynd/A 6714-2026 artfynd.xlsx", "A 6714-2026")</f>
        <v/>
      </c>
      <c r="X448">
        <f>HYPERLINK("https://klasma.github.io/Logging_0482/kartor/A 6714-2026 karta.png", "A 6714-2026")</f>
        <v/>
      </c>
      <c r="Y448">
        <f>HYPERLINK("https://klasma.github.io/Logging_0482/kartor_geotiff/A 6714-2026 georefererad karta.tif", "A 6714-2026")</f>
        <v/>
      </c>
      <c r="AA448">
        <f>HYPERLINK("https://klasma.github.io/Logging_0482/klagomål/A 6714-2026 FSC-klagomål.docx", "A 6714-2026")</f>
        <v/>
      </c>
      <c r="AB448">
        <f>HYPERLINK("https://klasma.github.io/Logging_0482/klagomålsmail/A 6714-2026 FSC-klagomål mail.docx", "A 6714-2026")</f>
        <v/>
      </c>
      <c r="AC448">
        <f>HYPERLINK("https://klasma.github.io/Logging_0482/tillsyn/A 6714-2026 tillsynsbegäran.docx", "A 6714-2026")</f>
        <v/>
      </c>
      <c r="AD448">
        <f>HYPERLINK("https://klasma.github.io/Logging_0482/tillsynsmail/A 6714-2026 tillsynsbegäran mail.docx", "A 6714-2026")</f>
        <v/>
      </c>
    </row>
    <row r="449" ht="15" customHeight="1">
      <c r="A449" t="inlineStr">
        <is>
          <t>A 41511-2022</t>
        </is>
      </c>
      <c r="B449" t="inlineStr">
        <is>
          <t>avverkningsanmälan</t>
        </is>
      </c>
      <c r="C449" t="inlineStr">
        <is>
          <t>Föryngringsavverkning</t>
        </is>
      </c>
      <c r="D449" s="1" t="n">
        <v>44827</v>
      </c>
      <c r="E449" s="1" t="n">
        <v>46313</v>
      </c>
      <c r="F449" t="inlineStr">
        <is>
          <t>SÖDERMANLANDS LÄN</t>
        </is>
      </c>
      <c r="G449" t="inlineStr">
        <is>
          <t>STRÄNGNÄS</t>
        </is>
      </c>
      <c r="H449" t="inlineStr">
        <is>
          <t>Övriga Aktiebolag</t>
        </is>
      </c>
      <c r="I449" t="n">
        <v>5</v>
      </c>
      <c r="J449" t="n">
        <v>0</v>
      </c>
      <c r="K449" t="n">
        <v>0</v>
      </c>
      <c r="L449" t="n">
        <v>1</v>
      </c>
      <c r="M449" t="n">
        <v>0</v>
      </c>
      <c r="N449" t="n">
        <v>0</v>
      </c>
      <c r="O449" t="n">
        <v>0</v>
      </c>
      <c r="P449" t="n">
        <v>0</v>
      </c>
      <c r="Q449" t="n">
        <v>1</v>
      </c>
      <c r="R449" t="n">
        <v>0</v>
      </c>
      <c r="S449" t="n">
        <v>1</v>
      </c>
      <c r="T449" t="n">
        <v>2</v>
      </c>
      <c r="U449" t="n">
        <v>0</v>
      </c>
      <c r="V449" s="2" t="inlineStr">
        <is>
          <t>Tallticka</t>
        </is>
      </c>
      <c r="W449">
        <f>HYPERLINK("https://klasma.github.io/Logging_0486/artfynd/A 41511-2022 artfynd.xlsx", "A 41511-2022")</f>
        <v/>
      </c>
      <c r="X449">
        <f>HYPERLINK("https://klasma.github.io/Logging_0486/kartor/A 41511-2022 karta.png", "A 41511-2022")</f>
        <v/>
      </c>
      <c r="Y449">
        <f>HYPERLINK("https://klasma.github.io/Logging_0486/kartor_geotiff/A 41511-2022 georefererad karta.tif", "A 41511-2022")</f>
        <v/>
      </c>
      <c r="AA449">
        <f>HYPERLINK("https://klasma.github.io/Logging_0486/klagomål/A 41511-2022 FSC-klagomål.docx", "A 41511-2022")</f>
        <v/>
      </c>
      <c r="AB449">
        <f>HYPERLINK("https://klasma.github.io/Logging_0486/klagomålsmail/A 41511-2022 FSC-klagomål mail.docx", "A 41511-2022")</f>
        <v/>
      </c>
      <c r="AC449">
        <f>HYPERLINK("https://klasma.github.io/Logging_0486/tillsyn/A 41511-2022 tillsynsbegäran.docx", "A 41511-2022")</f>
        <v/>
      </c>
      <c r="AD449">
        <f>HYPERLINK("https://klasma.github.io/Logging_0486/tillsynsmail/A 41511-2022 tillsynsbegäran mail.docx", "A 41511-2022")</f>
        <v/>
      </c>
    </row>
    <row r="450" ht="15" customHeight="1">
      <c r="A450" t="inlineStr">
        <is>
          <t>A 13724-2024</t>
        </is>
      </c>
      <c r="B450" t="inlineStr">
        <is>
          <t>avverkningsanmälan</t>
        </is>
      </c>
      <c r="C450" t="inlineStr">
        <is>
          <t>Föryngringsavverkning</t>
        </is>
      </c>
      <c r="D450" s="1" t="n">
        <v>45390</v>
      </c>
      <c r="E450" s="1" t="n">
        <v>46313</v>
      </c>
      <c r="F450" t="inlineStr">
        <is>
          <t>SÖDERMANLANDS LÄN</t>
        </is>
      </c>
      <c r="G450" t="inlineStr">
        <is>
          <t>NYKÖPING</t>
        </is>
      </c>
      <c r="I450" t="n">
        <v>0.9</v>
      </c>
      <c r="J450" t="n">
        <v>0</v>
      </c>
      <c r="K450" t="n">
        <v>0</v>
      </c>
      <c r="L450" t="n">
        <v>1</v>
      </c>
      <c r="M450" t="n">
        <v>0</v>
      </c>
      <c r="N450" t="n">
        <v>0</v>
      </c>
      <c r="O450" t="n">
        <v>0</v>
      </c>
      <c r="P450" t="n">
        <v>0</v>
      </c>
      <c r="Q450" t="n">
        <v>1</v>
      </c>
      <c r="R450" t="n">
        <v>0</v>
      </c>
      <c r="S450" t="n">
        <v>1</v>
      </c>
      <c r="T450" t="n">
        <v>1</v>
      </c>
      <c r="U450" t="n">
        <v>0</v>
      </c>
      <c r="V450" s="2" t="inlineStr">
        <is>
          <t>Dropptaggsvamp</t>
        </is>
      </c>
      <c r="W450">
        <f>HYPERLINK("https://klasma.github.io/Logging_0480/artfynd/A 13724-2024 artfynd.xlsx", "A 13724-2024")</f>
        <v/>
      </c>
      <c r="X450">
        <f>HYPERLINK("https://klasma.github.io/Logging_0480/kartor/A 13724-2024 karta.png", "A 13724-2024")</f>
        <v/>
      </c>
      <c r="Y450">
        <f>HYPERLINK("https://klasma.github.io/Logging_0480/kartor_geotiff/A 13724-2024 georefererad karta.tif", "A 13724-2024")</f>
        <v/>
      </c>
      <c r="AA450">
        <f>HYPERLINK("https://klasma.github.io/Logging_0480/klagomål/A 13724-2024 FSC-klagomål.docx", "A 13724-2024")</f>
        <v/>
      </c>
      <c r="AB450">
        <f>HYPERLINK("https://klasma.github.io/Logging_0480/klagomålsmail/A 13724-2024 FSC-klagomål mail.docx", "A 13724-2024")</f>
        <v/>
      </c>
      <c r="AC450">
        <f>HYPERLINK("https://klasma.github.io/Logging_0480/tillsyn/A 13724-2024 tillsynsbegäran.docx", "A 13724-2024")</f>
        <v/>
      </c>
      <c r="AD450">
        <f>HYPERLINK("https://klasma.github.io/Logging_0480/tillsynsmail/A 13724-2024 tillsynsbegäran mail.docx", "A 13724-2024")</f>
        <v/>
      </c>
    </row>
    <row r="451" ht="15" customHeight="1">
      <c r="A451" t="inlineStr">
        <is>
          <t>A 8518-2026</t>
        </is>
      </c>
      <c r="B451" t="inlineStr">
        <is>
          <t>avverkningsanmälan</t>
        </is>
      </c>
      <c r="C451" t="inlineStr">
        <is>
          <t>Föryngringsavverkning</t>
        </is>
      </c>
      <c r="D451" s="1" t="n">
        <v>46065</v>
      </c>
      <c r="E451" s="1" t="n">
        <v>46313</v>
      </c>
      <c r="F451" t="inlineStr">
        <is>
          <t>SÖDERMANLANDS LÄN</t>
        </is>
      </c>
      <c r="G451" t="inlineStr">
        <is>
          <t>ESKILSTUNA</t>
        </is>
      </c>
      <c r="I451" t="n">
        <v>8.9</v>
      </c>
      <c r="J451" t="n">
        <v>0</v>
      </c>
      <c r="K451" t="n">
        <v>0</v>
      </c>
      <c r="L451" t="n">
        <v>0</v>
      </c>
      <c r="M451" t="n">
        <v>1</v>
      </c>
      <c r="N451" t="n">
        <v>0</v>
      </c>
      <c r="O451" t="n">
        <v>0</v>
      </c>
      <c r="P451" t="n">
        <v>0</v>
      </c>
      <c r="Q451" t="n">
        <v>1</v>
      </c>
      <c r="R451" t="n">
        <v>1</v>
      </c>
      <c r="S451" t="n">
        <v>1</v>
      </c>
      <c r="T451" t="n">
        <v>1</v>
      </c>
      <c r="U451" t="n">
        <v>0</v>
      </c>
      <c r="V451" s="2" t="inlineStr">
        <is>
          <t>Igelkott</t>
        </is>
      </c>
      <c r="W451">
        <f>HYPERLINK("https://klasma.github.io/Logging_0484/artfynd/A 8518-2026 artfynd.xlsx", "A 8518-2026")</f>
        <v/>
      </c>
      <c r="X451">
        <f>HYPERLINK("https://klasma.github.io/Logging_0484/kartor/A 8518-2026 karta.png", "A 8518-2026")</f>
        <v/>
      </c>
      <c r="Y451">
        <f>HYPERLINK("https://klasma.github.io/Logging_0484/kartor_geotiff/A 8518-2026 georefererad karta.tif", "A 8518-2026")</f>
        <v/>
      </c>
      <c r="AA451">
        <f>HYPERLINK("https://klasma.github.io/Logging_0484/klagomål/A 8518-2026 FSC-klagomål.docx", "A 8518-2026")</f>
        <v/>
      </c>
      <c r="AB451">
        <f>HYPERLINK("https://klasma.github.io/Logging_0484/klagomålsmail/A 8518-2026 FSC-klagomål mail.docx", "A 8518-2026")</f>
        <v/>
      </c>
      <c r="AC451">
        <f>HYPERLINK("https://klasma.github.io/Logging_0484/tillsyn/A 8518-2026 tillsynsbegäran.docx", "A 8518-2026")</f>
        <v/>
      </c>
      <c r="AD451">
        <f>HYPERLINK("https://klasma.github.io/Logging_0484/tillsynsmail/A 8518-2026 tillsynsbegäran mail.docx", "A 8518-2026")</f>
        <v/>
      </c>
    </row>
    <row r="452" ht="15" customHeight="1">
      <c r="A452" t="inlineStr">
        <is>
          <t>A 13113-2023</t>
        </is>
      </c>
      <c r="B452" t="inlineStr">
        <is>
          <t>avverkningsanmälan</t>
        </is>
      </c>
      <c r="C452" t="inlineStr">
        <is>
          <t>Föryngringsavverkning</t>
        </is>
      </c>
      <c r="D452" s="1" t="n">
        <v>45002</v>
      </c>
      <c r="E452" s="1" t="n">
        <v>46313</v>
      </c>
      <c r="F452" t="inlineStr">
        <is>
          <t>SÖDERMANLANDS LÄN</t>
        </is>
      </c>
      <c r="G452" t="inlineStr">
        <is>
          <t>KATRINEHOLM</t>
        </is>
      </c>
      <c r="H452" t="inlineStr">
        <is>
          <t>Allmännings- och besparingsskogar</t>
        </is>
      </c>
      <c r="I452" t="n">
        <v>3.6</v>
      </c>
      <c r="J452" t="n">
        <v>0</v>
      </c>
      <c r="K452" t="n">
        <v>0</v>
      </c>
      <c r="L452" t="n">
        <v>0</v>
      </c>
      <c r="M452" t="n">
        <v>1</v>
      </c>
      <c r="N452" t="n">
        <v>0</v>
      </c>
      <c r="O452" t="n">
        <v>0</v>
      </c>
      <c r="P452" t="n">
        <v>0</v>
      </c>
      <c r="Q452" t="n">
        <v>1</v>
      </c>
      <c r="R452" t="n">
        <v>1</v>
      </c>
      <c r="S452" t="n">
        <v>1</v>
      </c>
      <c r="T452" t="n">
        <v>1</v>
      </c>
      <c r="U452" t="n">
        <v>1</v>
      </c>
      <c r="V452" s="2" t="inlineStr">
        <is>
          <t>Igelkott</t>
        </is>
      </c>
      <c r="W452">
        <f>HYPERLINK("https://klasma.github.io/Logging_0483/artfynd/A 13113-2023 artfynd.xlsx", "A 13113-2023")</f>
        <v/>
      </c>
      <c r="X452">
        <f>HYPERLINK("https://klasma.github.io/Logging_0483/kartor/A 13113-2023 karta.png", "A 13113-2023")</f>
        <v/>
      </c>
      <c r="Y452">
        <f>HYPERLINK("https://klasma.github.io/Logging_0483/kartor_geotiff/A 13113-2023 georefererad karta.tif", "A 13113-2023")</f>
        <v/>
      </c>
      <c r="AA452">
        <f>HYPERLINK("https://klasma.github.io/Logging_0483/klagomål/A 13113-2023 FSC-klagomål.docx", "A 13113-2023")</f>
        <v/>
      </c>
      <c r="AB452">
        <f>HYPERLINK("https://klasma.github.io/Logging_0483/klagomålsmail/A 13113-2023 FSC-klagomål mail.docx", "A 13113-2023")</f>
        <v/>
      </c>
      <c r="AC452">
        <f>HYPERLINK("https://klasma.github.io/Logging_0483/tillsyn/A 13113-2023 tillsynsbegäran.docx", "A 13113-2023")</f>
        <v/>
      </c>
      <c r="AD452">
        <f>HYPERLINK("https://klasma.github.io/Logging_0483/tillsynsmail/A 13113-2023 tillsynsbegäran mail.docx", "A 13113-2023")</f>
        <v/>
      </c>
    </row>
    <row r="453" ht="15" customHeight="1">
      <c r="A453" t="inlineStr">
        <is>
          <t>A 9446-2026</t>
        </is>
      </c>
      <c r="B453" t="inlineStr">
        <is>
          <t>avverkningsanmälan</t>
        </is>
      </c>
      <c r="C453" t="inlineStr">
        <is>
          <t>Föryngringsavverkning</t>
        </is>
      </c>
      <c r="D453" s="1" t="n">
        <v>46071</v>
      </c>
      <c r="E453" s="1" t="n">
        <v>46313</v>
      </c>
      <c r="F453" t="inlineStr">
        <is>
          <t>SÖDERMANLANDS LÄN</t>
        </is>
      </c>
      <c r="G453" t="inlineStr">
        <is>
          <t>FLEN</t>
        </is>
      </c>
      <c r="H453" t="inlineStr">
        <is>
          <t>Holmen skog AB</t>
        </is>
      </c>
      <c r="I453" t="n">
        <v>0.8</v>
      </c>
      <c r="J453" t="n">
        <v>1</v>
      </c>
      <c r="K453" t="n">
        <v>0</v>
      </c>
      <c r="L453" t="n">
        <v>0</v>
      </c>
      <c r="M453" t="n">
        <v>0</v>
      </c>
      <c r="N453" t="n">
        <v>0</v>
      </c>
      <c r="O453" t="n">
        <v>0</v>
      </c>
      <c r="P453" t="n">
        <v>0</v>
      </c>
      <c r="Q453" t="n">
        <v>0</v>
      </c>
      <c r="R453" t="n">
        <v>0</v>
      </c>
      <c r="S453" t="n">
        <v>1</v>
      </c>
      <c r="T453" t="n">
        <v>1</v>
      </c>
      <c r="U453" t="n">
        <v>0</v>
      </c>
      <c r="V453" s="2" t="inlineStr">
        <is>
          <t>Blåsippa</t>
        </is>
      </c>
      <c r="W453">
        <f>HYPERLINK("https://klasma.github.io/Logging_0482/artfynd/A 9446-2026 artfynd.xlsx", "A 9446-2026")</f>
        <v/>
      </c>
      <c r="X453">
        <f>HYPERLINK("https://klasma.github.io/Logging_0482/kartor/A 9446-2026 karta.png", "A 9446-2026")</f>
        <v/>
      </c>
      <c r="Y453">
        <f>HYPERLINK("https://klasma.github.io/Logging_0482/kartor_geotiff/A 9446-2026 georefererad karta.tif", "A 9446-2026")</f>
        <v/>
      </c>
      <c r="AA453">
        <f>HYPERLINK("https://klasma.github.io/Logging_0482/klagomål/A 9446-2026 FSC-klagomål.docx", "A 9446-2026")</f>
        <v/>
      </c>
      <c r="AB453">
        <f>HYPERLINK("https://klasma.github.io/Logging_0482/klagomålsmail/A 9446-2026 FSC-klagomål mail.docx", "A 9446-2026")</f>
        <v/>
      </c>
      <c r="AC453">
        <f>HYPERLINK("https://klasma.github.io/Logging_0482/tillsyn/A 9446-2026 tillsynsbegäran.docx", "A 9446-2026")</f>
        <v/>
      </c>
      <c r="AD453">
        <f>HYPERLINK("https://klasma.github.io/Logging_0482/tillsynsmail/A 9446-2026 tillsynsbegäran mail.docx", "A 9446-2026")</f>
        <v/>
      </c>
    </row>
    <row r="454" ht="15" customHeight="1">
      <c r="A454" t="inlineStr">
        <is>
          <t>A 39036-2023</t>
        </is>
      </c>
      <c r="B454" t="inlineStr">
        <is>
          <t>avverkningsanmälan</t>
        </is>
      </c>
      <c r="C454" t="inlineStr">
        <is>
          <t>Föryngringsavverkning</t>
        </is>
      </c>
      <c r="D454" s="1" t="n">
        <v>45163</v>
      </c>
      <c r="E454" s="1" t="n">
        <v>46313</v>
      </c>
      <c r="F454" t="inlineStr">
        <is>
          <t>SÖDERMANLANDS LÄN</t>
        </is>
      </c>
      <c r="G454" t="inlineStr">
        <is>
          <t>FLEN</t>
        </is>
      </c>
      <c r="I454" t="n">
        <v>5.1</v>
      </c>
      <c r="J454" t="n">
        <v>0</v>
      </c>
      <c r="K454" t="n">
        <v>0</v>
      </c>
      <c r="L454" t="n">
        <v>0</v>
      </c>
      <c r="M454" t="n">
        <v>1</v>
      </c>
      <c r="N454" t="n">
        <v>0</v>
      </c>
      <c r="O454" t="n">
        <v>0</v>
      </c>
      <c r="P454" t="n">
        <v>0</v>
      </c>
      <c r="Q454" t="n">
        <v>1</v>
      </c>
      <c r="R454" t="n">
        <v>1</v>
      </c>
      <c r="S454" t="n">
        <v>1</v>
      </c>
      <c r="T454" t="n">
        <v>1</v>
      </c>
      <c r="U454" t="n">
        <v>1</v>
      </c>
      <c r="V454" s="2" t="inlineStr">
        <is>
          <t>Igelkott</t>
        </is>
      </c>
      <c r="W454">
        <f>HYPERLINK("https://klasma.github.io/Logging_0482/artfynd/A 39036-2023 artfynd.xlsx", "A 39036-2023")</f>
        <v/>
      </c>
      <c r="X454">
        <f>HYPERLINK("https://klasma.github.io/Logging_0482/kartor/A 39036-2023 karta.png", "A 39036-2023")</f>
        <v/>
      </c>
      <c r="Y454">
        <f>HYPERLINK("https://klasma.github.io/Logging_0482/kartor_geotiff/A 39036-2023 georefererad karta.tif", "A 39036-2023")</f>
        <v/>
      </c>
      <c r="AA454">
        <f>HYPERLINK("https://klasma.github.io/Logging_0482/klagomål/A 39036-2023 FSC-klagomål.docx", "A 39036-2023")</f>
        <v/>
      </c>
      <c r="AB454">
        <f>HYPERLINK("https://klasma.github.io/Logging_0482/klagomålsmail/A 39036-2023 FSC-klagomål mail.docx", "A 39036-2023")</f>
        <v/>
      </c>
      <c r="AC454">
        <f>HYPERLINK("https://klasma.github.io/Logging_0482/tillsyn/A 39036-2023 tillsynsbegäran.docx", "A 39036-2023")</f>
        <v/>
      </c>
      <c r="AD454">
        <f>HYPERLINK("https://klasma.github.io/Logging_0482/tillsynsmail/A 39036-2023 tillsynsbegäran mail.docx", "A 39036-2023")</f>
        <v/>
      </c>
    </row>
    <row r="455" ht="15" customHeight="1">
      <c r="A455" t="inlineStr">
        <is>
          <t>A 10886-2026</t>
        </is>
      </c>
      <c r="B455" t="inlineStr">
        <is>
          <t>avverkningsanmälan</t>
        </is>
      </c>
      <c r="C455" t="inlineStr">
        <is>
          <t>Föryngringsavverkning</t>
        </is>
      </c>
      <c r="D455" s="1" t="n">
        <v>46078</v>
      </c>
      <c r="E455" s="1" t="n">
        <v>46313</v>
      </c>
      <c r="F455" t="inlineStr">
        <is>
          <t>SÖDERMANLANDS LÄN</t>
        </is>
      </c>
      <c r="G455" t="inlineStr">
        <is>
          <t>NYKÖPING</t>
        </is>
      </c>
      <c r="I455" t="n">
        <v>2.5</v>
      </c>
      <c r="J455" t="n">
        <v>0</v>
      </c>
      <c r="K455" t="n">
        <v>1</v>
      </c>
      <c r="L455" t="n">
        <v>0</v>
      </c>
      <c r="M455" t="n">
        <v>0</v>
      </c>
      <c r="N455" t="n">
        <v>0</v>
      </c>
      <c r="O455" t="n">
        <v>0</v>
      </c>
      <c r="P455" t="n">
        <v>0</v>
      </c>
      <c r="Q455" t="n">
        <v>0</v>
      </c>
      <c r="R455" t="n">
        <v>0</v>
      </c>
      <c r="S455" t="n">
        <v>1</v>
      </c>
      <c r="T455" t="n">
        <v>1</v>
      </c>
      <c r="U455" t="n">
        <v>0</v>
      </c>
      <c r="V455" s="2" t="inlineStr">
        <is>
          <t>Tibast</t>
        </is>
      </c>
      <c r="W455">
        <f>HYPERLINK("https://klasma.github.io/Logging_0480/artfynd/A 10886-2026 artfynd.xlsx", "A 10886-2026")</f>
        <v/>
      </c>
      <c r="X455">
        <f>HYPERLINK("https://klasma.github.io/Logging_0480/kartor/A 10886-2026 karta.png", "A 10886-2026")</f>
        <v/>
      </c>
      <c r="Y455">
        <f>HYPERLINK("https://klasma.github.io/Logging_0480/kartor_geotiff/A 10886-2026 georefererad karta.tif", "A 10886-2026")</f>
        <v/>
      </c>
      <c r="AA455">
        <f>HYPERLINK("https://klasma.github.io/Logging_0480/klagomål/A 10886-2026 FSC-klagomål.docx", "A 10886-2026")</f>
        <v/>
      </c>
      <c r="AB455">
        <f>HYPERLINK("https://klasma.github.io/Logging_0480/klagomålsmail/A 10886-2026 FSC-klagomål mail.docx", "A 10886-2026")</f>
        <v/>
      </c>
      <c r="AC455">
        <f>HYPERLINK("https://klasma.github.io/Logging_0480/tillsyn/A 10886-2026 tillsynsbegäran.docx", "A 10886-2026")</f>
        <v/>
      </c>
      <c r="AD455">
        <f>HYPERLINK("https://klasma.github.io/Logging_0480/tillsynsmail/A 10886-2026 tillsynsbegäran mail.docx", "A 10886-2026")</f>
        <v/>
      </c>
    </row>
    <row r="456" ht="15" customHeight="1">
      <c r="A456" t="inlineStr">
        <is>
          <t>A 10390-2026</t>
        </is>
      </c>
      <c r="B456" t="inlineStr">
        <is>
          <t>avverkningsanmälan</t>
        </is>
      </c>
      <c r="C456" t="inlineStr">
        <is>
          <t>Avverkning för annat ändamål</t>
        </is>
      </c>
      <c r="D456" s="1" t="n">
        <v>46077</v>
      </c>
      <c r="E456" s="1" t="n">
        <v>46313</v>
      </c>
      <c r="F456" t="inlineStr">
        <is>
          <t>SÖDERMANLANDS LÄN</t>
        </is>
      </c>
      <c r="G456" t="inlineStr">
        <is>
          <t>TROSA</t>
        </is>
      </c>
      <c r="I456" t="n">
        <v>0.6</v>
      </c>
      <c r="J456" t="n">
        <v>0</v>
      </c>
      <c r="K456" t="n">
        <v>0</v>
      </c>
      <c r="L456" t="n">
        <v>0</v>
      </c>
      <c r="M456" t="n">
        <v>1</v>
      </c>
      <c r="N456" t="n">
        <v>0</v>
      </c>
      <c r="O456" t="n">
        <v>0</v>
      </c>
      <c r="P456" t="n">
        <v>0</v>
      </c>
      <c r="Q456" t="n">
        <v>1</v>
      </c>
      <c r="R456" t="n">
        <v>1</v>
      </c>
      <c r="S456" t="n">
        <v>1</v>
      </c>
      <c r="T456" t="n">
        <v>1</v>
      </c>
      <c r="U456" t="n">
        <v>0</v>
      </c>
      <c r="V456" s="2" t="inlineStr">
        <is>
          <t>Igelkott</t>
        </is>
      </c>
      <c r="W456">
        <f>HYPERLINK("https://klasma.github.io/Logging_0488/artfynd/A 10390-2026 artfynd.xlsx", "A 10390-2026")</f>
        <v/>
      </c>
      <c r="X456">
        <f>HYPERLINK("https://klasma.github.io/Logging_0488/kartor/A 10390-2026 karta.png", "A 10390-2026")</f>
        <v/>
      </c>
      <c r="Y456">
        <f>HYPERLINK("https://klasma.github.io/Logging_0488/kartor_geotiff/A 10390-2026 georefererad karta.tif", "A 10390-2026")</f>
        <v/>
      </c>
      <c r="AA456">
        <f>HYPERLINK("https://klasma.github.io/Logging_0488/klagomål/A 10390-2026 FSC-klagomål.docx", "A 10390-2026")</f>
        <v/>
      </c>
      <c r="AB456">
        <f>HYPERLINK("https://klasma.github.io/Logging_0488/klagomålsmail/A 10390-2026 FSC-klagomål mail.docx", "A 10390-2026")</f>
        <v/>
      </c>
      <c r="AC456">
        <f>HYPERLINK("https://klasma.github.io/Logging_0488/tillsyn/A 10390-2026 tillsynsbegäran.docx", "A 10390-2026")</f>
        <v/>
      </c>
      <c r="AD456">
        <f>HYPERLINK("https://klasma.github.io/Logging_0488/tillsynsmail/A 10390-2026 tillsynsbegäran mail.docx", "A 10390-2026")</f>
        <v/>
      </c>
    </row>
    <row r="457" ht="15" customHeight="1">
      <c r="A457" t="inlineStr">
        <is>
          <t>A 10999-2026</t>
        </is>
      </c>
      <c r="B457" t="inlineStr">
        <is>
          <t>avverkningsanmälan</t>
        </is>
      </c>
      <c r="C457" t="inlineStr">
        <is>
          <t>Föryngringsavverkning</t>
        </is>
      </c>
      <c r="D457" s="1" t="n">
        <v>46079</v>
      </c>
      <c r="E457" s="1" t="n">
        <v>46313</v>
      </c>
      <c r="F457" t="inlineStr">
        <is>
          <t>SÖDERMANLANDS LÄN</t>
        </is>
      </c>
      <c r="G457" t="inlineStr">
        <is>
          <t>FLEN</t>
        </is>
      </c>
      <c r="H457" t="inlineStr">
        <is>
          <t>Holmen skog AB</t>
        </is>
      </c>
      <c r="I457" t="n">
        <v>3.6</v>
      </c>
      <c r="J457" t="n">
        <v>1</v>
      </c>
      <c r="K457" t="n">
        <v>0</v>
      </c>
      <c r="L457" t="n">
        <v>0</v>
      </c>
      <c r="M457" t="n">
        <v>0</v>
      </c>
      <c r="N457" t="n">
        <v>0</v>
      </c>
      <c r="O457" t="n">
        <v>0</v>
      </c>
      <c r="P457" t="n">
        <v>0</v>
      </c>
      <c r="Q457" t="n">
        <v>0</v>
      </c>
      <c r="R457" t="n">
        <v>0</v>
      </c>
      <c r="S457" t="n">
        <v>1</v>
      </c>
      <c r="T457" t="n">
        <v>1</v>
      </c>
      <c r="U457" t="n">
        <v>0</v>
      </c>
      <c r="V457" s="2" t="inlineStr">
        <is>
          <t>Blåsippa</t>
        </is>
      </c>
      <c r="W457">
        <f>HYPERLINK("https://klasma.github.io/Logging_0482/artfynd/A 10999-2026 artfynd.xlsx", "A 10999-2026")</f>
        <v/>
      </c>
      <c r="X457">
        <f>HYPERLINK("https://klasma.github.io/Logging_0482/kartor/A 10999-2026 karta.png", "A 10999-2026")</f>
        <v/>
      </c>
      <c r="Y457">
        <f>HYPERLINK("https://klasma.github.io/Logging_0482/kartor_geotiff/A 10999-2026 georefererad karta.tif", "A 10999-2026")</f>
        <v/>
      </c>
      <c r="AA457">
        <f>HYPERLINK("https://klasma.github.io/Logging_0482/klagomål/A 10999-2026 FSC-klagomål.docx", "A 10999-2026")</f>
        <v/>
      </c>
      <c r="AB457">
        <f>HYPERLINK("https://klasma.github.io/Logging_0482/klagomålsmail/A 10999-2026 FSC-klagomål mail.docx", "A 10999-2026")</f>
        <v/>
      </c>
      <c r="AC457">
        <f>HYPERLINK("https://klasma.github.io/Logging_0482/tillsyn/A 10999-2026 tillsynsbegäran.docx", "A 10999-2026")</f>
        <v/>
      </c>
      <c r="AD457">
        <f>HYPERLINK("https://klasma.github.io/Logging_0482/tillsynsmail/A 10999-2026 tillsynsbegäran mail.docx", "A 10999-2026")</f>
        <v/>
      </c>
    </row>
    <row r="458" ht="15" customHeight="1">
      <c r="A458" t="inlineStr">
        <is>
          <t>A 12371-2022</t>
        </is>
      </c>
      <c r="B458" t="inlineStr">
        <is>
          <t>avverkningsanmälan</t>
        </is>
      </c>
      <c r="C458" t="inlineStr">
        <is>
          <t>Föryngringsavverkning</t>
        </is>
      </c>
      <c r="D458" s="1" t="n">
        <v>44637</v>
      </c>
      <c r="E458" s="1" t="n">
        <v>46313</v>
      </c>
      <c r="F458" t="inlineStr">
        <is>
          <t>SÖDERMANLANDS LÄN</t>
        </is>
      </c>
      <c r="G458" t="inlineStr">
        <is>
          <t>FLEN</t>
        </is>
      </c>
      <c r="H458" t="inlineStr">
        <is>
          <t>Kommuner</t>
        </is>
      </c>
      <c r="I458" t="n">
        <v>2.1</v>
      </c>
      <c r="J458" t="n">
        <v>0</v>
      </c>
      <c r="K458" t="n">
        <v>0</v>
      </c>
      <c r="L458" t="n">
        <v>1</v>
      </c>
      <c r="M458" t="n">
        <v>0</v>
      </c>
      <c r="N458" t="n">
        <v>0</v>
      </c>
      <c r="O458" t="n">
        <v>0</v>
      </c>
      <c r="P458" t="n">
        <v>0</v>
      </c>
      <c r="Q458" t="n">
        <v>1</v>
      </c>
      <c r="R458" t="n">
        <v>0</v>
      </c>
      <c r="S458" t="n">
        <v>1</v>
      </c>
      <c r="T458" t="n">
        <v>1</v>
      </c>
      <c r="U458" t="n">
        <v>0</v>
      </c>
      <c r="V458" s="2" t="inlineStr">
        <is>
          <t>Gullklöver</t>
        </is>
      </c>
      <c r="W458">
        <f>HYPERLINK("https://klasma.github.io/Logging_0482/artfynd/A 12371-2022 artfynd.xlsx", "A 12371-2022")</f>
        <v/>
      </c>
      <c r="X458">
        <f>HYPERLINK("https://klasma.github.io/Logging_0482/kartor/A 12371-2022 karta.png", "A 12371-2022")</f>
        <v/>
      </c>
      <c r="Y458">
        <f>HYPERLINK("https://klasma.github.io/Logging_0482/kartor_geotiff/A 12371-2022 georefererad karta.tif", "A 12371-2022")</f>
        <v/>
      </c>
      <c r="AA458">
        <f>HYPERLINK("https://klasma.github.io/Logging_0482/klagomål/A 12371-2022 FSC-klagomål.docx", "A 12371-2022")</f>
        <v/>
      </c>
      <c r="AB458">
        <f>HYPERLINK("https://klasma.github.io/Logging_0482/klagomålsmail/A 12371-2022 FSC-klagomål mail.docx", "A 12371-2022")</f>
        <v/>
      </c>
      <c r="AC458">
        <f>HYPERLINK("https://klasma.github.io/Logging_0482/tillsyn/A 12371-2022 tillsynsbegäran.docx", "A 12371-2022")</f>
        <v/>
      </c>
      <c r="AD458">
        <f>HYPERLINK("https://klasma.github.io/Logging_0482/tillsynsmail/A 12371-2022 tillsynsbegäran mail.docx", "A 12371-2022")</f>
        <v/>
      </c>
    </row>
    <row r="459" ht="15" customHeight="1">
      <c r="A459" t="inlineStr">
        <is>
          <t>A 2837-2025</t>
        </is>
      </c>
      <c r="B459" t="inlineStr">
        <is>
          <t>avverkningsanmälan</t>
        </is>
      </c>
      <c r="C459" t="inlineStr">
        <is>
          <t>Föryngringsavverkning</t>
        </is>
      </c>
      <c r="D459" s="1" t="n">
        <v>45677</v>
      </c>
      <c r="E459" s="1" t="n">
        <v>46313</v>
      </c>
      <c r="F459" t="inlineStr">
        <is>
          <t>SÖDERMANLANDS LÄN</t>
        </is>
      </c>
      <c r="G459" t="inlineStr">
        <is>
          <t>NYKÖPING</t>
        </is>
      </c>
      <c r="I459" t="n">
        <v>5.2</v>
      </c>
      <c r="J459" t="n">
        <v>0</v>
      </c>
      <c r="K459" t="n">
        <v>1</v>
      </c>
      <c r="L459" t="n">
        <v>0</v>
      </c>
      <c r="M459" t="n">
        <v>0</v>
      </c>
      <c r="N459" t="n">
        <v>0</v>
      </c>
      <c r="O459" t="n">
        <v>0</v>
      </c>
      <c r="P459" t="n">
        <v>0</v>
      </c>
      <c r="Q459" t="n">
        <v>0</v>
      </c>
      <c r="R459" t="n">
        <v>0</v>
      </c>
      <c r="S459" t="n">
        <v>1</v>
      </c>
      <c r="T459" t="n">
        <v>4</v>
      </c>
      <c r="U459" t="n">
        <v>0</v>
      </c>
      <c r="V459" s="2" t="inlineStr">
        <is>
          <t>Hasselticka</t>
        </is>
      </c>
      <c r="W459">
        <f>HYPERLINK("https://klasma.github.io/Logging_0480/artfynd/A 2837-2025 artfynd.xlsx", "A 2837-2025")</f>
        <v/>
      </c>
      <c r="X459">
        <f>HYPERLINK("https://klasma.github.io/Logging_0480/kartor/A 2837-2025 karta.png", "A 2837-2025")</f>
        <v/>
      </c>
      <c r="Y459">
        <f>HYPERLINK("https://klasma.github.io/Logging_0480/kartor_geotiff/A 2837-2025 georefererad karta.tif", "A 2837-2025")</f>
        <v/>
      </c>
      <c r="AA459">
        <f>HYPERLINK("https://klasma.github.io/Logging_0480/klagomål/A 2837-2025 FSC-klagomål.docx", "A 2837-2025")</f>
        <v/>
      </c>
      <c r="AB459">
        <f>HYPERLINK("https://klasma.github.io/Logging_0480/klagomålsmail/A 2837-2025 FSC-klagomål mail.docx", "A 2837-2025")</f>
        <v/>
      </c>
      <c r="AC459">
        <f>HYPERLINK("https://klasma.github.io/Logging_0480/tillsyn/A 2837-2025 tillsynsbegäran.docx", "A 2837-2025")</f>
        <v/>
      </c>
      <c r="AD459">
        <f>HYPERLINK("https://klasma.github.io/Logging_0480/tillsynsmail/A 2837-2025 tillsynsbegäran mail.docx", "A 2837-2025")</f>
        <v/>
      </c>
    </row>
    <row r="460" ht="15" customHeight="1">
      <c r="A460" t="inlineStr">
        <is>
          <t>A 29647-2023</t>
        </is>
      </c>
      <c r="B460" t="inlineStr">
        <is>
          <t>avverkningsanmälan</t>
        </is>
      </c>
      <c r="C460" t="inlineStr">
        <is>
          <t>Föryngringsavverkning</t>
        </is>
      </c>
      <c r="D460" s="1" t="n">
        <v>45107</v>
      </c>
      <c r="E460" s="1" t="n">
        <v>46313</v>
      </c>
      <c r="F460" t="inlineStr">
        <is>
          <t>SÖDERMANLANDS LÄN</t>
        </is>
      </c>
      <c r="G460" t="inlineStr">
        <is>
          <t>ESKILSTUNA</t>
        </is>
      </c>
      <c r="H460" t="inlineStr">
        <is>
          <t>Allmännings- och besparingsskogar</t>
        </is>
      </c>
      <c r="I460" t="n">
        <v>0.9</v>
      </c>
      <c r="J460" t="n">
        <v>1</v>
      </c>
      <c r="K460" t="n">
        <v>0</v>
      </c>
      <c r="L460" t="n">
        <v>1</v>
      </c>
      <c r="M460" t="n">
        <v>0</v>
      </c>
      <c r="N460" t="n">
        <v>0</v>
      </c>
      <c r="O460" t="n">
        <v>0</v>
      </c>
      <c r="P460" t="n">
        <v>0</v>
      </c>
      <c r="Q460" t="n">
        <v>1</v>
      </c>
      <c r="R460" t="n">
        <v>0</v>
      </c>
      <c r="S460" t="n">
        <v>1</v>
      </c>
      <c r="T460" t="n">
        <v>1</v>
      </c>
      <c r="U460" t="n">
        <v>1</v>
      </c>
      <c r="V460" s="2" t="inlineStr">
        <is>
          <t>Rödvingetrast</t>
        </is>
      </c>
      <c r="W460">
        <f>HYPERLINK("https://klasma.github.io/Logging_0484/artfynd/A 29647-2023 artfynd.xlsx", "A 29647-2023")</f>
        <v/>
      </c>
      <c r="X460">
        <f>HYPERLINK("https://klasma.github.io/Logging_0484/kartor/A 29647-2023 karta.png", "A 29647-2023")</f>
        <v/>
      </c>
      <c r="Y460">
        <f>HYPERLINK("https://klasma.github.io/Logging_0484/kartor_geotiff/A 29647-2023 georefererad karta.tif", "A 29647-2023")</f>
        <v/>
      </c>
      <c r="AA460">
        <f>HYPERLINK("https://klasma.github.io/Logging_0484/klagomål/A 29647-2023 FSC-klagomål.docx", "A 29647-2023")</f>
        <v/>
      </c>
      <c r="AB460">
        <f>HYPERLINK("https://klasma.github.io/Logging_0484/klagomålsmail/A 29647-2023 FSC-klagomål mail.docx", "A 29647-2023")</f>
        <v/>
      </c>
      <c r="AC460">
        <f>HYPERLINK("https://klasma.github.io/Logging_0484/tillsyn/A 29647-2023 tillsynsbegäran.docx", "A 29647-2023")</f>
        <v/>
      </c>
      <c r="AD460">
        <f>HYPERLINK("https://klasma.github.io/Logging_0484/tillsynsmail/A 29647-2023 tillsynsbegäran mail.docx", "A 29647-2023")</f>
        <v/>
      </c>
      <c r="AE460">
        <f>HYPERLINK("https://klasma.github.io/Logging_0484/fåglar/A 29647-2023 prioriterade fågelarter.docx", "A 29647-2023")</f>
        <v/>
      </c>
    </row>
    <row r="461" ht="15" customHeight="1">
      <c r="A461" t="inlineStr">
        <is>
          <t>A 50010-2023</t>
        </is>
      </c>
      <c r="B461" t="inlineStr">
        <is>
          <t>avverkningsanmälan</t>
        </is>
      </c>
      <c r="C461" t="inlineStr">
        <is>
          <t>Avverkning för att bevara och utveckla /försöksver</t>
        </is>
      </c>
      <c r="D461" s="1" t="n">
        <v>45215</v>
      </c>
      <c r="E461" s="1" t="n">
        <v>46313</v>
      </c>
      <c r="F461" t="inlineStr">
        <is>
          <t>SÖDERMANLANDS LÄN</t>
        </is>
      </c>
      <c r="G461" t="inlineStr">
        <is>
          <t>STRÄNGNÄS</t>
        </is>
      </c>
      <c r="H461" t="inlineStr">
        <is>
          <t>Sveaskog</t>
        </is>
      </c>
      <c r="I461" t="n">
        <v>5.6</v>
      </c>
      <c r="J461" t="n">
        <v>1</v>
      </c>
      <c r="K461" t="n">
        <v>0</v>
      </c>
      <c r="L461" t="n">
        <v>0</v>
      </c>
      <c r="M461" t="n">
        <v>0</v>
      </c>
      <c r="N461" t="n">
        <v>0</v>
      </c>
      <c r="O461" t="n">
        <v>0</v>
      </c>
      <c r="P461" t="n">
        <v>0</v>
      </c>
      <c r="Q461" t="n">
        <v>0</v>
      </c>
      <c r="R461" t="n">
        <v>0</v>
      </c>
      <c r="S461" t="n">
        <v>1</v>
      </c>
      <c r="T461" t="n">
        <v>1</v>
      </c>
      <c r="U461" t="n">
        <v>0</v>
      </c>
      <c r="V461" s="2" t="inlineStr">
        <is>
          <t>Blåsippa</t>
        </is>
      </c>
      <c r="W461">
        <f>HYPERLINK("https://klasma.github.io/Logging_0486/artfynd/A 50010-2023 artfynd.xlsx", "A 50010-2023")</f>
        <v/>
      </c>
      <c r="X461">
        <f>HYPERLINK("https://klasma.github.io/Logging_0486/kartor/A 50010-2023 karta.png", "A 50010-2023")</f>
        <v/>
      </c>
      <c r="Y461">
        <f>HYPERLINK("https://klasma.github.io/Logging_0486/kartor_geotiff/A 50010-2023 georefererad karta.tif", "A 50010-2023")</f>
        <v/>
      </c>
      <c r="AA461">
        <f>HYPERLINK("https://klasma.github.io/Logging_0486/klagomål/A 50010-2023 FSC-klagomål.docx", "A 50010-2023")</f>
        <v/>
      </c>
      <c r="AB461">
        <f>HYPERLINK("https://klasma.github.io/Logging_0486/klagomålsmail/A 50010-2023 FSC-klagomål mail.docx", "A 50010-2023")</f>
        <v/>
      </c>
      <c r="AC461">
        <f>HYPERLINK("https://klasma.github.io/Logging_0486/tillsyn/A 50010-2023 tillsynsbegäran.docx", "A 50010-2023")</f>
        <v/>
      </c>
      <c r="AD461">
        <f>HYPERLINK("https://klasma.github.io/Logging_0486/tillsynsmail/A 50010-2023 tillsynsbegäran mail.docx", "A 50010-2023")</f>
        <v/>
      </c>
    </row>
    <row r="462" ht="15" customHeight="1">
      <c r="A462" t="inlineStr">
        <is>
          <t>A 6076-2022</t>
        </is>
      </c>
      <c r="B462" t="inlineStr">
        <is>
          <t>avverkningsanmälan</t>
        </is>
      </c>
      <c r="C462" t="inlineStr">
        <is>
          <t>Föryngringsavverkning</t>
        </is>
      </c>
      <c r="D462" s="1" t="n">
        <v>44599</v>
      </c>
      <c r="E462" s="1" t="n">
        <v>46313</v>
      </c>
      <c r="F462" t="inlineStr">
        <is>
          <t>SÖDERMANLANDS LÄN</t>
        </is>
      </c>
      <c r="G462" t="inlineStr">
        <is>
          <t>KATRINEHOLM</t>
        </is>
      </c>
      <c r="I462" t="n">
        <v>3.3</v>
      </c>
      <c r="J462" t="n">
        <v>0</v>
      </c>
      <c r="K462" t="n">
        <v>1</v>
      </c>
      <c r="L462" t="n">
        <v>0</v>
      </c>
      <c r="M462" t="n">
        <v>0</v>
      </c>
      <c r="N462" t="n">
        <v>0</v>
      </c>
      <c r="O462" t="n">
        <v>0</v>
      </c>
      <c r="P462" t="n">
        <v>0</v>
      </c>
      <c r="Q462" t="n">
        <v>0</v>
      </c>
      <c r="R462" t="n">
        <v>0</v>
      </c>
      <c r="S462" t="n">
        <v>1</v>
      </c>
      <c r="T462" t="n">
        <v>1</v>
      </c>
      <c r="U462" t="n">
        <v>0</v>
      </c>
      <c r="V462" s="2" t="inlineStr">
        <is>
          <t>Svart trolldruva</t>
        </is>
      </c>
      <c r="W462">
        <f>HYPERLINK("https://klasma.github.io/Logging_0483/artfynd/A 6076-2022 artfynd.xlsx", "A 6076-2022")</f>
        <v/>
      </c>
      <c r="X462">
        <f>HYPERLINK("https://klasma.github.io/Logging_0483/kartor/A 6076-2022 karta.png", "A 6076-2022")</f>
        <v/>
      </c>
      <c r="Y462">
        <f>HYPERLINK("https://klasma.github.io/Logging_0483/kartor_geotiff/A 6076-2022 georefererad karta.tif", "A 6076-2022")</f>
        <v/>
      </c>
      <c r="AA462">
        <f>HYPERLINK("https://klasma.github.io/Logging_0483/klagomål/A 6076-2022 FSC-klagomål.docx", "A 6076-2022")</f>
        <v/>
      </c>
      <c r="AB462">
        <f>HYPERLINK("https://klasma.github.io/Logging_0483/klagomålsmail/A 6076-2022 FSC-klagomål mail.docx", "A 6076-2022")</f>
        <v/>
      </c>
      <c r="AC462">
        <f>HYPERLINK("https://klasma.github.io/Logging_0483/tillsyn/A 6076-2022 tillsynsbegäran.docx", "A 6076-2022")</f>
        <v/>
      </c>
      <c r="AD462">
        <f>HYPERLINK("https://klasma.github.io/Logging_0483/tillsynsmail/A 6076-2022 tillsynsbegäran mail.docx", "A 6076-2022")</f>
        <v/>
      </c>
    </row>
    <row r="463" ht="15" customHeight="1">
      <c r="A463" t="inlineStr">
        <is>
          <t>A 35318-2024</t>
        </is>
      </c>
      <c r="B463" t="inlineStr">
        <is>
          <t>avverkningsanmälan</t>
        </is>
      </c>
      <c r="C463" t="inlineStr">
        <is>
          <t>Föryngringsavverkning</t>
        </is>
      </c>
      <c r="D463" s="1" t="n">
        <v>45530</v>
      </c>
      <c r="E463" s="1" t="n">
        <v>46313</v>
      </c>
      <c r="F463" t="inlineStr">
        <is>
          <t>SÖDERMANLANDS LÄN</t>
        </is>
      </c>
      <c r="G463" t="inlineStr">
        <is>
          <t>NYKÖPING</t>
        </is>
      </c>
      <c r="I463" t="n">
        <v>7.6</v>
      </c>
      <c r="J463" t="n">
        <v>1</v>
      </c>
      <c r="K463" t="n">
        <v>0</v>
      </c>
      <c r="L463" t="n">
        <v>0</v>
      </c>
      <c r="M463" t="n">
        <v>0</v>
      </c>
      <c r="N463" t="n">
        <v>0</v>
      </c>
      <c r="O463" t="n">
        <v>0</v>
      </c>
      <c r="P463" t="n">
        <v>0</v>
      </c>
      <c r="Q463" t="n">
        <v>0</v>
      </c>
      <c r="R463" t="n">
        <v>0</v>
      </c>
      <c r="S463" t="n">
        <v>1</v>
      </c>
      <c r="T463" t="n">
        <v>1</v>
      </c>
      <c r="U463" t="n">
        <v>0</v>
      </c>
      <c r="V463" s="2" t="inlineStr">
        <is>
          <t>Gullviva</t>
        </is>
      </c>
      <c r="W463">
        <f>HYPERLINK("https://klasma.github.io/Logging_0480/artfynd/A 35318-2024 artfynd.xlsx", "A 35318-2024")</f>
        <v/>
      </c>
      <c r="X463">
        <f>HYPERLINK("https://klasma.github.io/Logging_0480/kartor/A 35318-2024 karta.png", "A 35318-2024")</f>
        <v/>
      </c>
      <c r="Y463">
        <f>HYPERLINK("https://klasma.github.io/Logging_0480/kartor_geotiff/A 35318-2024 georefererad karta.tif", "A 35318-2024")</f>
        <v/>
      </c>
      <c r="AA463">
        <f>HYPERLINK("https://klasma.github.io/Logging_0480/klagomål/A 35318-2024 FSC-klagomål.docx", "A 35318-2024")</f>
        <v/>
      </c>
      <c r="AB463">
        <f>HYPERLINK("https://klasma.github.io/Logging_0480/klagomålsmail/A 35318-2024 FSC-klagomål mail.docx", "A 35318-2024")</f>
        <v/>
      </c>
      <c r="AC463">
        <f>HYPERLINK("https://klasma.github.io/Logging_0480/tillsyn/A 35318-2024 tillsynsbegäran.docx", "A 35318-2024")</f>
        <v/>
      </c>
      <c r="AD463">
        <f>HYPERLINK("https://klasma.github.io/Logging_0480/tillsynsmail/A 35318-2024 tillsynsbegäran mail.docx", "A 35318-2024")</f>
        <v/>
      </c>
    </row>
    <row r="464" ht="15" customHeight="1">
      <c r="A464" t="inlineStr">
        <is>
          <t>A 52997-2025</t>
        </is>
      </c>
      <c r="B464" t="inlineStr">
        <is>
          <t>avverkningsanmälan</t>
        </is>
      </c>
      <c r="C464" t="inlineStr">
        <is>
          <t>Föryngringsavverkning</t>
        </is>
      </c>
      <c r="D464" s="1" t="n">
        <v>45957</v>
      </c>
      <c r="E464" s="1" t="n">
        <v>46313</v>
      </c>
      <c r="F464" t="inlineStr">
        <is>
          <t>SÖDERMANLANDS LÄN</t>
        </is>
      </c>
      <c r="G464" t="inlineStr">
        <is>
          <t>STRÄNGNÄS</t>
        </is>
      </c>
      <c r="I464" t="n">
        <v>1.4</v>
      </c>
      <c r="J464" t="n">
        <v>1</v>
      </c>
      <c r="K464" t="n">
        <v>0</v>
      </c>
      <c r="L464" t="n">
        <v>0</v>
      </c>
      <c r="M464" t="n">
        <v>1</v>
      </c>
      <c r="N464" t="n">
        <v>0</v>
      </c>
      <c r="O464" t="n">
        <v>0</v>
      </c>
      <c r="P464" t="n">
        <v>0</v>
      </c>
      <c r="Q464" t="n">
        <v>1</v>
      </c>
      <c r="R464" t="n">
        <v>1</v>
      </c>
      <c r="S464" t="n">
        <v>1</v>
      </c>
      <c r="T464" t="n">
        <v>1</v>
      </c>
      <c r="U464" t="n">
        <v>0</v>
      </c>
      <c r="V464" s="2" t="inlineStr">
        <is>
          <t>Knärot</t>
        </is>
      </c>
      <c r="W464">
        <f>HYPERLINK("https://klasma.github.io/Logging_0486/artfynd/A 52997-2025 artfynd.xlsx", "A 52997-2025")</f>
        <v/>
      </c>
      <c r="X464">
        <f>HYPERLINK("https://klasma.github.io/Logging_0486/kartor/A 52997-2025 karta.png", "A 52997-2025")</f>
        <v/>
      </c>
      <c r="Y464">
        <f>HYPERLINK("https://klasma.github.io/Logging_0486/kartor_geotiff/A 52997-2025 georefererad karta.tif", "A 52997-2025")</f>
        <v/>
      </c>
      <c r="Z464">
        <f>HYPERLINK("https://klasma.github.io/Logging_0486/knärot/A 52997-2025 karta knärot.png", "A 52997-2025")</f>
        <v/>
      </c>
      <c r="AA464">
        <f>HYPERLINK("https://klasma.github.io/Logging_0486/klagomål/A 52997-2025 FSC-klagomål.docx", "A 52997-2025")</f>
        <v/>
      </c>
      <c r="AB464">
        <f>HYPERLINK("https://klasma.github.io/Logging_0486/klagomålsmail/A 52997-2025 FSC-klagomål mail.docx", "A 52997-2025")</f>
        <v/>
      </c>
      <c r="AC464">
        <f>HYPERLINK("https://klasma.github.io/Logging_0486/tillsyn/A 52997-2025 tillsynsbegäran.docx", "A 52997-2025")</f>
        <v/>
      </c>
      <c r="AD464">
        <f>HYPERLINK("https://klasma.github.io/Logging_0486/tillsynsmail/A 52997-2025 tillsynsbegäran mail.docx", "A 52997-2025")</f>
        <v/>
      </c>
    </row>
    <row r="465" ht="15" customHeight="1">
      <c r="A465" t="inlineStr">
        <is>
          <t>A 27892-2026</t>
        </is>
      </c>
      <c r="B465" t="inlineStr">
        <is>
          <t>avverkningsanmälan</t>
        </is>
      </c>
      <c r="C465" t="inlineStr">
        <is>
          <t>Föryngringsavverkning</t>
        </is>
      </c>
      <c r="D465" s="1" t="n">
        <v>46191</v>
      </c>
      <c r="E465" s="1" t="n">
        <v>46313</v>
      </c>
      <c r="F465" t="inlineStr">
        <is>
          <t>SÖDERMANLANDS LÄN</t>
        </is>
      </c>
      <c r="G465" t="inlineStr">
        <is>
          <t>ESKILSTUNA</t>
        </is>
      </c>
      <c r="I465" t="n">
        <v>1.1</v>
      </c>
      <c r="J465" t="n">
        <v>1</v>
      </c>
      <c r="K465" t="n">
        <v>0</v>
      </c>
      <c r="L465" t="n">
        <v>0</v>
      </c>
      <c r="M465" t="n">
        <v>0</v>
      </c>
      <c r="N465" t="n">
        <v>0</v>
      </c>
      <c r="O465" t="n">
        <v>0</v>
      </c>
      <c r="P465" t="n">
        <v>0</v>
      </c>
      <c r="Q465" t="n">
        <v>0</v>
      </c>
      <c r="R465" t="n">
        <v>0</v>
      </c>
      <c r="S465" t="n">
        <v>1</v>
      </c>
      <c r="T465" t="n">
        <v>2</v>
      </c>
      <c r="U465" t="n">
        <v>0</v>
      </c>
      <c r="V465" s="2" t="inlineStr">
        <is>
          <t>Nattviol</t>
        </is>
      </c>
      <c r="W465">
        <f>HYPERLINK("https://klasma.github.io/Logging_0484/artfynd/A 27892-2026 artfynd.xlsx", "A 27892-2026")</f>
        <v/>
      </c>
      <c r="X465">
        <f>HYPERLINK("https://klasma.github.io/Logging_0484/kartor/A 27892-2026 karta.png", "A 27892-2026")</f>
        <v/>
      </c>
      <c r="Y465">
        <f>HYPERLINK("https://klasma.github.io/Logging_0484/kartor_geotiff/A 27892-2026 georefererad karta.tif", "A 27892-2026")</f>
        <v/>
      </c>
      <c r="AA465">
        <f>HYPERLINK("https://klasma.github.io/Logging_0484/klagomål/A 27892-2026 FSC-klagomål.docx", "A 27892-2026")</f>
        <v/>
      </c>
      <c r="AB465">
        <f>HYPERLINK("https://klasma.github.io/Logging_0484/klagomålsmail/A 27892-2026 FSC-klagomål mail.docx", "A 27892-2026")</f>
        <v/>
      </c>
      <c r="AC465">
        <f>HYPERLINK("https://klasma.github.io/Logging_0484/tillsyn/A 27892-2026 tillsynsbegäran.docx", "A 27892-2026")</f>
        <v/>
      </c>
      <c r="AD465">
        <f>HYPERLINK("https://klasma.github.io/Logging_0484/tillsynsmail/A 27892-2026 tillsynsbegäran mail.docx", "A 27892-2026")</f>
        <v/>
      </c>
    </row>
    <row r="466" ht="15" customHeight="1">
      <c r="A466" t="inlineStr">
        <is>
          <t>A 60591-2022</t>
        </is>
      </c>
      <c r="B466" t="inlineStr">
        <is>
          <t>avverkningsanmälan</t>
        </is>
      </c>
      <c r="C466" t="inlineStr">
        <is>
          <t>Föryngringsavverkning</t>
        </is>
      </c>
      <c r="D466" s="1" t="n">
        <v>44911</v>
      </c>
      <c r="E466" s="1" t="n">
        <v>46313</v>
      </c>
      <c r="F466" t="inlineStr">
        <is>
          <t>SÖDERMANLANDS LÄN</t>
        </is>
      </c>
      <c r="G466" t="inlineStr">
        <is>
          <t>FLEN</t>
        </is>
      </c>
      <c r="H466" t="inlineStr">
        <is>
          <t>Holmen skog AB</t>
        </is>
      </c>
      <c r="I466" t="n">
        <v>1.3</v>
      </c>
      <c r="J466" t="n">
        <v>0</v>
      </c>
      <c r="K466" t="n">
        <v>1</v>
      </c>
      <c r="L466" t="n">
        <v>0</v>
      </c>
      <c r="M466" t="n">
        <v>0</v>
      </c>
      <c r="N466" t="n">
        <v>0</v>
      </c>
      <c r="O466" t="n">
        <v>0</v>
      </c>
      <c r="P466" t="n">
        <v>0</v>
      </c>
      <c r="Q466" t="n">
        <v>0</v>
      </c>
      <c r="R466" t="n">
        <v>0</v>
      </c>
      <c r="S466" t="n">
        <v>1</v>
      </c>
      <c r="T466" t="n">
        <v>1</v>
      </c>
      <c r="U466" t="n">
        <v>0</v>
      </c>
      <c r="V466" s="2" t="inlineStr">
        <is>
          <t>Grönpyrola</t>
        </is>
      </c>
      <c r="W466">
        <f>HYPERLINK("https://klasma.github.io/Logging_0482/artfynd/A 60591-2022 artfynd.xlsx", "A 60591-2022")</f>
        <v/>
      </c>
      <c r="X466">
        <f>HYPERLINK("https://klasma.github.io/Logging_0482/kartor/A 60591-2022 karta.png", "A 60591-2022")</f>
        <v/>
      </c>
      <c r="Y466">
        <f>HYPERLINK("https://klasma.github.io/Logging_0482/kartor_geotiff/A 60591-2022 georefererad karta.tif", "A 60591-2022")</f>
        <v/>
      </c>
      <c r="AA466">
        <f>HYPERLINK("https://klasma.github.io/Logging_0482/klagomål/A 60591-2022 FSC-klagomål.docx", "A 60591-2022")</f>
        <v/>
      </c>
      <c r="AB466">
        <f>HYPERLINK("https://klasma.github.io/Logging_0482/klagomålsmail/A 60591-2022 FSC-klagomål mail.docx", "A 60591-2022")</f>
        <v/>
      </c>
      <c r="AC466">
        <f>HYPERLINK("https://klasma.github.io/Logging_0482/tillsyn/A 60591-2022 tillsynsbegäran.docx", "A 60591-2022")</f>
        <v/>
      </c>
      <c r="AD466">
        <f>HYPERLINK("https://klasma.github.io/Logging_0482/tillsynsmail/A 60591-2022 tillsynsbegäran mail.docx", "A 60591-2022")</f>
        <v/>
      </c>
    </row>
    <row r="467" ht="15" customHeight="1">
      <c r="A467" t="inlineStr">
        <is>
          <t>A 4259-2023</t>
        </is>
      </c>
      <c r="B467" t="inlineStr">
        <is>
          <t>avverkningsanmälan</t>
        </is>
      </c>
      <c r="C467" t="inlineStr">
        <is>
          <t>Föryngringsavverkning</t>
        </is>
      </c>
      <c r="D467" s="1" t="n">
        <v>44953</v>
      </c>
      <c r="E467" s="1" t="n">
        <v>46313</v>
      </c>
      <c r="F467" t="inlineStr">
        <is>
          <t>SÖDERMANLANDS LÄN</t>
        </is>
      </c>
      <c r="G467" t="inlineStr">
        <is>
          <t>FLEN</t>
        </is>
      </c>
      <c r="I467" t="n">
        <v>1.3</v>
      </c>
      <c r="J467" t="n">
        <v>1</v>
      </c>
      <c r="K467" t="n">
        <v>0</v>
      </c>
      <c r="L467" t="n">
        <v>0</v>
      </c>
      <c r="M467" t="n">
        <v>0</v>
      </c>
      <c r="N467" t="n">
        <v>0</v>
      </c>
      <c r="O467" t="n">
        <v>0</v>
      </c>
      <c r="P467" t="n">
        <v>0</v>
      </c>
      <c r="Q467" t="n">
        <v>0</v>
      </c>
      <c r="R467" t="n">
        <v>0</v>
      </c>
      <c r="S467" t="n">
        <v>1</v>
      </c>
      <c r="T467" t="n">
        <v>1</v>
      </c>
      <c r="U467" t="n">
        <v>1</v>
      </c>
      <c r="V467" s="2" t="inlineStr">
        <is>
          <t>Blåsippa</t>
        </is>
      </c>
      <c r="W467">
        <f>HYPERLINK("https://klasma.github.io/Logging_0482/artfynd/A 4259-2023 artfynd.xlsx", "A 4259-2023")</f>
        <v/>
      </c>
      <c r="X467">
        <f>HYPERLINK("https://klasma.github.io/Logging_0482/kartor/A 4259-2023 karta.png", "A 4259-2023")</f>
        <v/>
      </c>
      <c r="Y467">
        <f>HYPERLINK("https://klasma.github.io/Logging_0482/kartor_geotiff/A 4259-2023 georefererad karta.tif", "A 4259-2023")</f>
        <v/>
      </c>
      <c r="AA467">
        <f>HYPERLINK("https://klasma.github.io/Logging_0482/klagomål/A 4259-2023 FSC-klagomål.docx", "A 4259-2023")</f>
        <v/>
      </c>
      <c r="AB467">
        <f>HYPERLINK("https://klasma.github.io/Logging_0482/klagomålsmail/A 4259-2023 FSC-klagomål mail.docx", "A 4259-2023")</f>
        <v/>
      </c>
      <c r="AC467">
        <f>HYPERLINK("https://klasma.github.io/Logging_0482/tillsyn/A 4259-2023 tillsynsbegäran.docx", "A 4259-2023")</f>
        <v/>
      </c>
      <c r="AD467">
        <f>HYPERLINK("https://klasma.github.io/Logging_0482/tillsynsmail/A 4259-2023 tillsynsbegäran mail.docx", "A 4259-2023")</f>
        <v/>
      </c>
    </row>
    <row r="468" ht="15" customHeight="1">
      <c r="A468" t="inlineStr">
        <is>
          <t>A 28542-2023</t>
        </is>
      </c>
      <c r="B468" t="inlineStr">
        <is>
          <t>avverkningsanmälan</t>
        </is>
      </c>
      <c r="C468" t="inlineStr">
        <is>
          <t>Föryngringsavverkning</t>
        </is>
      </c>
      <c r="D468" s="1" t="n">
        <v>45103</v>
      </c>
      <c r="E468" s="1" t="n">
        <v>46313</v>
      </c>
      <c r="F468" t="inlineStr">
        <is>
          <t>SÖDERMANLANDS LÄN</t>
        </is>
      </c>
      <c r="G468" t="inlineStr">
        <is>
          <t>NYKÖPING</t>
        </is>
      </c>
      <c r="I468" t="n">
        <v>2.8</v>
      </c>
      <c r="J468" t="n">
        <v>1</v>
      </c>
      <c r="K468" t="n">
        <v>0</v>
      </c>
      <c r="L468" t="n">
        <v>0</v>
      </c>
      <c r="M468" t="n">
        <v>1</v>
      </c>
      <c r="N468" t="n">
        <v>0</v>
      </c>
      <c r="O468" t="n">
        <v>0</v>
      </c>
      <c r="P468" t="n">
        <v>0</v>
      </c>
      <c r="Q468" t="n">
        <v>1</v>
      </c>
      <c r="R468" t="n">
        <v>1</v>
      </c>
      <c r="S468" t="n">
        <v>1</v>
      </c>
      <c r="T468" t="n">
        <v>1</v>
      </c>
      <c r="U468" t="n">
        <v>0</v>
      </c>
      <c r="V468" s="2" t="inlineStr">
        <is>
          <t>Knärot</t>
        </is>
      </c>
      <c r="W468">
        <f>HYPERLINK("https://klasma.github.io/Logging_0480/artfynd/A 28542-2023 artfynd.xlsx", "A 28542-2023")</f>
        <v/>
      </c>
      <c r="X468">
        <f>HYPERLINK("https://klasma.github.io/Logging_0480/kartor/A 28542-2023 karta.png", "A 28542-2023")</f>
        <v/>
      </c>
      <c r="Y468">
        <f>HYPERLINK("https://klasma.github.io/Logging_0480/kartor_geotiff/A 28542-2023 georefererad karta.tif", "A 28542-2023")</f>
        <v/>
      </c>
      <c r="Z468">
        <f>HYPERLINK("https://klasma.github.io/Logging_0480/knärot/A 28542-2023 karta knärot.png", "A 28542-2023")</f>
        <v/>
      </c>
      <c r="AA468">
        <f>HYPERLINK("https://klasma.github.io/Logging_0480/klagomål/A 28542-2023 FSC-klagomål.docx", "A 28542-2023")</f>
        <v/>
      </c>
      <c r="AB468">
        <f>HYPERLINK("https://klasma.github.io/Logging_0480/klagomålsmail/A 28542-2023 FSC-klagomål mail.docx", "A 28542-2023")</f>
        <v/>
      </c>
      <c r="AC468">
        <f>HYPERLINK("https://klasma.github.io/Logging_0480/tillsyn/A 28542-2023 tillsynsbegäran.docx", "A 28542-2023")</f>
        <v/>
      </c>
      <c r="AD468">
        <f>HYPERLINK("https://klasma.github.io/Logging_0480/tillsynsmail/A 28542-2023 tillsynsbegäran mail.docx", "A 28542-2023")</f>
        <v/>
      </c>
    </row>
    <row r="469" ht="15" customHeight="1">
      <c r="A469" t="inlineStr">
        <is>
          <t>A 15608-2026</t>
        </is>
      </c>
      <c r="B469" t="inlineStr">
        <is>
          <t>avverkningsanmälan</t>
        </is>
      </c>
      <c r="C469" t="inlineStr">
        <is>
          <t>Föryngringsavverkning</t>
        </is>
      </c>
      <c r="D469" s="1" t="n">
        <v>46106</v>
      </c>
      <c r="E469" s="1" t="n">
        <v>46313</v>
      </c>
      <c r="F469" t="inlineStr">
        <is>
          <t>SÖDERMANLANDS LÄN</t>
        </is>
      </c>
      <c r="G469" t="inlineStr">
        <is>
          <t>ESKILSTUNA</t>
        </is>
      </c>
      <c r="I469" t="n">
        <v>9.6</v>
      </c>
      <c r="J469" t="n">
        <v>0</v>
      </c>
      <c r="K469" t="n">
        <v>0</v>
      </c>
      <c r="L469" t="n">
        <v>0</v>
      </c>
      <c r="M469" t="n">
        <v>1</v>
      </c>
      <c r="N469" t="n">
        <v>0</v>
      </c>
      <c r="O469" t="n">
        <v>0</v>
      </c>
      <c r="P469" t="n">
        <v>0</v>
      </c>
      <c r="Q469" t="n">
        <v>1</v>
      </c>
      <c r="R469" t="n">
        <v>1</v>
      </c>
      <c r="S469" t="n">
        <v>1</v>
      </c>
      <c r="T469" t="n">
        <v>1</v>
      </c>
      <c r="U469" t="n">
        <v>0</v>
      </c>
      <c r="V469" s="2" t="inlineStr">
        <is>
          <t>Igelkott</t>
        </is>
      </c>
      <c r="W469">
        <f>HYPERLINK("https://klasma.github.io/Logging_0484/artfynd/A 15608-2026 artfynd.xlsx", "A 15608-2026")</f>
        <v/>
      </c>
      <c r="X469">
        <f>HYPERLINK("https://klasma.github.io/Logging_0484/kartor/A 15608-2026 karta.png", "A 15608-2026")</f>
        <v/>
      </c>
      <c r="Y469">
        <f>HYPERLINK("https://klasma.github.io/Logging_0484/kartor_geotiff/A 15608-2026 georefererad karta.tif", "A 15608-2026")</f>
        <v/>
      </c>
      <c r="AA469">
        <f>HYPERLINK("https://klasma.github.io/Logging_0484/klagomål/A 15608-2026 FSC-klagomål.docx", "A 15608-2026")</f>
        <v/>
      </c>
      <c r="AB469">
        <f>HYPERLINK("https://klasma.github.io/Logging_0484/klagomålsmail/A 15608-2026 FSC-klagomål mail.docx", "A 15608-2026")</f>
        <v/>
      </c>
      <c r="AC469">
        <f>HYPERLINK("https://klasma.github.io/Logging_0484/tillsyn/A 15608-2026 tillsynsbegäran.docx", "A 15608-2026")</f>
        <v/>
      </c>
      <c r="AD469">
        <f>HYPERLINK("https://klasma.github.io/Logging_0484/tillsynsmail/A 15608-2026 tillsynsbegäran mail.docx", "A 15608-2026")</f>
        <v/>
      </c>
    </row>
    <row r="470" ht="15" customHeight="1">
      <c r="A470" t="inlineStr">
        <is>
          <t>A 43391-2025</t>
        </is>
      </c>
      <c r="B470" t="inlineStr">
        <is>
          <t>avverkningsanmälan</t>
        </is>
      </c>
      <c r="C470" t="inlineStr">
        <is>
          <t>Föryngringsavverkning</t>
        </is>
      </c>
      <c r="D470" s="1" t="n">
        <v>45911</v>
      </c>
      <c r="E470" s="1" t="n">
        <v>46313</v>
      </c>
      <c r="F470" t="inlineStr">
        <is>
          <t>SÖDERMANLANDS LÄN</t>
        </is>
      </c>
      <c r="G470" t="inlineStr">
        <is>
          <t>STRÄNGNÄS</t>
        </is>
      </c>
      <c r="I470" t="n">
        <v>4.3</v>
      </c>
      <c r="J470" t="n">
        <v>1</v>
      </c>
      <c r="K470" t="n">
        <v>0</v>
      </c>
      <c r="L470" t="n">
        <v>1</v>
      </c>
      <c r="M470" t="n">
        <v>0</v>
      </c>
      <c r="N470" t="n">
        <v>0</v>
      </c>
      <c r="O470" t="n">
        <v>0</v>
      </c>
      <c r="P470" t="n">
        <v>0</v>
      </c>
      <c r="Q470" t="n">
        <v>1</v>
      </c>
      <c r="R470" t="n">
        <v>0</v>
      </c>
      <c r="S470" t="n">
        <v>1</v>
      </c>
      <c r="T470" t="n">
        <v>1</v>
      </c>
      <c r="U470" t="n">
        <v>0</v>
      </c>
      <c r="V470" s="2" t="inlineStr">
        <is>
          <t>Göktyta</t>
        </is>
      </c>
      <c r="W470">
        <f>HYPERLINK("https://klasma.github.io/Logging_0486/artfynd/A 43391-2025 artfynd.xlsx", "A 43391-2025")</f>
        <v/>
      </c>
      <c r="X470">
        <f>HYPERLINK("https://klasma.github.io/Logging_0486/kartor/A 43391-2025 karta.png", "A 43391-2025")</f>
        <v/>
      </c>
      <c r="Y470">
        <f>HYPERLINK("https://klasma.github.io/Logging_0486/kartor_geotiff/A 43391-2025 georefererad karta.tif", "A 43391-2025")</f>
        <v/>
      </c>
      <c r="AA470">
        <f>HYPERLINK("https://klasma.github.io/Logging_0486/klagomål/A 43391-2025 FSC-klagomål.docx", "A 43391-2025")</f>
        <v/>
      </c>
      <c r="AB470">
        <f>HYPERLINK("https://klasma.github.io/Logging_0486/klagomålsmail/A 43391-2025 FSC-klagomål mail.docx", "A 43391-2025")</f>
        <v/>
      </c>
      <c r="AC470">
        <f>HYPERLINK("https://klasma.github.io/Logging_0486/tillsyn/A 43391-2025 tillsynsbegäran.docx", "A 43391-2025")</f>
        <v/>
      </c>
      <c r="AD470">
        <f>HYPERLINK("https://klasma.github.io/Logging_0486/tillsynsmail/A 43391-2025 tillsynsbegäran mail.docx", "A 43391-2025")</f>
        <v/>
      </c>
      <c r="AE470">
        <f>HYPERLINK("https://klasma.github.io/Logging_0486/fåglar/A 43391-2025 prioriterade fågelarter.docx", "A 43391-2025")</f>
        <v/>
      </c>
    </row>
    <row r="471" ht="15" customHeight="1">
      <c r="A471" t="inlineStr">
        <is>
          <t>A 16691-2026</t>
        </is>
      </c>
      <c r="B471" t="inlineStr">
        <is>
          <t>avverkningsanmälan</t>
        </is>
      </c>
      <c r="C471" t="inlineStr">
        <is>
          <t>Föryngringsavverkning</t>
        </is>
      </c>
      <c r="D471" s="1" t="n">
        <v>46112</v>
      </c>
      <c r="E471" s="1" t="n">
        <v>46313</v>
      </c>
      <c r="F471" t="inlineStr">
        <is>
          <t>SÖDERMANLANDS LÄN</t>
        </is>
      </c>
      <c r="G471" t="inlineStr">
        <is>
          <t>GNESTA</t>
        </is>
      </c>
      <c r="I471" t="n">
        <v>1.4</v>
      </c>
      <c r="J471" t="n">
        <v>0</v>
      </c>
      <c r="K471" t="n">
        <v>0</v>
      </c>
      <c r="L471" t="n">
        <v>1</v>
      </c>
      <c r="M471" t="n">
        <v>0</v>
      </c>
      <c r="N471" t="n">
        <v>0</v>
      </c>
      <c r="O471" t="n">
        <v>0</v>
      </c>
      <c r="P471" t="n">
        <v>0</v>
      </c>
      <c r="Q471" t="n">
        <v>1</v>
      </c>
      <c r="R471" t="n">
        <v>0</v>
      </c>
      <c r="S471" t="n">
        <v>1</v>
      </c>
      <c r="T471" t="n">
        <v>2</v>
      </c>
      <c r="U471" t="n">
        <v>0</v>
      </c>
      <c r="V471" s="2" t="inlineStr">
        <is>
          <t>Tallticka</t>
        </is>
      </c>
      <c r="W471">
        <f>HYPERLINK("https://klasma.github.io/Logging_0461/artfynd/A 16691-2026 artfynd.xlsx", "A 16691-2026")</f>
        <v/>
      </c>
      <c r="X471">
        <f>HYPERLINK("https://klasma.github.io/Logging_0461/kartor/A 16691-2026 karta.png", "A 16691-2026")</f>
        <v/>
      </c>
      <c r="Y471">
        <f>HYPERLINK("https://klasma.github.io/Logging_0461/kartor_geotiff/A 16691-2026 georefererad karta.tif", "A 16691-2026")</f>
        <v/>
      </c>
      <c r="AA471">
        <f>HYPERLINK("https://klasma.github.io/Logging_0461/klagomål/A 16691-2026 FSC-klagomål.docx", "A 16691-2026")</f>
        <v/>
      </c>
      <c r="AB471">
        <f>HYPERLINK("https://klasma.github.io/Logging_0461/klagomålsmail/A 16691-2026 FSC-klagomål mail.docx", "A 16691-2026")</f>
        <v/>
      </c>
      <c r="AC471">
        <f>HYPERLINK("https://klasma.github.io/Logging_0461/tillsyn/A 16691-2026 tillsynsbegäran.docx", "A 16691-2026")</f>
        <v/>
      </c>
      <c r="AD471">
        <f>HYPERLINK("https://klasma.github.io/Logging_0461/tillsynsmail/A 16691-2026 tillsynsbegäran mail.docx", "A 16691-2026")</f>
        <v/>
      </c>
    </row>
    <row r="472" ht="15" customHeight="1">
      <c r="A472" t="inlineStr">
        <is>
          <t>A 12306-2022</t>
        </is>
      </c>
      <c r="B472" t="inlineStr">
        <is>
          <t>avverkningsanmälan</t>
        </is>
      </c>
      <c r="C472" t="inlineStr">
        <is>
          <t>Föryngringsavverkning</t>
        </is>
      </c>
      <c r="D472" s="1" t="n">
        <v>44637</v>
      </c>
      <c r="E472" s="1" t="n">
        <v>46313</v>
      </c>
      <c r="F472" t="inlineStr">
        <is>
          <t>SÖDERMANLANDS LÄN</t>
        </is>
      </c>
      <c r="G472" t="inlineStr">
        <is>
          <t>FLEN</t>
        </is>
      </c>
      <c r="I472" t="n">
        <v>3</v>
      </c>
      <c r="J472" t="n">
        <v>1</v>
      </c>
      <c r="K472" t="n">
        <v>0</v>
      </c>
      <c r="L472" t="n">
        <v>1</v>
      </c>
      <c r="M472" t="n">
        <v>0</v>
      </c>
      <c r="N472" t="n">
        <v>0</v>
      </c>
      <c r="O472" t="n">
        <v>0</v>
      </c>
      <c r="P472" t="n">
        <v>0</v>
      </c>
      <c r="Q472" t="n">
        <v>1</v>
      </c>
      <c r="R472" t="n">
        <v>0</v>
      </c>
      <c r="S472" t="n">
        <v>1</v>
      </c>
      <c r="T472" t="n">
        <v>1</v>
      </c>
      <c r="U472" t="n">
        <v>1</v>
      </c>
      <c r="V472" s="2" t="inlineStr">
        <is>
          <t>Järnsparv</t>
        </is>
      </c>
      <c r="W472">
        <f>HYPERLINK("https://klasma.github.io/Logging_0482/artfynd/A 12306-2022 artfynd.xlsx", "A 12306-2022")</f>
        <v/>
      </c>
      <c r="X472">
        <f>HYPERLINK("https://klasma.github.io/Logging_0482/kartor/A 12306-2022 karta.png", "A 12306-2022")</f>
        <v/>
      </c>
      <c r="Y472">
        <f>HYPERLINK("https://klasma.github.io/Logging_0482/kartor_geotiff/A 12306-2022 georefererad karta.tif", "A 12306-2022")</f>
        <v/>
      </c>
      <c r="AA472">
        <f>HYPERLINK("https://klasma.github.io/Logging_0482/klagomål/A 12306-2022 FSC-klagomål.docx", "A 12306-2022")</f>
        <v/>
      </c>
      <c r="AB472">
        <f>HYPERLINK("https://klasma.github.io/Logging_0482/klagomålsmail/A 12306-2022 FSC-klagomål mail.docx", "A 12306-2022")</f>
        <v/>
      </c>
      <c r="AC472">
        <f>HYPERLINK("https://klasma.github.io/Logging_0482/tillsyn/A 12306-2022 tillsynsbegäran.docx", "A 12306-2022")</f>
        <v/>
      </c>
      <c r="AD472">
        <f>HYPERLINK("https://klasma.github.io/Logging_0482/tillsynsmail/A 12306-2022 tillsynsbegäran mail.docx", "A 12306-2022")</f>
        <v/>
      </c>
      <c r="AE472">
        <f>HYPERLINK("https://klasma.github.io/Logging_0482/fåglar/A 12306-2022 prioriterade fågelarter.docx", "A 12306-2022")</f>
        <v/>
      </c>
    </row>
    <row r="473" ht="15" customHeight="1">
      <c r="A473" t="inlineStr">
        <is>
          <t>A 23341-2023</t>
        </is>
      </c>
      <c r="B473" t="inlineStr">
        <is>
          <t>avverkningsanmälan</t>
        </is>
      </c>
      <c r="C473" t="inlineStr">
        <is>
          <t>Föryngringsavverkning</t>
        </is>
      </c>
      <c r="D473" s="1" t="n">
        <v>45076</v>
      </c>
      <c r="E473" s="1" t="n">
        <v>46313</v>
      </c>
      <c r="F473" t="inlineStr">
        <is>
          <t>SÖDERMANLANDS LÄN</t>
        </is>
      </c>
      <c r="G473" t="inlineStr">
        <is>
          <t>KATRINEHOLM</t>
        </is>
      </c>
      <c r="I473" t="n">
        <v>3.5</v>
      </c>
      <c r="J473" t="n">
        <v>0</v>
      </c>
      <c r="K473" t="n">
        <v>1</v>
      </c>
      <c r="L473" t="n">
        <v>0</v>
      </c>
      <c r="M473" t="n">
        <v>0</v>
      </c>
      <c r="N473" t="n">
        <v>0</v>
      </c>
      <c r="O473" t="n">
        <v>0</v>
      </c>
      <c r="P473" t="n">
        <v>0</v>
      </c>
      <c r="Q473" t="n">
        <v>0</v>
      </c>
      <c r="R473" t="n">
        <v>0</v>
      </c>
      <c r="S473" t="n">
        <v>1</v>
      </c>
      <c r="T473" t="n">
        <v>1</v>
      </c>
      <c r="U473" t="n">
        <v>0</v>
      </c>
      <c r="V473" s="2" t="inlineStr">
        <is>
          <t>Grönpyrola</t>
        </is>
      </c>
      <c r="W473">
        <f>HYPERLINK("https://klasma.github.io/Logging_0483/artfynd/A 23341-2023 artfynd.xlsx", "A 23341-2023")</f>
        <v/>
      </c>
      <c r="X473">
        <f>HYPERLINK("https://klasma.github.io/Logging_0483/kartor/A 23341-2023 karta.png", "A 23341-2023")</f>
        <v/>
      </c>
      <c r="Y473">
        <f>HYPERLINK("https://klasma.github.io/Logging_0483/kartor_geotiff/A 23341-2023 georefererad karta.tif", "A 23341-2023")</f>
        <v/>
      </c>
      <c r="AA473">
        <f>HYPERLINK("https://klasma.github.io/Logging_0483/klagomål/A 23341-2023 FSC-klagomål.docx", "A 23341-2023")</f>
        <v/>
      </c>
      <c r="AB473">
        <f>HYPERLINK("https://klasma.github.io/Logging_0483/klagomålsmail/A 23341-2023 FSC-klagomål mail.docx", "A 23341-2023")</f>
        <v/>
      </c>
      <c r="AC473">
        <f>HYPERLINK("https://klasma.github.io/Logging_0483/tillsyn/A 23341-2023 tillsynsbegäran.docx", "A 23341-2023")</f>
        <v/>
      </c>
      <c r="AD473">
        <f>HYPERLINK("https://klasma.github.io/Logging_0483/tillsynsmail/A 23341-2023 tillsynsbegäran mail.docx", "A 23341-2023")</f>
        <v/>
      </c>
    </row>
    <row r="474" ht="15" customHeight="1">
      <c r="A474" t="inlineStr">
        <is>
          <t>A 29195-2023</t>
        </is>
      </c>
      <c r="B474" t="inlineStr">
        <is>
          <t>avverkningsanmälan</t>
        </is>
      </c>
      <c r="C474" t="inlineStr">
        <is>
          <t>Föryngringsavverkning</t>
        </is>
      </c>
      <c r="D474" s="1" t="n">
        <v>45105</v>
      </c>
      <c r="E474" s="1" t="n">
        <v>46313</v>
      </c>
      <c r="F474" t="inlineStr">
        <is>
          <t>SÖDERMANLANDS LÄN</t>
        </is>
      </c>
      <c r="G474" t="inlineStr">
        <is>
          <t>FLEN</t>
        </is>
      </c>
      <c r="H474" t="inlineStr">
        <is>
          <t>Övriga statliga verk och myndigheter</t>
        </is>
      </c>
      <c r="I474" t="n">
        <v>3.9</v>
      </c>
      <c r="J474" t="n">
        <v>1</v>
      </c>
      <c r="K474" t="n">
        <v>1</v>
      </c>
      <c r="L474" t="n">
        <v>0</v>
      </c>
      <c r="M474" t="n">
        <v>0</v>
      </c>
      <c r="N474" t="n">
        <v>0</v>
      </c>
      <c r="O474" t="n">
        <v>0</v>
      </c>
      <c r="P474" t="n">
        <v>0</v>
      </c>
      <c r="Q474" t="n">
        <v>0</v>
      </c>
      <c r="R474" t="n">
        <v>0</v>
      </c>
      <c r="S474" t="n">
        <v>1</v>
      </c>
      <c r="T474" t="n">
        <v>1</v>
      </c>
      <c r="U474" t="n">
        <v>0</v>
      </c>
      <c r="V474" s="2" t="inlineStr">
        <is>
          <t>Plattlummer</t>
        </is>
      </c>
      <c r="W474">
        <f>HYPERLINK("https://klasma.github.io/Logging_0482/artfynd/A 29195-2023 artfynd.xlsx", "A 29195-2023")</f>
        <v/>
      </c>
      <c r="X474">
        <f>HYPERLINK("https://klasma.github.io/Logging_0482/kartor/A 29195-2023 karta.png", "A 29195-2023")</f>
        <v/>
      </c>
      <c r="Y474">
        <f>HYPERLINK("https://klasma.github.io/Logging_0482/kartor_geotiff/A 29195-2023 georefererad karta.tif", "A 29195-2023")</f>
        <v/>
      </c>
      <c r="AA474">
        <f>HYPERLINK("https://klasma.github.io/Logging_0482/klagomål/A 29195-2023 FSC-klagomål.docx", "A 29195-2023")</f>
        <v/>
      </c>
      <c r="AB474">
        <f>HYPERLINK("https://klasma.github.io/Logging_0482/klagomålsmail/A 29195-2023 FSC-klagomål mail.docx", "A 29195-2023")</f>
        <v/>
      </c>
      <c r="AC474">
        <f>HYPERLINK("https://klasma.github.io/Logging_0482/tillsyn/A 29195-2023 tillsynsbegäran.docx", "A 29195-2023")</f>
        <v/>
      </c>
      <c r="AD474">
        <f>HYPERLINK("https://klasma.github.io/Logging_0482/tillsynsmail/A 29195-2023 tillsynsbegäran mail.docx", "A 29195-2023")</f>
        <v/>
      </c>
    </row>
    <row r="475" ht="15" customHeight="1">
      <c r="A475" t="inlineStr">
        <is>
          <t>A 36220-2022</t>
        </is>
      </c>
      <c r="B475" t="inlineStr">
        <is>
          <t>avverkningsanmälan</t>
        </is>
      </c>
      <c r="C475" t="inlineStr">
        <is>
          <t>Föryngringsavverkning</t>
        </is>
      </c>
      <c r="D475" s="1" t="n">
        <v>44803</v>
      </c>
      <c r="E475" s="1" t="n">
        <v>46313</v>
      </c>
      <c r="F475" t="inlineStr">
        <is>
          <t>SÖDERMANLANDS LÄN</t>
        </is>
      </c>
      <c r="G475" t="inlineStr">
        <is>
          <t>KATRINEHOLM</t>
        </is>
      </c>
      <c r="I475" t="n">
        <v>3.1</v>
      </c>
      <c r="J475" t="n">
        <v>0</v>
      </c>
      <c r="K475" t="n">
        <v>1</v>
      </c>
      <c r="L475" t="n">
        <v>0</v>
      </c>
      <c r="M475" t="n">
        <v>0</v>
      </c>
      <c r="N475" t="n">
        <v>0</v>
      </c>
      <c r="O475" t="n">
        <v>0</v>
      </c>
      <c r="P475" t="n">
        <v>0</v>
      </c>
      <c r="Q475" t="n">
        <v>0</v>
      </c>
      <c r="R475" t="n">
        <v>0</v>
      </c>
      <c r="S475" t="n">
        <v>1</v>
      </c>
      <c r="T475" t="n">
        <v>1</v>
      </c>
      <c r="U475" t="n">
        <v>0</v>
      </c>
      <c r="V475" s="2" t="inlineStr">
        <is>
          <t>Granbräken</t>
        </is>
      </c>
      <c r="W475">
        <f>HYPERLINK("https://klasma.github.io/Logging_0483/artfynd/A 36220-2022 artfynd.xlsx", "A 36220-2022")</f>
        <v/>
      </c>
      <c r="X475">
        <f>HYPERLINK("https://klasma.github.io/Logging_0483/kartor/A 36220-2022 karta.png", "A 36220-2022")</f>
        <v/>
      </c>
      <c r="Y475">
        <f>HYPERLINK("https://klasma.github.io/Logging_0483/kartor_geotiff/A 36220-2022 georefererad karta.tif", "A 36220-2022")</f>
        <v/>
      </c>
      <c r="AA475">
        <f>HYPERLINK("https://klasma.github.io/Logging_0483/klagomål/A 36220-2022 FSC-klagomål.docx", "A 36220-2022")</f>
        <v/>
      </c>
      <c r="AB475">
        <f>HYPERLINK("https://klasma.github.io/Logging_0483/klagomålsmail/A 36220-2022 FSC-klagomål mail.docx", "A 36220-2022")</f>
        <v/>
      </c>
      <c r="AC475">
        <f>HYPERLINK("https://klasma.github.io/Logging_0483/tillsyn/A 36220-2022 tillsynsbegäran.docx", "A 36220-2022")</f>
        <v/>
      </c>
      <c r="AD475">
        <f>HYPERLINK("https://klasma.github.io/Logging_0483/tillsynsmail/A 36220-2022 tillsynsbegäran mail.docx", "A 36220-2022")</f>
        <v/>
      </c>
    </row>
    <row r="476" ht="15" customHeight="1">
      <c r="A476" t="inlineStr">
        <is>
          <t>A 38361-2024</t>
        </is>
      </c>
      <c r="B476" t="inlineStr">
        <is>
          <t>avverkningsanmälan</t>
        </is>
      </c>
      <c r="C476" t="inlineStr">
        <is>
          <t>Avverkning för annat ändamål</t>
        </is>
      </c>
      <c r="D476" s="1" t="n">
        <v>45545</v>
      </c>
      <c r="E476" s="1" t="n">
        <v>46313</v>
      </c>
      <c r="F476" t="inlineStr">
        <is>
          <t>SÖDERMANLANDS LÄN</t>
        </is>
      </c>
      <c r="G476" t="inlineStr">
        <is>
          <t>ESKILSTUNA</t>
        </is>
      </c>
      <c r="I476" t="n">
        <v>0.4</v>
      </c>
      <c r="J476" t="n">
        <v>1</v>
      </c>
      <c r="K476" t="n">
        <v>0</v>
      </c>
      <c r="L476" t="n">
        <v>0</v>
      </c>
      <c r="M476" t="n">
        <v>0</v>
      </c>
      <c r="N476" t="n">
        <v>0</v>
      </c>
      <c r="O476" t="n">
        <v>0</v>
      </c>
      <c r="P476" t="n">
        <v>0</v>
      </c>
      <c r="Q476" t="n">
        <v>0</v>
      </c>
      <c r="R476" t="n">
        <v>0</v>
      </c>
      <c r="S476" t="n">
        <v>1</v>
      </c>
      <c r="T476" t="n">
        <v>1</v>
      </c>
      <c r="U476" t="n">
        <v>0</v>
      </c>
      <c r="V476" s="2" t="inlineStr">
        <is>
          <t>Spillkråka</t>
        </is>
      </c>
      <c r="W476">
        <f>HYPERLINK("https://klasma.github.io/Logging_0484/artfynd/A 38361-2024 artfynd.xlsx", "A 38361-2024")</f>
        <v/>
      </c>
      <c r="X476">
        <f>HYPERLINK("https://klasma.github.io/Logging_0484/kartor/A 38361-2024 karta.png", "A 38361-2024")</f>
        <v/>
      </c>
      <c r="Y476">
        <f>HYPERLINK("https://klasma.github.io/Logging_0484/kartor_geotiff/A 38361-2024 georefererad karta.tif", "A 38361-2024")</f>
        <v/>
      </c>
      <c r="AA476">
        <f>HYPERLINK("https://klasma.github.io/Logging_0484/klagomål/A 38361-2024 FSC-klagomål.docx", "A 38361-2024")</f>
        <v/>
      </c>
      <c r="AB476">
        <f>HYPERLINK("https://klasma.github.io/Logging_0484/klagomålsmail/A 38361-2024 FSC-klagomål mail.docx", "A 38361-2024")</f>
        <v/>
      </c>
      <c r="AC476">
        <f>HYPERLINK("https://klasma.github.io/Logging_0484/tillsyn/A 38361-2024 tillsynsbegäran.docx", "A 38361-2024")</f>
        <v/>
      </c>
      <c r="AD476">
        <f>HYPERLINK("https://klasma.github.io/Logging_0484/tillsynsmail/A 38361-2024 tillsynsbegäran mail.docx", "A 38361-2024")</f>
        <v/>
      </c>
      <c r="AE476">
        <f>HYPERLINK("https://klasma.github.io/Logging_0484/fåglar/A 38361-2024 prioriterade fågelarter.docx", "A 38361-2024")</f>
        <v/>
      </c>
    </row>
    <row r="477" ht="15" customHeight="1">
      <c r="A477" t="inlineStr">
        <is>
          <t>A 7681-2023</t>
        </is>
      </c>
      <c r="B477" t="inlineStr">
        <is>
          <t>avverkningsanmälan</t>
        </is>
      </c>
      <c r="C477" t="inlineStr">
        <is>
          <t>Föryngringsavverkning</t>
        </is>
      </c>
      <c r="D477" s="1" t="n">
        <v>44972</v>
      </c>
      <c r="E477" s="1" t="n">
        <v>46313</v>
      </c>
      <c r="F477" t="inlineStr">
        <is>
          <t>SÖDERMANLANDS LÄN</t>
        </is>
      </c>
      <c r="G477" t="inlineStr">
        <is>
          <t>GNESTA</t>
        </is>
      </c>
      <c r="I477" t="n">
        <v>2.3</v>
      </c>
      <c r="J477" t="n">
        <v>0</v>
      </c>
      <c r="K477" t="n">
        <v>0</v>
      </c>
      <c r="L477" t="n">
        <v>1</v>
      </c>
      <c r="M477" t="n">
        <v>0</v>
      </c>
      <c r="N477" t="n">
        <v>0</v>
      </c>
      <c r="O477" t="n">
        <v>0</v>
      </c>
      <c r="P477" t="n">
        <v>0</v>
      </c>
      <c r="Q477" t="n">
        <v>1</v>
      </c>
      <c r="R477" t="n">
        <v>0</v>
      </c>
      <c r="S477" t="n">
        <v>1</v>
      </c>
      <c r="T477" t="n">
        <v>1</v>
      </c>
      <c r="U477" t="n">
        <v>1</v>
      </c>
      <c r="V477" s="2" t="inlineStr">
        <is>
          <t>Gullklöver</t>
        </is>
      </c>
      <c r="W477">
        <f>HYPERLINK("https://klasma.github.io/Logging_0461/artfynd/A 7681-2023 artfynd.xlsx", "A 7681-2023")</f>
        <v/>
      </c>
      <c r="X477">
        <f>HYPERLINK("https://klasma.github.io/Logging_0461/kartor/A 7681-2023 karta.png", "A 7681-2023")</f>
        <v/>
      </c>
      <c r="Y477">
        <f>HYPERLINK("https://klasma.github.io/Logging_0461/kartor_geotiff/A 7681-2023 georefererad karta.tif", "A 7681-2023")</f>
        <v/>
      </c>
      <c r="AA477">
        <f>HYPERLINK("https://klasma.github.io/Logging_0461/klagomål/A 7681-2023 FSC-klagomål.docx", "A 7681-2023")</f>
        <v/>
      </c>
      <c r="AB477">
        <f>HYPERLINK("https://klasma.github.io/Logging_0461/klagomålsmail/A 7681-2023 FSC-klagomål mail.docx", "A 7681-2023")</f>
        <v/>
      </c>
      <c r="AC477">
        <f>HYPERLINK("https://klasma.github.io/Logging_0461/tillsyn/A 7681-2023 tillsynsbegäran.docx", "A 7681-2023")</f>
        <v/>
      </c>
      <c r="AD477">
        <f>HYPERLINK("https://klasma.github.io/Logging_0461/tillsynsmail/A 7681-2023 tillsynsbegäran mail.docx", "A 7681-2023")</f>
        <v/>
      </c>
    </row>
    <row r="478" ht="15" customHeight="1">
      <c r="A478" t="inlineStr">
        <is>
          <t>A 27376-2024</t>
        </is>
      </c>
      <c r="B478" t="inlineStr">
        <is>
          <t>avverkningsanmälan</t>
        </is>
      </c>
      <c r="C478" t="inlineStr">
        <is>
          <t>Föryngringsavverkning</t>
        </is>
      </c>
      <c r="D478" s="1" t="n">
        <v>45473</v>
      </c>
      <c r="E478" s="1" t="n">
        <v>46313</v>
      </c>
      <c r="F478" t="inlineStr">
        <is>
          <t>SÖDERMANLANDS LÄN</t>
        </is>
      </c>
      <c r="G478" t="inlineStr">
        <is>
          <t>KATRINEHOLM</t>
        </is>
      </c>
      <c r="H478" t="inlineStr">
        <is>
          <t>Kommuner</t>
        </is>
      </c>
      <c r="I478" t="n">
        <v>2.8</v>
      </c>
      <c r="J478" t="n">
        <v>1</v>
      </c>
      <c r="K478" t="n">
        <v>0</v>
      </c>
      <c r="L478" t="n">
        <v>0</v>
      </c>
      <c r="M478" t="n">
        <v>0</v>
      </c>
      <c r="N478" t="n">
        <v>1</v>
      </c>
      <c r="O478" t="n">
        <v>0</v>
      </c>
      <c r="P478" t="n">
        <v>0</v>
      </c>
      <c r="Q478" t="n">
        <v>1</v>
      </c>
      <c r="R478" t="n">
        <v>1</v>
      </c>
      <c r="S478" t="n">
        <v>1</v>
      </c>
      <c r="T478" t="n">
        <v>1</v>
      </c>
      <c r="U478" t="n">
        <v>0</v>
      </c>
      <c r="V478" s="2" t="inlineStr">
        <is>
          <t>Bombmurkla</t>
        </is>
      </c>
      <c r="W478">
        <f>HYPERLINK("https://klasma.github.io/Logging_0483/artfynd/A 27376-2024 artfynd.xlsx", "A 27376-2024")</f>
        <v/>
      </c>
      <c r="X478">
        <f>HYPERLINK("https://klasma.github.io/Logging_0483/kartor/A 27376-2024 karta.png", "A 27376-2024")</f>
        <v/>
      </c>
      <c r="Y478">
        <f>HYPERLINK("https://klasma.github.io/Logging_0483/kartor_geotiff/A 27376-2024 georefererad karta.tif", "A 27376-2024")</f>
        <v/>
      </c>
      <c r="AA478">
        <f>HYPERLINK("https://klasma.github.io/Logging_0483/klagomål/A 27376-2024 FSC-klagomål.docx", "A 27376-2024")</f>
        <v/>
      </c>
      <c r="AB478">
        <f>HYPERLINK("https://klasma.github.io/Logging_0483/klagomålsmail/A 27376-2024 FSC-klagomål mail.docx", "A 27376-2024")</f>
        <v/>
      </c>
      <c r="AC478">
        <f>HYPERLINK("https://klasma.github.io/Logging_0483/tillsyn/A 27376-2024 tillsynsbegäran.docx", "A 27376-2024")</f>
        <v/>
      </c>
      <c r="AD478">
        <f>HYPERLINK("https://klasma.github.io/Logging_0483/tillsynsmail/A 27376-2024 tillsynsbegäran mail.docx", "A 27376-2024")</f>
        <v/>
      </c>
    </row>
    <row r="479" ht="15" customHeight="1">
      <c r="A479" t="inlineStr">
        <is>
          <t>A 35360-2024</t>
        </is>
      </c>
      <c r="B479" t="inlineStr">
        <is>
          <t>avverkningsanmälan</t>
        </is>
      </c>
      <c r="C479" t="inlineStr">
        <is>
          <t>Föryngringsavverkning</t>
        </is>
      </c>
      <c r="D479" s="1" t="n">
        <v>45531</v>
      </c>
      <c r="E479" s="1" t="n">
        <v>46313</v>
      </c>
      <c r="F479" t="inlineStr">
        <is>
          <t>SÖDERMANLANDS LÄN</t>
        </is>
      </c>
      <c r="G479" t="inlineStr">
        <is>
          <t>STRÄNGNÄS</t>
        </is>
      </c>
      <c r="H479" t="inlineStr">
        <is>
          <t>Övriga statliga verk och myndigheter</t>
        </is>
      </c>
      <c r="I479" t="n">
        <v>7.6</v>
      </c>
      <c r="J479" t="n">
        <v>0</v>
      </c>
      <c r="K479" t="n">
        <v>1</v>
      </c>
      <c r="L479" t="n">
        <v>0</v>
      </c>
      <c r="M479" t="n">
        <v>0</v>
      </c>
      <c r="N479" t="n">
        <v>0</v>
      </c>
      <c r="O479" t="n">
        <v>0</v>
      </c>
      <c r="P479" t="n">
        <v>0</v>
      </c>
      <c r="Q479" t="n">
        <v>0</v>
      </c>
      <c r="R479" t="n">
        <v>0</v>
      </c>
      <c r="S479" t="n">
        <v>1</v>
      </c>
      <c r="T479" t="n">
        <v>1</v>
      </c>
      <c r="U479" t="n">
        <v>0</v>
      </c>
      <c r="V479" s="2" t="inlineStr">
        <is>
          <t>Grönpyrola</t>
        </is>
      </c>
      <c r="W479">
        <f>HYPERLINK("https://klasma.github.io/Logging_0486/artfynd/A 35360-2024 artfynd.xlsx", "A 35360-2024")</f>
        <v/>
      </c>
      <c r="X479">
        <f>HYPERLINK("https://klasma.github.io/Logging_0486/kartor/A 35360-2024 karta.png", "A 35360-2024")</f>
        <v/>
      </c>
      <c r="Y479">
        <f>HYPERLINK("https://klasma.github.io/Logging_0486/kartor_geotiff/A 35360-2024 georefererad karta.tif", "A 35360-2024")</f>
        <v/>
      </c>
      <c r="AA479">
        <f>HYPERLINK("https://klasma.github.io/Logging_0486/klagomål/A 35360-2024 FSC-klagomål.docx", "A 35360-2024")</f>
        <v/>
      </c>
      <c r="AB479">
        <f>HYPERLINK("https://klasma.github.io/Logging_0486/klagomålsmail/A 35360-2024 FSC-klagomål mail.docx", "A 35360-2024")</f>
        <v/>
      </c>
      <c r="AC479">
        <f>HYPERLINK("https://klasma.github.io/Logging_0486/tillsyn/A 35360-2024 tillsynsbegäran.docx", "A 35360-2024")</f>
        <v/>
      </c>
      <c r="AD479">
        <f>HYPERLINK("https://klasma.github.io/Logging_0486/tillsynsmail/A 35360-2024 tillsynsbegäran mail.docx", "A 35360-2024")</f>
        <v/>
      </c>
    </row>
    <row r="480" ht="15" customHeight="1">
      <c r="A480" t="inlineStr">
        <is>
          <t>A 67047-2021</t>
        </is>
      </c>
      <c r="B480" t="inlineStr">
        <is>
          <t>avverkningsanmälan</t>
        </is>
      </c>
      <c r="C480" t="inlineStr">
        <is>
          <t>Avverkning för att bevara och utveckla /försöksver</t>
        </is>
      </c>
      <c r="D480" s="1" t="n">
        <v>44522</v>
      </c>
      <c r="E480" s="1" t="n">
        <v>46313</v>
      </c>
      <c r="F480" t="inlineStr">
        <is>
          <t>SÖDERMANLANDS LÄN</t>
        </is>
      </c>
      <c r="G480" t="inlineStr">
        <is>
          <t>ESKILSTUNA</t>
        </is>
      </c>
      <c r="H480" t="inlineStr">
        <is>
          <t>Kyrkan</t>
        </is>
      </c>
      <c r="I480" t="n">
        <v>2.7</v>
      </c>
      <c r="J480" t="n">
        <v>1</v>
      </c>
      <c r="K480" t="n">
        <v>0</v>
      </c>
      <c r="L480" t="n">
        <v>0</v>
      </c>
      <c r="M480" t="n">
        <v>0</v>
      </c>
      <c r="N480" t="n">
        <v>0</v>
      </c>
      <c r="O480" t="n">
        <v>0</v>
      </c>
      <c r="P480" t="n">
        <v>0</v>
      </c>
      <c r="Q480" t="n">
        <v>0</v>
      </c>
      <c r="R480" t="n">
        <v>0</v>
      </c>
      <c r="S480" t="n">
        <v>1</v>
      </c>
      <c r="T480" t="n">
        <v>1</v>
      </c>
      <c r="U480" t="n">
        <v>0</v>
      </c>
      <c r="V480" s="2" t="inlineStr">
        <is>
          <t>Blåsippa</t>
        </is>
      </c>
      <c r="W480">
        <f>HYPERLINK("https://klasma.github.io/Logging_0484/artfynd/A 67047-2021 artfynd.xlsx", "A 67047-2021")</f>
        <v/>
      </c>
      <c r="X480">
        <f>HYPERLINK("https://klasma.github.io/Logging_0484/kartor/A 67047-2021 karta.png", "A 67047-2021")</f>
        <v/>
      </c>
      <c r="Y480">
        <f>HYPERLINK("https://klasma.github.io/Logging_0484/kartor_geotiff/A 67047-2021 georefererad karta.tif", "A 67047-2021")</f>
        <v/>
      </c>
      <c r="AA480">
        <f>HYPERLINK("https://klasma.github.io/Logging_0484/klagomål/A 67047-2021 FSC-klagomål.docx", "A 67047-2021")</f>
        <v/>
      </c>
      <c r="AB480">
        <f>HYPERLINK("https://klasma.github.io/Logging_0484/klagomålsmail/A 67047-2021 FSC-klagomål mail.docx", "A 67047-2021")</f>
        <v/>
      </c>
      <c r="AC480">
        <f>HYPERLINK("https://klasma.github.io/Logging_0484/tillsyn/A 67047-2021 tillsynsbegäran.docx", "A 67047-2021")</f>
        <v/>
      </c>
      <c r="AD480">
        <f>HYPERLINK("https://klasma.github.io/Logging_0484/tillsynsmail/A 67047-2021 tillsynsbegäran mail.docx", "A 67047-2021")</f>
        <v/>
      </c>
    </row>
    <row r="481" ht="15" customHeight="1">
      <c r="A481" t="inlineStr">
        <is>
          <t>A 30406-2026</t>
        </is>
      </c>
      <c r="B481" t="inlineStr">
        <is>
          <t>avverkningsanmälan</t>
        </is>
      </c>
      <c r="C481" t="inlineStr">
        <is>
          <t>Föryngringsavverkning</t>
        </is>
      </c>
      <c r="D481" s="1" t="n">
        <v>46209</v>
      </c>
      <c r="E481" s="1" t="n">
        <v>46313</v>
      </c>
      <c r="F481" t="inlineStr">
        <is>
          <t>SÖDERMANLANDS LÄN</t>
        </is>
      </c>
      <c r="G481" t="inlineStr">
        <is>
          <t>FLEN</t>
        </is>
      </c>
      <c r="H481" t="inlineStr">
        <is>
          <t>Holmen skog AB</t>
        </is>
      </c>
      <c r="I481" t="n">
        <v>1.1</v>
      </c>
      <c r="J481" t="n">
        <v>0</v>
      </c>
      <c r="K481" t="n">
        <v>0</v>
      </c>
      <c r="L481" t="n">
        <v>1</v>
      </c>
      <c r="M481" t="n">
        <v>0</v>
      </c>
      <c r="N481" t="n">
        <v>0</v>
      </c>
      <c r="O481" t="n">
        <v>0</v>
      </c>
      <c r="P481" t="n">
        <v>0</v>
      </c>
      <c r="Q481" t="n">
        <v>1</v>
      </c>
      <c r="R481" t="n">
        <v>0</v>
      </c>
      <c r="S481" t="n">
        <v>1</v>
      </c>
      <c r="T481" t="n">
        <v>1</v>
      </c>
      <c r="U481" t="n">
        <v>0</v>
      </c>
      <c r="V481" s="2" t="inlineStr">
        <is>
          <t>Ullticka</t>
        </is>
      </c>
      <c r="W481">
        <f>HYPERLINK("https://klasma.github.io/Logging_0482/artfynd/A 30406-2026 artfynd.xlsx", "A 30406-2026")</f>
        <v/>
      </c>
      <c r="X481">
        <f>HYPERLINK("https://klasma.github.io/Logging_0482/kartor/A 30406-2026 karta.png", "A 30406-2026")</f>
        <v/>
      </c>
      <c r="Y481">
        <f>HYPERLINK("https://klasma.github.io/Logging_0482/kartor_geotiff/A 30406-2026 georefererad karta.tif", "A 30406-2026")</f>
        <v/>
      </c>
      <c r="AA481">
        <f>HYPERLINK("https://klasma.github.io/Logging_0482/klagomål/A 30406-2026 FSC-klagomål.docx", "A 30406-2026")</f>
        <v/>
      </c>
      <c r="AB481">
        <f>HYPERLINK("https://klasma.github.io/Logging_0482/klagomålsmail/A 30406-2026 FSC-klagomål mail.docx", "A 30406-2026")</f>
        <v/>
      </c>
      <c r="AC481">
        <f>HYPERLINK("https://klasma.github.io/Logging_0482/tillsyn/A 30406-2026 tillsynsbegäran.docx", "A 30406-2026")</f>
        <v/>
      </c>
      <c r="AD481">
        <f>HYPERLINK("https://klasma.github.io/Logging_0482/tillsynsmail/A 30406-2026 tillsynsbegäran mail.docx", "A 30406-2026")</f>
        <v/>
      </c>
    </row>
    <row r="482" ht="15" customHeight="1">
      <c r="A482" t="inlineStr">
        <is>
          <t>A 60562-2021</t>
        </is>
      </c>
      <c r="B482" t="inlineStr">
        <is>
          <t>avverkningsanmälan</t>
        </is>
      </c>
      <c r="C482" t="inlineStr">
        <is>
          <t>Föryngringsavverkning</t>
        </is>
      </c>
      <c r="D482" s="1" t="n">
        <v>44495</v>
      </c>
      <c r="E482" s="1" t="n">
        <v>46313</v>
      </c>
      <c r="F482" t="inlineStr">
        <is>
          <t>SÖDERMANLANDS LÄN</t>
        </is>
      </c>
      <c r="G482" t="inlineStr">
        <is>
          <t>FLEN</t>
        </is>
      </c>
      <c r="H482" t="inlineStr">
        <is>
          <t>Övriga statliga verk och myndigheter</t>
        </is>
      </c>
      <c r="I482" t="n">
        <v>1.3</v>
      </c>
      <c r="J482" t="n">
        <v>0</v>
      </c>
      <c r="K482" t="n">
        <v>0</v>
      </c>
      <c r="L482" t="n">
        <v>1</v>
      </c>
      <c r="M482" t="n">
        <v>0</v>
      </c>
      <c r="N482" t="n">
        <v>0</v>
      </c>
      <c r="O482" t="n">
        <v>0</v>
      </c>
      <c r="P482" t="n">
        <v>0</v>
      </c>
      <c r="Q482" t="n">
        <v>1</v>
      </c>
      <c r="R482" t="n">
        <v>0</v>
      </c>
      <c r="S482" t="n">
        <v>1</v>
      </c>
      <c r="T482" t="n">
        <v>1</v>
      </c>
      <c r="U482" t="n">
        <v>1</v>
      </c>
      <c r="V482" s="2" t="inlineStr">
        <is>
          <t>Gullklöver</t>
        </is>
      </c>
      <c r="W482">
        <f>HYPERLINK("https://klasma.github.io/Logging_0482/artfynd/A 60562-2021 artfynd.xlsx", "A 60562-2021")</f>
        <v/>
      </c>
      <c r="X482">
        <f>HYPERLINK("https://klasma.github.io/Logging_0482/kartor/A 60562-2021 karta.png", "A 60562-2021")</f>
        <v/>
      </c>
      <c r="Y482">
        <f>HYPERLINK("https://klasma.github.io/Logging_0482/kartor_geotiff/A 60562-2021 georefererad karta.tif", "A 60562-2021")</f>
        <v/>
      </c>
      <c r="AA482">
        <f>HYPERLINK("https://klasma.github.io/Logging_0482/klagomål/A 60562-2021 FSC-klagomål.docx", "A 60562-2021")</f>
        <v/>
      </c>
      <c r="AB482">
        <f>HYPERLINK("https://klasma.github.io/Logging_0482/klagomålsmail/A 60562-2021 FSC-klagomål mail.docx", "A 60562-2021")</f>
        <v/>
      </c>
      <c r="AC482">
        <f>HYPERLINK("https://klasma.github.io/Logging_0482/tillsyn/A 60562-2021 tillsynsbegäran.docx", "A 60562-2021")</f>
        <v/>
      </c>
      <c r="AD482">
        <f>HYPERLINK("https://klasma.github.io/Logging_0482/tillsynsmail/A 60562-2021 tillsynsbegäran mail.docx", "A 60562-2021")</f>
        <v/>
      </c>
    </row>
    <row r="483" ht="15" customHeight="1">
      <c r="A483" t="inlineStr">
        <is>
          <t>A 50202-2022</t>
        </is>
      </c>
      <c r="B483" t="inlineStr">
        <is>
          <t>avverkningsanmälan</t>
        </is>
      </c>
      <c r="C483" t="inlineStr">
        <is>
          <t>Föryngringsavverkning</t>
        </is>
      </c>
      <c r="D483" s="1" t="n">
        <v>44865</v>
      </c>
      <c r="E483" s="1" t="n">
        <v>46313</v>
      </c>
      <c r="F483" t="inlineStr">
        <is>
          <t>SÖDERMANLANDS LÄN</t>
        </is>
      </c>
      <c r="G483" t="inlineStr">
        <is>
          <t>FLEN</t>
        </is>
      </c>
      <c r="H483" t="inlineStr">
        <is>
          <t>Kyrkan</t>
        </is>
      </c>
      <c r="I483" t="n">
        <v>5.8</v>
      </c>
      <c r="J483" t="n">
        <v>0</v>
      </c>
      <c r="K483" t="n">
        <v>0</v>
      </c>
      <c r="L483" t="n">
        <v>1</v>
      </c>
      <c r="M483" t="n">
        <v>0</v>
      </c>
      <c r="N483" t="n">
        <v>0</v>
      </c>
      <c r="O483" t="n">
        <v>0</v>
      </c>
      <c r="P483" t="n">
        <v>0</v>
      </c>
      <c r="Q483" t="n">
        <v>1</v>
      </c>
      <c r="R483" t="n">
        <v>0</v>
      </c>
      <c r="S483" t="n">
        <v>1</v>
      </c>
      <c r="T483" t="n">
        <v>1</v>
      </c>
      <c r="U483" t="n">
        <v>0</v>
      </c>
      <c r="V483" s="2" t="inlineStr">
        <is>
          <t>Gullklöver</t>
        </is>
      </c>
      <c r="W483">
        <f>HYPERLINK("https://klasma.github.io/Logging_0482/artfynd/A 50202-2022 artfynd.xlsx", "A 50202-2022")</f>
        <v/>
      </c>
      <c r="X483">
        <f>HYPERLINK("https://klasma.github.io/Logging_0482/kartor/A 50202-2022 karta.png", "A 50202-2022")</f>
        <v/>
      </c>
      <c r="Y483">
        <f>HYPERLINK("https://klasma.github.io/Logging_0482/kartor_geotiff/A 50202-2022 georefererad karta.tif", "A 50202-2022")</f>
        <v/>
      </c>
      <c r="AA483">
        <f>HYPERLINK("https://klasma.github.io/Logging_0482/klagomål/A 50202-2022 FSC-klagomål.docx", "A 50202-2022")</f>
        <v/>
      </c>
      <c r="AB483">
        <f>HYPERLINK("https://klasma.github.io/Logging_0482/klagomålsmail/A 50202-2022 FSC-klagomål mail.docx", "A 50202-2022")</f>
        <v/>
      </c>
      <c r="AC483">
        <f>HYPERLINK("https://klasma.github.io/Logging_0482/tillsyn/A 50202-2022 tillsynsbegäran.docx", "A 50202-2022")</f>
        <v/>
      </c>
      <c r="AD483">
        <f>HYPERLINK("https://klasma.github.io/Logging_0482/tillsynsmail/A 50202-2022 tillsynsbegäran mail.docx", "A 50202-2022")</f>
        <v/>
      </c>
    </row>
    <row r="484" ht="15" customHeight="1">
      <c r="A484" t="inlineStr">
        <is>
          <t>A 20325-2023</t>
        </is>
      </c>
      <c r="B484" t="inlineStr">
        <is>
          <t>avverkningsanmälan</t>
        </is>
      </c>
      <c r="C484" t="inlineStr">
        <is>
          <t>Föryngringsavverkning</t>
        </is>
      </c>
      <c r="D484" s="1" t="n">
        <v>45056</v>
      </c>
      <c r="E484" s="1" t="n">
        <v>46313</v>
      </c>
      <c r="F484" t="inlineStr">
        <is>
          <t>SÖDERMANLANDS LÄN</t>
        </is>
      </c>
      <c r="G484" t="inlineStr">
        <is>
          <t>NYKÖPING</t>
        </is>
      </c>
      <c r="I484" t="n">
        <v>0.2</v>
      </c>
      <c r="J484" t="n">
        <v>0</v>
      </c>
      <c r="K484" t="n">
        <v>1</v>
      </c>
      <c r="L484" t="n">
        <v>0</v>
      </c>
      <c r="M484" t="n">
        <v>0</v>
      </c>
      <c r="N484" t="n">
        <v>0</v>
      </c>
      <c r="O484" t="n">
        <v>0</v>
      </c>
      <c r="P484" t="n">
        <v>0</v>
      </c>
      <c r="Q484" t="n">
        <v>0</v>
      </c>
      <c r="R484" t="n">
        <v>0</v>
      </c>
      <c r="S484" t="n">
        <v>1</v>
      </c>
      <c r="T484" t="n">
        <v>1</v>
      </c>
      <c r="U484" t="n">
        <v>0</v>
      </c>
      <c r="V484" s="2" t="inlineStr">
        <is>
          <t>Kamjordstjärna</t>
        </is>
      </c>
      <c r="W484">
        <f>HYPERLINK("https://klasma.github.io/Logging_0480/artfynd/A 20325-2023 artfynd.xlsx", "A 20325-2023")</f>
        <v/>
      </c>
      <c r="X484">
        <f>HYPERLINK("https://klasma.github.io/Logging_0480/kartor/A 20325-2023 karta.png", "A 20325-2023")</f>
        <v/>
      </c>
      <c r="Y484">
        <f>HYPERLINK("https://klasma.github.io/Logging_0480/kartor_geotiff/A 20325-2023 georefererad karta.tif", "A 20325-2023")</f>
        <v/>
      </c>
      <c r="AA484">
        <f>HYPERLINK("https://klasma.github.io/Logging_0480/klagomål/A 20325-2023 FSC-klagomål.docx", "A 20325-2023")</f>
        <v/>
      </c>
      <c r="AB484">
        <f>HYPERLINK("https://klasma.github.io/Logging_0480/klagomålsmail/A 20325-2023 FSC-klagomål mail.docx", "A 20325-2023")</f>
        <v/>
      </c>
      <c r="AC484">
        <f>HYPERLINK("https://klasma.github.io/Logging_0480/tillsyn/A 20325-2023 tillsynsbegäran.docx", "A 20325-2023")</f>
        <v/>
      </c>
      <c r="AD484">
        <f>HYPERLINK("https://klasma.github.io/Logging_0480/tillsynsmail/A 20325-2023 tillsynsbegäran mail.docx", "A 20325-2023")</f>
        <v/>
      </c>
    </row>
    <row r="485" ht="15" customHeight="1">
      <c r="A485" t="inlineStr">
        <is>
          <t>A 31182-2026</t>
        </is>
      </c>
      <c r="B485" t="inlineStr">
        <is>
          <t>avverkningsanmälan</t>
        </is>
      </c>
      <c r="C485" t="inlineStr">
        <is>
          <t>Föryngringsavverkning</t>
        </is>
      </c>
      <c r="D485" s="1" t="n">
        <v>46217</v>
      </c>
      <c r="E485" s="1" t="n">
        <v>46313</v>
      </c>
      <c r="F485" t="inlineStr">
        <is>
          <t>SÖDERMANLANDS LÄN</t>
        </is>
      </c>
      <c r="G485" t="inlineStr">
        <is>
          <t>NYKÖPING</t>
        </is>
      </c>
      <c r="I485" t="n">
        <v>5.1</v>
      </c>
      <c r="J485" t="n">
        <v>0</v>
      </c>
      <c r="K485" t="n">
        <v>1</v>
      </c>
      <c r="L485" t="n">
        <v>0</v>
      </c>
      <c r="M485" t="n">
        <v>0</v>
      </c>
      <c r="N485" t="n">
        <v>0</v>
      </c>
      <c r="O485" t="n">
        <v>0</v>
      </c>
      <c r="P485" t="n">
        <v>0</v>
      </c>
      <c r="Q485" t="n">
        <v>0</v>
      </c>
      <c r="R485" t="n">
        <v>0</v>
      </c>
      <c r="S485" t="n">
        <v>1</v>
      </c>
      <c r="T485" t="n">
        <v>1</v>
      </c>
      <c r="U485" t="n">
        <v>0</v>
      </c>
      <c r="V485" s="2" t="inlineStr">
        <is>
          <t>Grönpyrola</t>
        </is>
      </c>
      <c r="W485">
        <f>HYPERLINK("https://klasma.github.io/Logging_0480/artfynd/A 31182-2026 artfynd.xlsx", "A 31182-2026")</f>
        <v/>
      </c>
      <c r="X485">
        <f>HYPERLINK("https://klasma.github.io/Logging_0480/kartor/A 31182-2026 karta.png", "A 31182-2026")</f>
        <v/>
      </c>
      <c r="Y485">
        <f>HYPERLINK("https://klasma.github.io/Logging_0480/kartor_geotiff/A 31182-2026 georefererad karta.tif", "A 31182-2026")</f>
        <v/>
      </c>
      <c r="AA485">
        <f>HYPERLINK("https://klasma.github.io/Logging_0480/klagomål/A 31182-2026 FSC-klagomål.docx", "A 31182-2026")</f>
        <v/>
      </c>
      <c r="AB485">
        <f>HYPERLINK("https://klasma.github.io/Logging_0480/klagomålsmail/A 31182-2026 FSC-klagomål mail.docx", "A 31182-2026")</f>
        <v/>
      </c>
      <c r="AC485">
        <f>HYPERLINK("https://klasma.github.io/Logging_0480/tillsyn/A 31182-2026 tillsynsbegäran.docx", "A 31182-2026")</f>
        <v/>
      </c>
      <c r="AD485">
        <f>HYPERLINK("https://klasma.github.io/Logging_0480/tillsynsmail/A 31182-2026 tillsynsbegäran mail.docx", "A 31182-2026")</f>
        <v/>
      </c>
    </row>
    <row r="486" ht="15" customHeight="1">
      <c r="A486" t="inlineStr">
        <is>
          <t>A 31394-2026</t>
        </is>
      </c>
      <c r="B486" t="inlineStr">
        <is>
          <t>avverkningsanmälan</t>
        </is>
      </c>
      <c r="C486" t="inlineStr">
        <is>
          <t>Föryngringsavverkning</t>
        </is>
      </c>
      <c r="D486" s="1" t="n">
        <v>46220</v>
      </c>
      <c r="E486" s="1" t="n">
        <v>46313</v>
      </c>
      <c r="F486" t="inlineStr">
        <is>
          <t>SÖDERMANLANDS LÄN</t>
        </is>
      </c>
      <c r="G486" t="inlineStr">
        <is>
          <t>TROSA</t>
        </is>
      </c>
      <c r="I486" t="n">
        <v>8.6</v>
      </c>
      <c r="J486" t="n">
        <v>0</v>
      </c>
      <c r="K486" t="n">
        <v>0</v>
      </c>
      <c r="L486" t="n">
        <v>1</v>
      </c>
      <c r="M486" t="n">
        <v>0</v>
      </c>
      <c r="N486" t="n">
        <v>0</v>
      </c>
      <c r="O486" t="n">
        <v>0</v>
      </c>
      <c r="P486" t="n">
        <v>0</v>
      </c>
      <c r="Q486" t="n">
        <v>1</v>
      </c>
      <c r="R486" t="n">
        <v>0</v>
      </c>
      <c r="S486" t="n">
        <v>1</v>
      </c>
      <c r="T486" t="n">
        <v>1</v>
      </c>
      <c r="U486" t="n">
        <v>0</v>
      </c>
      <c r="V486" s="2" t="inlineStr">
        <is>
          <t>Vedskivlav</t>
        </is>
      </c>
      <c r="W486">
        <f>HYPERLINK("https://klasma.github.io/Logging_0488/artfynd/A 31394-2026 artfynd.xlsx", "A 31394-2026")</f>
        <v/>
      </c>
      <c r="X486">
        <f>HYPERLINK("https://klasma.github.io/Logging_0488/kartor/A 31394-2026 karta.png", "A 31394-2026")</f>
        <v/>
      </c>
      <c r="Y486">
        <f>HYPERLINK("https://klasma.github.io/Logging_0488/kartor_geotiff/A 31394-2026 georefererad karta.tif", "A 31394-2026")</f>
        <v/>
      </c>
      <c r="AA486">
        <f>HYPERLINK("https://klasma.github.io/Logging_0488/klagomål/A 31394-2026 FSC-klagomål.docx", "A 31394-2026")</f>
        <v/>
      </c>
      <c r="AB486">
        <f>HYPERLINK("https://klasma.github.io/Logging_0488/klagomålsmail/A 31394-2026 FSC-klagomål mail.docx", "A 31394-2026")</f>
        <v/>
      </c>
      <c r="AC486">
        <f>HYPERLINK("https://klasma.github.io/Logging_0488/tillsyn/A 31394-2026 tillsynsbegäran.docx", "A 31394-2026")</f>
        <v/>
      </c>
      <c r="AD486">
        <f>HYPERLINK("https://klasma.github.io/Logging_0488/tillsynsmail/A 31394-2026 tillsynsbegäran mail.docx", "A 31394-2026")</f>
        <v/>
      </c>
    </row>
    <row r="487" ht="15" customHeight="1">
      <c r="A487" t="inlineStr">
        <is>
          <t>A 51848-2022</t>
        </is>
      </c>
      <c r="B487" t="inlineStr">
        <is>
          <t>avverkningsanmälan</t>
        </is>
      </c>
      <c r="C487" t="inlineStr">
        <is>
          <t>Föryngringsavverkning</t>
        </is>
      </c>
      <c r="D487" s="1" t="n">
        <v>44872</v>
      </c>
      <c r="E487" s="1" t="n">
        <v>46313</v>
      </c>
      <c r="F487" t="inlineStr">
        <is>
          <t>SÖDERMANLANDS LÄN</t>
        </is>
      </c>
      <c r="G487" t="inlineStr">
        <is>
          <t>KATRINEHOLM</t>
        </is>
      </c>
      <c r="I487" t="n">
        <v>1.8</v>
      </c>
      <c r="J487" t="n">
        <v>0</v>
      </c>
      <c r="K487" t="n">
        <v>0</v>
      </c>
      <c r="L487" t="n">
        <v>1</v>
      </c>
      <c r="M487" t="n">
        <v>0</v>
      </c>
      <c r="N487" t="n">
        <v>0</v>
      </c>
      <c r="O487" t="n">
        <v>0</v>
      </c>
      <c r="P487" t="n">
        <v>0</v>
      </c>
      <c r="Q487" t="n">
        <v>1</v>
      </c>
      <c r="R487" t="n">
        <v>0</v>
      </c>
      <c r="S487" t="n">
        <v>1</v>
      </c>
      <c r="T487" t="n">
        <v>1</v>
      </c>
      <c r="U487" t="n">
        <v>0</v>
      </c>
      <c r="V487" s="2" t="inlineStr">
        <is>
          <t>Svinrot</t>
        </is>
      </c>
      <c r="W487">
        <f>HYPERLINK("https://klasma.github.io/Logging_0483/artfynd/A 51848-2022 artfynd.xlsx", "A 51848-2022")</f>
        <v/>
      </c>
      <c r="X487">
        <f>HYPERLINK("https://klasma.github.io/Logging_0483/kartor/A 51848-2022 karta.png", "A 51848-2022")</f>
        <v/>
      </c>
      <c r="Y487">
        <f>HYPERLINK("https://klasma.github.io/Logging_0483/kartor_geotiff/A 51848-2022 georefererad karta.tif", "A 51848-2022")</f>
        <v/>
      </c>
      <c r="AA487">
        <f>HYPERLINK("https://klasma.github.io/Logging_0483/klagomål/A 51848-2022 FSC-klagomål.docx", "A 51848-2022")</f>
        <v/>
      </c>
      <c r="AB487">
        <f>HYPERLINK("https://klasma.github.io/Logging_0483/klagomålsmail/A 51848-2022 FSC-klagomål mail.docx", "A 51848-2022")</f>
        <v/>
      </c>
      <c r="AC487">
        <f>HYPERLINK("https://klasma.github.io/Logging_0483/tillsyn/A 51848-2022 tillsynsbegäran.docx", "A 51848-2022")</f>
        <v/>
      </c>
      <c r="AD487">
        <f>HYPERLINK("https://klasma.github.io/Logging_0483/tillsynsmail/A 51848-2022 tillsynsbegäran mail.docx", "A 51848-2022")</f>
        <v/>
      </c>
    </row>
    <row r="488" ht="15" customHeight="1">
      <c r="A488" t="inlineStr">
        <is>
          <t>A 9973-2022</t>
        </is>
      </c>
      <c r="B488" t="inlineStr">
        <is>
          <t>avverkningsanmälan</t>
        </is>
      </c>
      <c r="C488" t="inlineStr">
        <is>
          <t>Föryngringsavverkning</t>
        </is>
      </c>
      <c r="D488" s="1" t="n">
        <v>44621</v>
      </c>
      <c r="E488" s="1" t="n">
        <v>46313</v>
      </c>
      <c r="F488" t="inlineStr">
        <is>
          <t>SÖDERMANLANDS LÄN</t>
        </is>
      </c>
      <c r="G488" t="inlineStr">
        <is>
          <t>NYKÖPING</t>
        </is>
      </c>
      <c r="I488" t="n">
        <v>18.3</v>
      </c>
      <c r="J488" t="n">
        <v>1</v>
      </c>
      <c r="K488" t="n">
        <v>1</v>
      </c>
      <c r="L488" t="n">
        <v>0</v>
      </c>
      <c r="M488" t="n">
        <v>0</v>
      </c>
      <c r="N488" t="n">
        <v>0</v>
      </c>
      <c r="O488" t="n">
        <v>0</v>
      </c>
      <c r="P488" t="n">
        <v>0</v>
      </c>
      <c r="Q488" t="n">
        <v>0</v>
      </c>
      <c r="R488" t="n">
        <v>0</v>
      </c>
      <c r="S488" t="n">
        <v>1</v>
      </c>
      <c r="T488" t="n">
        <v>1</v>
      </c>
      <c r="U488" t="n">
        <v>1</v>
      </c>
      <c r="V488" s="2" t="inlineStr">
        <is>
          <t>Grön sköldmossa</t>
        </is>
      </c>
      <c r="W488">
        <f>HYPERLINK("https://klasma.github.io/Logging_0480/artfynd/A 9973-2022 artfynd.xlsx", "A 9973-2022")</f>
        <v/>
      </c>
      <c r="X488">
        <f>HYPERLINK("https://klasma.github.io/Logging_0480/kartor/A 9973-2022 karta.png", "A 9973-2022")</f>
        <v/>
      </c>
      <c r="Y488">
        <f>HYPERLINK("https://klasma.github.io/Logging_0480/kartor_geotiff/A 9973-2022 georefererad karta.tif", "A 9973-2022")</f>
        <v/>
      </c>
      <c r="AA488">
        <f>HYPERLINK("https://klasma.github.io/Logging_0480/klagomål/A 9973-2022 FSC-klagomål.docx", "A 9973-2022")</f>
        <v/>
      </c>
      <c r="AB488">
        <f>HYPERLINK("https://klasma.github.io/Logging_0480/klagomålsmail/A 9973-2022 FSC-klagomål mail.docx", "A 9973-2022")</f>
        <v/>
      </c>
      <c r="AC488">
        <f>HYPERLINK("https://klasma.github.io/Logging_0480/tillsyn/A 9973-2022 tillsynsbegäran.docx", "A 9973-2022")</f>
        <v/>
      </c>
      <c r="AD488">
        <f>HYPERLINK("https://klasma.github.io/Logging_0480/tillsynsmail/A 9973-2022 tillsynsbegäran mail.docx", "A 9973-2022")</f>
        <v/>
      </c>
    </row>
    <row r="489" ht="15" customHeight="1">
      <c r="A489" t="inlineStr">
        <is>
          <t>A 29047-2026</t>
        </is>
      </c>
      <c r="B489" t="inlineStr">
        <is>
          <t>avverkningsanmälan</t>
        </is>
      </c>
      <c r="C489" t="inlineStr">
        <is>
          <t>Avverkning för att bevara och utveckla /försöksver</t>
        </is>
      </c>
      <c r="D489" s="1" t="n">
        <v>46199</v>
      </c>
      <c r="E489" s="1" t="n">
        <v>46313</v>
      </c>
      <c r="F489" t="inlineStr">
        <is>
          <t>SÖDERMANLANDS LÄN</t>
        </is>
      </c>
      <c r="G489" t="inlineStr">
        <is>
          <t>ESKILSTUNA</t>
        </is>
      </c>
      <c r="H489" t="inlineStr">
        <is>
          <t>Sveaskog</t>
        </is>
      </c>
      <c r="I489" t="n">
        <v>0.4</v>
      </c>
      <c r="J489" t="n">
        <v>0</v>
      </c>
      <c r="K489" t="n">
        <v>0</v>
      </c>
      <c r="L489" t="n">
        <v>1</v>
      </c>
      <c r="M489" t="n">
        <v>0</v>
      </c>
      <c r="N489" t="n">
        <v>0</v>
      </c>
      <c r="O489" t="n">
        <v>0</v>
      </c>
      <c r="P489" t="n">
        <v>0</v>
      </c>
      <c r="Q489" t="n">
        <v>1</v>
      </c>
      <c r="R489" t="n">
        <v>0</v>
      </c>
      <c r="S489" t="n">
        <v>1</v>
      </c>
      <c r="T489" t="n">
        <v>1</v>
      </c>
      <c r="U489" t="n">
        <v>1</v>
      </c>
      <c r="V489" s="2" t="inlineStr">
        <is>
          <t>Kandelabersvamp</t>
        </is>
      </c>
      <c r="W489">
        <f>HYPERLINK("https://klasma.github.io/Logging_0484/artfynd/A 29047-2026 artfynd.xlsx", "A 29047-2026")</f>
        <v/>
      </c>
      <c r="X489">
        <f>HYPERLINK("https://klasma.github.io/Logging_0484/kartor/A 29047-2026 karta.png", "A 29047-2026")</f>
        <v/>
      </c>
      <c r="Y489">
        <f>HYPERLINK("https://klasma.github.io/Logging_0484/kartor_geotiff/A 29047-2026 georefererad karta.tif", "A 29047-2026")</f>
        <v/>
      </c>
      <c r="AA489">
        <f>HYPERLINK("https://klasma.github.io/Logging_0484/klagomål/A 29047-2026 FSC-klagomål.docx", "A 29047-2026")</f>
        <v/>
      </c>
      <c r="AB489">
        <f>HYPERLINK("https://klasma.github.io/Logging_0484/klagomålsmail/A 29047-2026 FSC-klagomål mail.docx", "A 29047-2026")</f>
        <v/>
      </c>
      <c r="AC489">
        <f>HYPERLINK("https://klasma.github.io/Logging_0484/tillsyn/A 29047-2026 tillsynsbegäran.docx", "A 29047-2026")</f>
        <v/>
      </c>
      <c r="AD489">
        <f>HYPERLINK("https://klasma.github.io/Logging_0484/tillsynsmail/A 29047-2026 tillsynsbegäran mail.docx", "A 29047-2026")</f>
        <v/>
      </c>
    </row>
    <row r="490" ht="15" customHeight="1">
      <c r="A490" t="inlineStr">
        <is>
          <t>A 7741-2023</t>
        </is>
      </c>
      <c r="B490" t="inlineStr">
        <is>
          <t>avverkningsanmälan</t>
        </is>
      </c>
      <c r="C490" t="inlineStr">
        <is>
          <t>Föryngringsavverkning</t>
        </is>
      </c>
      <c r="D490" s="1" t="n">
        <v>44973</v>
      </c>
      <c r="E490" s="1" t="n">
        <v>46313</v>
      </c>
      <c r="F490" t="inlineStr">
        <is>
          <t>SÖDERMANLANDS LÄN</t>
        </is>
      </c>
      <c r="G490" t="inlineStr">
        <is>
          <t>GNESTA</t>
        </is>
      </c>
      <c r="I490" t="n">
        <v>3.4</v>
      </c>
      <c r="J490" t="n">
        <v>1</v>
      </c>
      <c r="K490" t="n">
        <v>0</v>
      </c>
      <c r="L490" t="n">
        <v>0</v>
      </c>
      <c r="M490" t="n">
        <v>0</v>
      </c>
      <c r="N490" t="n">
        <v>0</v>
      </c>
      <c r="O490" t="n">
        <v>0</v>
      </c>
      <c r="P490" t="n">
        <v>0</v>
      </c>
      <c r="Q490" t="n">
        <v>0</v>
      </c>
      <c r="R490" t="n">
        <v>0</v>
      </c>
      <c r="S490" t="n">
        <v>1</v>
      </c>
      <c r="T490" t="n">
        <v>1</v>
      </c>
      <c r="U490" t="n">
        <v>0</v>
      </c>
      <c r="V490" s="2" t="inlineStr">
        <is>
          <t>Blåsippa</t>
        </is>
      </c>
      <c r="W490">
        <f>HYPERLINK("https://klasma.github.io/Logging_0461/artfynd/A 7741-2023 artfynd.xlsx", "A 7741-2023")</f>
        <v/>
      </c>
      <c r="X490">
        <f>HYPERLINK("https://klasma.github.io/Logging_0461/kartor/A 7741-2023 karta.png", "A 7741-2023")</f>
        <v/>
      </c>
      <c r="Y490">
        <f>HYPERLINK("https://klasma.github.io/Logging_0461/kartor_geotiff/A 7741-2023 georefererad karta.tif", "A 7741-2023")</f>
        <v/>
      </c>
      <c r="AA490">
        <f>HYPERLINK("https://klasma.github.io/Logging_0461/klagomål/A 7741-2023 FSC-klagomål.docx", "A 7741-2023")</f>
        <v/>
      </c>
      <c r="AB490">
        <f>HYPERLINK("https://klasma.github.io/Logging_0461/klagomålsmail/A 7741-2023 FSC-klagomål mail.docx", "A 7741-2023")</f>
        <v/>
      </c>
      <c r="AC490">
        <f>HYPERLINK("https://klasma.github.io/Logging_0461/tillsyn/A 7741-2023 tillsynsbegäran.docx", "A 7741-2023")</f>
        <v/>
      </c>
      <c r="AD490">
        <f>HYPERLINK("https://klasma.github.io/Logging_0461/tillsynsmail/A 7741-2023 tillsynsbegäran mail.docx", "A 7741-2023")</f>
        <v/>
      </c>
    </row>
    <row r="491" ht="15" customHeight="1">
      <c r="A491" t="inlineStr">
        <is>
          <t>A 11066-2024</t>
        </is>
      </c>
      <c r="B491" t="inlineStr">
        <is>
          <t>avverkningsanmälan</t>
        </is>
      </c>
      <c r="C491" t="inlineStr">
        <is>
          <t>Föryngringsavverkning</t>
        </is>
      </c>
      <c r="D491" s="1" t="n">
        <v>45370</v>
      </c>
      <c r="E491" s="1" t="n">
        <v>46313</v>
      </c>
      <c r="F491" t="inlineStr">
        <is>
          <t>SÖDERMANLANDS LÄN</t>
        </is>
      </c>
      <c r="G491" t="inlineStr">
        <is>
          <t>TROSA</t>
        </is>
      </c>
      <c r="I491" t="n">
        <v>2.3</v>
      </c>
      <c r="J491" t="n">
        <v>1</v>
      </c>
      <c r="K491" t="n">
        <v>0</v>
      </c>
      <c r="L491" t="n">
        <v>1</v>
      </c>
      <c r="M491" t="n">
        <v>0</v>
      </c>
      <c r="N491" t="n">
        <v>0</v>
      </c>
      <c r="O491" t="n">
        <v>0</v>
      </c>
      <c r="P491" t="n">
        <v>0</v>
      </c>
      <c r="Q491" t="n">
        <v>1</v>
      </c>
      <c r="R491" t="n">
        <v>0</v>
      </c>
      <c r="S491" t="n">
        <v>1</v>
      </c>
      <c r="T491" t="n">
        <v>1</v>
      </c>
      <c r="U491" t="n">
        <v>0</v>
      </c>
      <c r="V491" s="2" t="inlineStr">
        <is>
          <t>Nötkråka</t>
        </is>
      </c>
      <c r="W491">
        <f>HYPERLINK("https://klasma.github.io/Logging_0488/artfynd/A 11066-2024 artfynd.xlsx", "A 11066-2024")</f>
        <v/>
      </c>
      <c r="X491">
        <f>HYPERLINK("https://klasma.github.io/Logging_0488/kartor/A 11066-2024 karta.png", "A 11066-2024")</f>
        <v/>
      </c>
      <c r="Y491">
        <f>HYPERLINK("https://klasma.github.io/Logging_0488/kartor_geotiff/A 11066-2024 georefererad karta.tif", "A 11066-2024")</f>
        <v/>
      </c>
      <c r="AA491">
        <f>HYPERLINK("https://klasma.github.io/Logging_0488/klagomål/A 11066-2024 FSC-klagomål.docx", "A 11066-2024")</f>
        <v/>
      </c>
      <c r="AB491">
        <f>HYPERLINK("https://klasma.github.io/Logging_0488/klagomålsmail/A 11066-2024 FSC-klagomål mail.docx", "A 11066-2024")</f>
        <v/>
      </c>
      <c r="AC491">
        <f>HYPERLINK("https://klasma.github.io/Logging_0488/tillsyn/A 11066-2024 tillsynsbegäran.docx", "A 11066-2024")</f>
        <v/>
      </c>
      <c r="AD491">
        <f>HYPERLINK("https://klasma.github.io/Logging_0488/tillsynsmail/A 11066-2024 tillsynsbegäran mail.docx", "A 11066-2024")</f>
        <v/>
      </c>
      <c r="AE491">
        <f>HYPERLINK("https://klasma.github.io/Logging_0488/fåglar/A 11066-2024 prioriterade fågelarter.docx", "A 11066-2024")</f>
        <v/>
      </c>
    </row>
    <row r="492" ht="15" customHeight="1">
      <c r="A492" t="inlineStr">
        <is>
          <t>A 7973-2024</t>
        </is>
      </c>
      <c r="B492" t="inlineStr">
        <is>
          <t>avverkningsanmälan</t>
        </is>
      </c>
      <c r="C492" t="inlineStr">
        <is>
          <t>Föryngringsavverkning</t>
        </is>
      </c>
      <c r="D492" s="1" t="n">
        <v>45350</v>
      </c>
      <c r="E492" s="1" t="n">
        <v>46313</v>
      </c>
      <c r="F492" t="inlineStr">
        <is>
          <t>SÖDERMANLANDS LÄN</t>
        </is>
      </c>
      <c r="G492" t="inlineStr">
        <is>
          <t>FLEN</t>
        </is>
      </c>
      <c r="I492" t="n">
        <v>0.9</v>
      </c>
      <c r="J492" t="n">
        <v>0</v>
      </c>
      <c r="K492" t="n">
        <v>0</v>
      </c>
      <c r="L492" t="n">
        <v>1</v>
      </c>
      <c r="M492" t="n">
        <v>0</v>
      </c>
      <c r="N492" t="n">
        <v>0</v>
      </c>
      <c r="O492" t="n">
        <v>0</v>
      </c>
      <c r="P492" t="n">
        <v>0</v>
      </c>
      <c r="Q492" t="n">
        <v>1</v>
      </c>
      <c r="R492" t="n">
        <v>0</v>
      </c>
      <c r="S492" t="n">
        <v>1</v>
      </c>
      <c r="T492" t="n">
        <v>1</v>
      </c>
      <c r="U492" t="n">
        <v>0</v>
      </c>
      <c r="V492" s="2" t="inlineStr">
        <is>
          <t>Vippärt</t>
        </is>
      </c>
      <c r="W492">
        <f>HYPERLINK("https://klasma.github.io/Logging_0482/artfynd/A 7973-2024 artfynd.xlsx", "A 7973-2024")</f>
        <v/>
      </c>
      <c r="X492">
        <f>HYPERLINK("https://klasma.github.io/Logging_0482/kartor/A 7973-2024 karta.png", "A 7973-2024")</f>
        <v/>
      </c>
      <c r="Y492">
        <f>HYPERLINK("https://klasma.github.io/Logging_0482/kartor_geotiff/A 7973-2024 georefererad karta.tif", "A 7973-2024")</f>
        <v/>
      </c>
      <c r="AA492">
        <f>HYPERLINK("https://klasma.github.io/Logging_0482/klagomål/A 7973-2024 FSC-klagomål.docx", "A 7973-2024")</f>
        <v/>
      </c>
      <c r="AB492">
        <f>HYPERLINK("https://klasma.github.io/Logging_0482/klagomålsmail/A 7973-2024 FSC-klagomål mail.docx", "A 7973-2024")</f>
        <v/>
      </c>
      <c r="AC492">
        <f>HYPERLINK("https://klasma.github.io/Logging_0482/tillsyn/A 7973-2024 tillsynsbegäran.docx", "A 7973-2024")</f>
        <v/>
      </c>
      <c r="AD492">
        <f>HYPERLINK("https://klasma.github.io/Logging_0482/tillsynsmail/A 7973-2024 tillsynsbegäran mail.docx", "A 7973-2024")</f>
        <v/>
      </c>
    </row>
    <row r="493" ht="15" customHeight="1">
      <c r="A493" t="inlineStr">
        <is>
          <t>A 12056-2024</t>
        </is>
      </c>
      <c r="B493" t="inlineStr">
        <is>
          <t>avverkningsanmälan</t>
        </is>
      </c>
      <c r="C493" t="inlineStr">
        <is>
          <t>Föryngringsavverkning</t>
        </is>
      </c>
      <c r="D493" s="1" t="n">
        <v>45377</v>
      </c>
      <c r="E493" s="1" t="n">
        <v>46313</v>
      </c>
      <c r="F493" t="inlineStr">
        <is>
          <t>SÖDERMANLANDS LÄN</t>
        </is>
      </c>
      <c r="G493" t="inlineStr">
        <is>
          <t>FLEN</t>
        </is>
      </c>
      <c r="I493" t="n">
        <v>8.4</v>
      </c>
      <c r="J493" t="n">
        <v>0</v>
      </c>
      <c r="K493" t="n">
        <v>0</v>
      </c>
      <c r="L493" t="n">
        <v>1</v>
      </c>
      <c r="M493" t="n">
        <v>0</v>
      </c>
      <c r="N493" t="n">
        <v>0</v>
      </c>
      <c r="O493" t="n">
        <v>0</v>
      </c>
      <c r="P493" t="n">
        <v>0</v>
      </c>
      <c r="Q493" t="n">
        <v>1</v>
      </c>
      <c r="R493" t="n">
        <v>0</v>
      </c>
      <c r="S493" t="n">
        <v>1</v>
      </c>
      <c r="T493" t="n">
        <v>1</v>
      </c>
      <c r="U493" t="n">
        <v>0</v>
      </c>
      <c r="V493" s="2" t="inlineStr">
        <is>
          <t>Fjällig taggsvamp s.str.</t>
        </is>
      </c>
      <c r="W493">
        <f>HYPERLINK("https://klasma.github.io/Logging_0482/artfynd/A 12056-2024 artfynd.xlsx", "A 12056-2024")</f>
        <v/>
      </c>
      <c r="X493">
        <f>HYPERLINK("https://klasma.github.io/Logging_0482/kartor/A 12056-2024 karta.png", "A 12056-2024")</f>
        <v/>
      </c>
      <c r="Y493">
        <f>HYPERLINK("https://klasma.github.io/Logging_0482/kartor_geotiff/A 12056-2024 georefererad karta.tif", "A 12056-2024")</f>
        <v/>
      </c>
      <c r="AA493">
        <f>HYPERLINK("https://klasma.github.io/Logging_0482/klagomål/A 12056-2024 FSC-klagomål.docx", "A 12056-2024")</f>
        <v/>
      </c>
      <c r="AB493">
        <f>HYPERLINK("https://klasma.github.io/Logging_0482/klagomålsmail/A 12056-2024 FSC-klagomål mail.docx", "A 12056-2024")</f>
        <v/>
      </c>
      <c r="AC493">
        <f>HYPERLINK("https://klasma.github.io/Logging_0482/tillsyn/A 12056-2024 tillsynsbegäran.docx", "A 12056-2024")</f>
        <v/>
      </c>
      <c r="AD493">
        <f>HYPERLINK("https://klasma.github.io/Logging_0482/tillsynsmail/A 12056-2024 tillsynsbegäran mail.docx", "A 12056-2024")</f>
        <v/>
      </c>
    </row>
    <row r="494" ht="15" customHeight="1">
      <c r="A494" t="inlineStr">
        <is>
          <t>A 31998-2026</t>
        </is>
      </c>
      <c r="B494" t="inlineStr">
        <is>
          <t>avverkningsanmälan</t>
        </is>
      </c>
      <c r="C494" t="inlineStr">
        <is>
          <t>Föryngringsavverkning</t>
        </is>
      </c>
      <c r="D494" s="1" t="n">
        <v>46232</v>
      </c>
      <c r="E494" s="1" t="n">
        <v>46313</v>
      </c>
      <c r="F494" t="inlineStr">
        <is>
          <t>SÖDERMANLANDS LÄN</t>
        </is>
      </c>
      <c r="G494" t="inlineStr">
        <is>
          <t>NYKÖPING</t>
        </is>
      </c>
      <c r="H494" t="inlineStr">
        <is>
          <t>Sveaskog</t>
        </is>
      </c>
      <c r="I494" t="n">
        <v>12</v>
      </c>
      <c r="J494" t="n">
        <v>1</v>
      </c>
      <c r="K494" t="n">
        <v>0</v>
      </c>
      <c r="L494" t="n">
        <v>0</v>
      </c>
      <c r="M494" t="n">
        <v>0</v>
      </c>
      <c r="N494" t="n">
        <v>0</v>
      </c>
      <c r="O494" t="n">
        <v>0</v>
      </c>
      <c r="P494" t="n">
        <v>0</v>
      </c>
      <c r="Q494" t="n">
        <v>0</v>
      </c>
      <c r="R494" t="n">
        <v>0</v>
      </c>
      <c r="S494" t="n">
        <v>1</v>
      </c>
      <c r="T494" t="n">
        <v>1</v>
      </c>
      <c r="U494" t="n">
        <v>1</v>
      </c>
      <c r="V494" s="2" t="inlineStr">
        <is>
          <t>Fläcknycklar</t>
        </is>
      </c>
      <c r="W494">
        <f>HYPERLINK("https://klasma.github.io/Logging_0480/artfynd/A 31998-2026 artfynd.xlsx", "A 31998-2026")</f>
        <v/>
      </c>
      <c r="X494">
        <f>HYPERLINK("https://klasma.github.io/Logging_0480/kartor/A 31998-2026 karta.png", "A 31998-2026")</f>
        <v/>
      </c>
      <c r="Y494">
        <f>HYPERLINK("https://klasma.github.io/Logging_0480/kartor_geotiff/A 31998-2026 georefererad karta.tif", "A 31998-2026")</f>
        <v/>
      </c>
      <c r="AA494">
        <f>HYPERLINK("https://klasma.github.io/Logging_0480/klagomål/A 31998-2026 FSC-klagomål.docx", "A 31998-2026")</f>
        <v/>
      </c>
      <c r="AB494">
        <f>HYPERLINK("https://klasma.github.io/Logging_0480/klagomålsmail/A 31998-2026 FSC-klagomål mail.docx", "A 31998-2026")</f>
        <v/>
      </c>
      <c r="AC494">
        <f>HYPERLINK("https://klasma.github.io/Logging_0480/tillsyn/A 31998-2026 tillsynsbegäran.docx", "A 31998-2026")</f>
        <v/>
      </c>
      <c r="AD494">
        <f>HYPERLINK("https://klasma.github.io/Logging_0480/tillsynsmail/A 31998-2026 tillsynsbegäran mail.docx", "A 31998-2026")</f>
        <v/>
      </c>
    </row>
    <row r="495" ht="15" customHeight="1">
      <c r="A495" t="inlineStr">
        <is>
          <t>A 47648-2022</t>
        </is>
      </c>
      <c r="B495" t="inlineStr">
        <is>
          <t>avverkningsanmälan</t>
        </is>
      </c>
      <c r="C495" t="inlineStr">
        <is>
          <t>Föryngringsavverkning</t>
        </is>
      </c>
      <c r="D495" s="1" t="n">
        <v>44854</v>
      </c>
      <c r="E495" s="1" t="n">
        <v>46313</v>
      </c>
      <c r="F495" t="inlineStr">
        <is>
          <t>SÖDERMANLANDS LÄN</t>
        </is>
      </c>
      <c r="G495" t="inlineStr">
        <is>
          <t>ESKILSTUNA</t>
        </is>
      </c>
      <c r="I495" t="n">
        <v>1.8</v>
      </c>
      <c r="J495" t="n">
        <v>1</v>
      </c>
      <c r="K495" t="n">
        <v>0</v>
      </c>
      <c r="L495" t="n">
        <v>1</v>
      </c>
      <c r="M495" t="n">
        <v>0</v>
      </c>
      <c r="N495" t="n">
        <v>0</v>
      </c>
      <c r="O495" t="n">
        <v>0</v>
      </c>
      <c r="P495" t="n">
        <v>0</v>
      </c>
      <c r="Q495" t="n">
        <v>1</v>
      </c>
      <c r="R495" t="n">
        <v>0</v>
      </c>
      <c r="S495" t="n">
        <v>1</v>
      </c>
      <c r="T495" t="n">
        <v>1</v>
      </c>
      <c r="U495" t="n">
        <v>0</v>
      </c>
      <c r="V495" s="2" t="inlineStr">
        <is>
          <t>Grönsångare</t>
        </is>
      </c>
      <c r="W495">
        <f>HYPERLINK("https://klasma.github.io/Logging_0484/artfynd/A 47648-2022 artfynd.xlsx", "A 47648-2022")</f>
        <v/>
      </c>
      <c r="X495">
        <f>HYPERLINK("https://klasma.github.io/Logging_0484/kartor/A 47648-2022 karta.png", "A 47648-2022")</f>
        <v/>
      </c>
      <c r="Y495">
        <f>HYPERLINK("https://klasma.github.io/Logging_0484/kartor_geotiff/A 47648-2022 georefererad karta.tif", "A 47648-2022")</f>
        <v/>
      </c>
      <c r="AA495">
        <f>HYPERLINK("https://klasma.github.io/Logging_0484/klagomål/A 47648-2022 FSC-klagomål.docx", "A 47648-2022")</f>
        <v/>
      </c>
      <c r="AB495">
        <f>HYPERLINK("https://klasma.github.io/Logging_0484/klagomålsmail/A 47648-2022 FSC-klagomål mail.docx", "A 47648-2022")</f>
        <v/>
      </c>
      <c r="AC495">
        <f>HYPERLINK("https://klasma.github.io/Logging_0484/tillsyn/A 47648-2022 tillsynsbegäran.docx", "A 47648-2022")</f>
        <v/>
      </c>
      <c r="AD495">
        <f>HYPERLINK("https://klasma.github.io/Logging_0484/tillsynsmail/A 47648-2022 tillsynsbegäran mail.docx", "A 47648-2022")</f>
        <v/>
      </c>
      <c r="AE495">
        <f>HYPERLINK("https://klasma.github.io/Logging_0484/fåglar/A 47648-2022 prioriterade fågelarter.docx", "A 47648-2022")</f>
        <v/>
      </c>
    </row>
    <row r="496" ht="15" customHeight="1">
      <c r="A496" t="inlineStr">
        <is>
          <t>A 42552-2023</t>
        </is>
      </c>
      <c r="B496" t="inlineStr">
        <is>
          <t>avverkningsanmälan</t>
        </is>
      </c>
      <c r="C496" t="inlineStr">
        <is>
          <t>Föryngringsavverkning</t>
        </is>
      </c>
      <c r="D496" s="1" t="n">
        <v>45181</v>
      </c>
      <c r="E496" s="1" t="n">
        <v>46313</v>
      </c>
      <c r="F496" t="inlineStr">
        <is>
          <t>SÖDERMANLANDS LÄN</t>
        </is>
      </c>
      <c r="G496" t="inlineStr">
        <is>
          <t>GNESTA</t>
        </is>
      </c>
      <c r="H496" t="inlineStr">
        <is>
          <t>Holmen skog AB</t>
        </is>
      </c>
      <c r="I496" t="n">
        <v>3.6</v>
      </c>
      <c r="J496" t="n">
        <v>1</v>
      </c>
      <c r="K496" t="n">
        <v>0</v>
      </c>
      <c r="L496" t="n">
        <v>0</v>
      </c>
      <c r="M496" t="n">
        <v>0</v>
      </c>
      <c r="N496" t="n">
        <v>0</v>
      </c>
      <c r="O496" t="n">
        <v>0</v>
      </c>
      <c r="P496" t="n">
        <v>0</v>
      </c>
      <c r="Q496" t="n">
        <v>0</v>
      </c>
      <c r="R496" t="n">
        <v>0</v>
      </c>
      <c r="S496" t="n">
        <v>1</v>
      </c>
      <c r="T496" t="n">
        <v>1</v>
      </c>
      <c r="U496" t="n">
        <v>0</v>
      </c>
      <c r="V496" s="2" t="inlineStr">
        <is>
          <t>Blåsippa</t>
        </is>
      </c>
      <c r="W496">
        <f>HYPERLINK("https://klasma.github.io/Logging_0461/artfynd/A 42552-2023 artfynd.xlsx", "A 42552-2023")</f>
        <v/>
      </c>
      <c r="X496">
        <f>HYPERLINK("https://klasma.github.io/Logging_0461/kartor/A 42552-2023 karta.png", "A 42552-2023")</f>
        <v/>
      </c>
      <c r="Y496">
        <f>HYPERLINK("https://klasma.github.io/Logging_0461/kartor_geotiff/A 42552-2023 georefererad karta.tif", "A 42552-2023")</f>
        <v/>
      </c>
      <c r="AA496">
        <f>HYPERLINK("https://klasma.github.io/Logging_0461/klagomål/A 42552-2023 FSC-klagomål.docx", "A 42552-2023")</f>
        <v/>
      </c>
      <c r="AB496">
        <f>HYPERLINK("https://klasma.github.io/Logging_0461/klagomålsmail/A 42552-2023 FSC-klagomål mail.docx", "A 42552-2023")</f>
        <v/>
      </c>
      <c r="AC496">
        <f>HYPERLINK("https://klasma.github.io/Logging_0461/tillsyn/A 42552-2023 tillsynsbegäran.docx", "A 42552-2023")</f>
        <v/>
      </c>
      <c r="AD496">
        <f>HYPERLINK("https://klasma.github.io/Logging_0461/tillsynsmail/A 42552-2023 tillsynsbegäran mail.docx", "A 42552-2023")</f>
        <v/>
      </c>
    </row>
    <row r="497" ht="15" customHeight="1">
      <c r="A497" t="inlineStr">
        <is>
          <t>A 13038-2024</t>
        </is>
      </c>
      <c r="B497" t="inlineStr">
        <is>
          <t>avverkningsanmälan</t>
        </is>
      </c>
      <c r="C497" t="inlineStr">
        <is>
          <t>Föryngringsavverkning</t>
        </is>
      </c>
      <c r="D497" s="1" t="n">
        <v>45385</v>
      </c>
      <c r="E497" s="1" t="n">
        <v>46313</v>
      </c>
      <c r="F497" t="inlineStr">
        <is>
          <t>SÖDERMANLANDS LÄN</t>
        </is>
      </c>
      <c r="G497" t="inlineStr">
        <is>
          <t>NYKÖPING</t>
        </is>
      </c>
      <c r="I497" t="n">
        <v>3.8</v>
      </c>
      <c r="J497" t="n">
        <v>1</v>
      </c>
      <c r="K497" t="n">
        <v>0</v>
      </c>
      <c r="L497" t="n">
        <v>0</v>
      </c>
      <c r="M497" t="n">
        <v>1</v>
      </c>
      <c r="N497" t="n">
        <v>0</v>
      </c>
      <c r="O497" t="n">
        <v>0</v>
      </c>
      <c r="P497" t="n">
        <v>0</v>
      </c>
      <c r="Q497" t="n">
        <v>1</v>
      </c>
      <c r="R497" t="n">
        <v>1</v>
      </c>
      <c r="S497" t="n">
        <v>1</v>
      </c>
      <c r="T497" t="n">
        <v>2</v>
      </c>
      <c r="U497" t="n">
        <v>0</v>
      </c>
      <c r="V497" s="2" t="inlineStr">
        <is>
          <t>Knärot</t>
        </is>
      </c>
      <c r="W497">
        <f>HYPERLINK("https://klasma.github.io/Logging_0480/artfynd/A 13038-2024 artfynd.xlsx", "A 13038-2024")</f>
        <v/>
      </c>
      <c r="X497">
        <f>HYPERLINK("https://klasma.github.io/Logging_0480/kartor/A 13038-2024 karta.png", "A 13038-2024")</f>
        <v/>
      </c>
      <c r="Y497">
        <f>HYPERLINK("https://klasma.github.io/Logging_0480/kartor_geotiff/A 13038-2024 georefererad karta.tif", "A 13038-2024")</f>
        <v/>
      </c>
      <c r="Z497">
        <f>HYPERLINK("https://klasma.github.io/Logging_0480/knärot/A 13038-2024 karta knärot.png", "A 13038-2024")</f>
        <v/>
      </c>
      <c r="AA497">
        <f>HYPERLINK("https://klasma.github.io/Logging_0480/klagomål/A 13038-2024 FSC-klagomål.docx", "A 13038-2024")</f>
        <v/>
      </c>
      <c r="AB497">
        <f>HYPERLINK("https://klasma.github.io/Logging_0480/klagomålsmail/A 13038-2024 FSC-klagomål mail.docx", "A 13038-2024")</f>
        <v/>
      </c>
      <c r="AC497">
        <f>HYPERLINK("https://klasma.github.io/Logging_0480/tillsyn/A 13038-2024 tillsynsbegäran.docx", "A 13038-2024")</f>
        <v/>
      </c>
      <c r="AD497">
        <f>HYPERLINK("https://klasma.github.io/Logging_0480/tillsynsmail/A 13038-2024 tillsynsbegäran mail.docx", "A 13038-2024")</f>
        <v/>
      </c>
    </row>
    <row r="498" ht="15" customHeight="1">
      <c r="A498" t="inlineStr">
        <is>
          <t>A 56074-2022</t>
        </is>
      </c>
      <c r="B498" t="inlineStr">
        <is>
          <t>avverkningsanmälan</t>
        </is>
      </c>
      <c r="C498" t="inlineStr">
        <is>
          <t>Föryngringsavverkning</t>
        </is>
      </c>
      <c r="D498" s="1" t="n">
        <v>44889</v>
      </c>
      <c r="E498" s="1" t="n">
        <v>46313</v>
      </c>
      <c r="F498" t="inlineStr">
        <is>
          <t>SÖDERMANLANDS LÄN</t>
        </is>
      </c>
      <c r="G498" t="inlineStr">
        <is>
          <t>KATRINEHOLM</t>
        </is>
      </c>
      <c r="I498" t="n">
        <v>12.5</v>
      </c>
      <c r="J498" t="n">
        <v>1</v>
      </c>
      <c r="K498" t="n">
        <v>0</v>
      </c>
      <c r="L498" t="n">
        <v>0</v>
      </c>
      <c r="M498" t="n">
        <v>0</v>
      </c>
      <c r="N498" t="n">
        <v>0</v>
      </c>
      <c r="O498" t="n">
        <v>0</v>
      </c>
      <c r="P498" t="n">
        <v>0</v>
      </c>
      <c r="Q498" t="n">
        <v>0</v>
      </c>
      <c r="R498" t="n">
        <v>0</v>
      </c>
      <c r="S498" t="n">
        <v>1</v>
      </c>
      <c r="T498" t="n">
        <v>1</v>
      </c>
      <c r="U498" t="n">
        <v>0</v>
      </c>
      <c r="V498" s="2" t="inlineStr">
        <is>
          <t>Revlummer</t>
        </is>
      </c>
      <c r="W498">
        <f>HYPERLINK("https://klasma.github.io/Logging_0483/artfynd/A 56074-2022 artfynd.xlsx", "A 56074-2022")</f>
        <v/>
      </c>
      <c r="X498">
        <f>HYPERLINK("https://klasma.github.io/Logging_0483/kartor/A 56074-2022 karta.png", "A 56074-2022")</f>
        <v/>
      </c>
      <c r="Y498">
        <f>HYPERLINK("https://klasma.github.io/Logging_0483/kartor_geotiff/A 56074-2022 georefererad karta.tif", "A 56074-2022")</f>
        <v/>
      </c>
      <c r="AA498">
        <f>HYPERLINK("https://klasma.github.io/Logging_0483/klagomål/A 56074-2022 FSC-klagomål.docx", "A 56074-2022")</f>
        <v/>
      </c>
      <c r="AB498">
        <f>HYPERLINK("https://klasma.github.io/Logging_0483/klagomålsmail/A 56074-2022 FSC-klagomål mail.docx", "A 56074-2022")</f>
        <v/>
      </c>
      <c r="AC498">
        <f>HYPERLINK("https://klasma.github.io/Logging_0483/tillsyn/A 56074-2022 tillsynsbegäran.docx", "A 56074-2022")</f>
        <v/>
      </c>
      <c r="AD498">
        <f>HYPERLINK("https://klasma.github.io/Logging_0483/tillsynsmail/A 56074-2022 tillsynsbegäran mail.docx", "A 56074-2022")</f>
        <v/>
      </c>
    </row>
    <row r="499" ht="15" customHeight="1">
      <c r="A499" t="inlineStr">
        <is>
          <t>A 47756-2022</t>
        </is>
      </c>
      <c r="B499" t="inlineStr">
        <is>
          <t>avverkningsanmälan</t>
        </is>
      </c>
      <c r="C499" t="inlineStr">
        <is>
          <t>Föryngringsavverkning</t>
        </is>
      </c>
      <c r="D499" s="1" t="n">
        <v>44854</v>
      </c>
      <c r="E499" s="1" t="n">
        <v>46313</v>
      </c>
      <c r="F499" t="inlineStr">
        <is>
          <t>SÖDERMANLANDS LÄN</t>
        </is>
      </c>
      <c r="G499" t="inlineStr">
        <is>
          <t>FLEN</t>
        </is>
      </c>
      <c r="I499" t="n">
        <v>2.4</v>
      </c>
      <c r="J499" t="n">
        <v>0</v>
      </c>
      <c r="K499" t="n">
        <v>0</v>
      </c>
      <c r="L499" t="n">
        <v>1</v>
      </c>
      <c r="M499" t="n">
        <v>0</v>
      </c>
      <c r="N499" t="n">
        <v>0</v>
      </c>
      <c r="O499" t="n">
        <v>0</v>
      </c>
      <c r="P499" t="n">
        <v>0</v>
      </c>
      <c r="Q499" t="n">
        <v>1</v>
      </c>
      <c r="R499" t="n">
        <v>0</v>
      </c>
      <c r="S499" t="n">
        <v>1</v>
      </c>
      <c r="T499" t="n">
        <v>1</v>
      </c>
      <c r="U499" t="n">
        <v>0</v>
      </c>
      <c r="V499" s="2" t="inlineStr">
        <is>
          <t>Svinrot</t>
        </is>
      </c>
      <c r="W499">
        <f>HYPERLINK("https://klasma.github.io/Logging_0482/artfynd/A 47756-2022 artfynd.xlsx", "A 47756-2022")</f>
        <v/>
      </c>
      <c r="X499">
        <f>HYPERLINK("https://klasma.github.io/Logging_0482/kartor/A 47756-2022 karta.png", "A 47756-2022")</f>
        <v/>
      </c>
      <c r="Y499">
        <f>HYPERLINK("https://klasma.github.io/Logging_0482/kartor_geotiff/A 47756-2022 georefererad karta.tif", "A 47756-2022")</f>
        <v/>
      </c>
      <c r="AA499">
        <f>HYPERLINK("https://klasma.github.io/Logging_0482/klagomål/A 47756-2022 FSC-klagomål.docx", "A 47756-2022")</f>
        <v/>
      </c>
      <c r="AB499">
        <f>HYPERLINK("https://klasma.github.io/Logging_0482/klagomålsmail/A 47756-2022 FSC-klagomål mail.docx", "A 47756-2022")</f>
        <v/>
      </c>
      <c r="AC499">
        <f>HYPERLINK("https://klasma.github.io/Logging_0482/tillsyn/A 47756-2022 tillsynsbegäran.docx", "A 47756-2022")</f>
        <v/>
      </c>
      <c r="AD499">
        <f>HYPERLINK("https://klasma.github.io/Logging_0482/tillsynsmail/A 47756-2022 tillsynsbegäran mail.docx", "A 47756-2022")</f>
        <v/>
      </c>
    </row>
    <row r="500" ht="15" customHeight="1">
      <c r="A500" t="inlineStr">
        <is>
          <t>A 52658-2023</t>
        </is>
      </c>
      <c r="B500" t="inlineStr">
        <is>
          <t>avverkningsanmälan</t>
        </is>
      </c>
      <c r="C500" t="inlineStr">
        <is>
          <t>Föryngringsavverkning</t>
        </is>
      </c>
      <c r="D500" s="1" t="n">
        <v>45225</v>
      </c>
      <c r="E500" s="1" t="n">
        <v>46313</v>
      </c>
      <c r="F500" t="inlineStr">
        <is>
          <t>SÖDERMANLANDS LÄN</t>
        </is>
      </c>
      <c r="G500" t="inlineStr">
        <is>
          <t>KATRINEHOLM</t>
        </is>
      </c>
      <c r="I500" t="n">
        <v>1.2</v>
      </c>
      <c r="J500" t="n">
        <v>1</v>
      </c>
      <c r="K500" t="n">
        <v>0</v>
      </c>
      <c r="L500" t="n">
        <v>0</v>
      </c>
      <c r="M500" t="n">
        <v>0</v>
      </c>
      <c r="N500" t="n">
        <v>0</v>
      </c>
      <c r="O500" t="n">
        <v>0</v>
      </c>
      <c r="P500" t="n">
        <v>0</v>
      </c>
      <c r="Q500" t="n">
        <v>0</v>
      </c>
      <c r="R500" t="n">
        <v>0</v>
      </c>
      <c r="S500" t="n">
        <v>1</v>
      </c>
      <c r="T500" t="n">
        <v>1</v>
      </c>
      <c r="U500" t="n">
        <v>0</v>
      </c>
      <c r="V500" s="2" t="inlineStr">
        <is>
          <t>Kungsfågel</t>
        </is>
      </c>
      <c r="W500">
        <f>HYPERLINK("https://klasma.github.io/Logging_0483/artfynd/A 52658-2023 artfynd.xlsx", "A 52658-2023")</f>
        <v/>
      </c>
      <c r="X500">
        <f>HYPERLINK("https://klasma.github.io/Logging_0483/kartor/A 52658-2023 karta.png", "A 52658-2023")</f>
        <v/>
      </c>
      <c r="Y500">
        <f>HYPERLINK("https://klasma.github.io/Logging_0483/kartor_geotiff/A 52658-2023 georefererad karta.tif", "A 52658-2023")</f>
        <v/>
      </c>
      <c r="AA500">
        <f>HYPERLINK("https://klasma.github.io/Logging_0483/klagomål/A 52658-2023 FSC-klagomål.docx", "A 52658-2023")</f>
        <v/>
      </c>
      <c r="AB500">
        <f>HYPERLINK("https://klasma.github.io/Logging_0483/klagomålsmail/A 52658-2023 FSC-klagomål mail.docx", "A 52658-2023")</f>
        <v/>
      </c>
      <c r="AC500">
        <f>HYPERLINK("https://klasma.github.io/Logging_0483/tillsyn/A 52658-2023 tillsynsbegäran.docx", "A 52658-2023")</f>
        <v/>
      </c>
      <c r="AD500">
        <f>HYPERLINK("https://klasma.github.io/Logging_0483/tillsynsmail/A 52658-2023 tillsynsbegäran mail.docx", "A 52658-2023")</f>
        <v/>
      </c>
    </row>
    <row r="501" ht="15" customHeight="1">
      <c r="A501" t="inlineStr">
        <is>
          <t>A 51258-2024</t>
        </is>
      </c>
      <c r="B501" t="inlineStr">
        <is>
          <t>avverkningsanmälan</t>
        </is>
      </c>
      <c r="C501" t="inlineStr">
        <is>
          <t>Föryngringsavverkning</t>
        </is>
      </c>
      <c r="D501" s="1" t="n">
        <v>45603</v>
      </c>
      <c r="E501" s="1" t="n">
        <v>46313</v>
      </c>
      <c r="F501" t="inlineStr">
        <is>
          <t>SÖDERMANLANDS LÄN</t>
        </is>
      </c>
      <c r="G501" t="inlineStr">
        <is>
          <t>NYKÖPING</t>
        </is>
      </c>
      <c r="H501" t="inlineStr">
        <is>
          <t>Sveaskog</t>
        </is>
      </c>
      <c r="I501" t="n">
        <v>2.6</v>
      </c>
      <c r="J501" t="n">
        <v>0</v>
      </c>
      <c r="K501" t="n">
        <v>1</v>
      </c>
      <c r="L501" t="n">
        <v>0</v>
      </c>
      <c r="M501" t="n">
        <v>0</v>
      </c>
      <c r="N501" t="n">
        <v>0</v>
      </c>
      <c r="O501" t="n">
        <v>0</v>
      </c>
      <c r="P501" t="n">
        <v>0</v>
      </c>
      <c r="Q501" t="n">
        <v>0</v>
      </c>
      <c r="R501" t="n">
        <v>0</v>
      </c>
      <c r="S501" t="n">
        <v>1</v>
      </c>
      <c r="T501" t="n">
        <v>1</v>
      </c>
      <c r="U501" t="n">
        <v>0</v>
      </c>
      <c r="V501" s="2" t="inlineStr">
        <is>
          <t>Grönpyrola</t>
        </is>
      </c>
      <c r="W501">
        <f>HYPERLINK("https://klasma.github.io/Logging_0480/artfynd/A 51258-2024 artfynd.xlsx", "A 51258-2024")</f>
        <v/>
      </c>
      <c r="X501">
        <f>HYPERLINK("https://klasma.github.io/Logging_0480/kartor/A 51258-2024 karta.png", "A 51258-2024")</f>
        <v/>
      </c>
      <c r="Y501">
        <f>HYPERLINK("https://klasma.github.io/Logging_0480/kartor_geotiff/A 51258-2024 georefererad karta.tif", "A 51258-2024")</f>
        <v/>
      </c>
      <c r="AA501">
        <f>HYPERLINK("https://klasma.github.io/Logging_0480/klagomål/A 51258-2024 FSC-klagomål.docx", "A 51258-2024")</f>
        <v/>
      </c>
      <c r="AB501">
        <f>HYPERLINK("https://klasma.github.io/Logging_0480/klagomålsmail/A 51258-2024 FSC-klagomål mail.docx", "A 51258-2024")</f>
        <v/>
      </c>
      <c r="AC501">
        <f>HYPERLINK("https://klasma.github.io/Logging_0480/tillsyn/A 51258-2024 tillsynsbegäran.docx", "A 51258-2024")</f>
        <v/>
      </c>
      <c r="AD501">
        <f>HYPERLINK("https://klasma.github.io/Logging_0480/tillsynsmail/A 51258-2024 tillsynsbegäran mail.docx", "A 51258-2024")</f>
        <v/>
      </c>
    </row>
    <row r="502" ht="15" customHeight="1">
      <c r="A502" t="inlineStr">
        <is>
          <t>A 32627-2026</t>
        </is>
      </c>
      <c r="B502" t="inlineStr">
        <is>
          <t>avverkningsanmälan</t>
        </is>
      </c>
      <c r="C502" t="inlineStr">
        <is>
          <t>Föryngringsavverkning</t>
        </is>
      </c>
      <c r="D502" s="1" t="n">
        <v>46240</v>
      </c>
      <c r="E502" s="1" t="n">
        <v>46313</v>
      </c>
      <c r="F502" t="inlineStr">
        <is>
          <t>SÖDERMANLANDS LÄN</t>
        </is>
      </c>
      <c r="G502" t="inlineStr">
        <is>
          <t>NYKÖPING</t>
        </is>
      </c>
      <c r="H502" t="inlineStr">
        <is>
          <t>Holmen skog AB</t>
        </is>
      </c>
      <c r="I502" t="n">
        <v>2.4</v>
      </c>
      <c r="J502" t="n">
        <v>0</v>
      </c>
      <c r="K502" t="n">
        <v>0</v>
      </c>
      <c r="L502" t="n">
        <v>1</v>
      </c>
      <c r="M502" t="n">
        <v>0</v>
      </c>
      <c r="N502" t="n">
        <v>0</v>
      </c>
      <c r="O502" t="n">
        <v>0</v>
      </c>
      <c r="P502" t="n">
        <v>0</v>
      </c>
      <c r="Q502" t="n">
        <v>1</v>
      </c>
      <c r="R502" t="n">
        <v>0</v>
      </c>
      <c r="S502" t="n">
        <v>1</v>
      </c>
      <c r="T502" t="n">
        <v>1</v>
      </c>
      <c r="U502" t="n">
        <v>0</v>
      </c>
      <c r="V502" s="2" t="inlineStr">
        <is>
          <t>Motaggsvamp</t>
        </is>
      </c>
      <c r="W502">
        <f>HYPERLINK("https://klasma.github.io/Logging_0480/artfynd/A 32627-2026 artfynd.xlsx", "A 32627-2026")</f>
        <v/>
      </c>
      <c r="X502">
        <f>HYPERLINK("https://klasma.github.io/Logging_0480/kartor/A 32627-2026 karta.png", "A 32627-2026")</f>
        <v/>
      </c>
      <c r="Y502">
        <f>HYPERLINK("https://klasma.github.io/Logging_0480/kartor_geotiff/A 32627-2026 georefererad karta.tif", "A 32627-2026")</f>
        <v/>
      </c>
      <c r="AA502">
        <f>HYPERLINK("https://klasma.github.io/Logging_0480/klagomål/A 32627-2026 FSC-klagomål.docx", "A 32627-2026")</f>
        <v/>
      </c>
      <c r="AB502">
        <f>HYPERLINK("https://klasma.github.io/Logging_0480/klagomålsmail/A 32627-2026 FSC-klagomål mail.docx", "A 32627-2026")</f>
        <v/>
      </c>
      <c r="AC502">
        <f>HYPERLINK("https://klasma.github.io/Logging_0480/tillsyn/A 32627-2026 tillsynsbegäran.docx", "A 32627-2026")</f>
        <v/>
      </c>
      <c r="AD502">
        <f>HYPERLINK("https://klasma.github.io/Logging_0480/tillsynsmail/A 32627-2026 tillsynsbegäran mail.docx", "A 32627-2026")</f>
        <v/>
      </c>
    </row>
    <row r="503" ht="15" customHeight="1">
      <c r="A503" t="inlineStr">
        <is>
          <t>A 62535-2021</t>
        </is>
      </c>
      <c r="B503" t="inlineStr">
        <is>
          <t>avverkningsanmälan</t>
        </is>
      </c>
      <c r="C503" t="inlineStr">
        <is>
          <t>Föryngringsavverkning</t>
        </is>
      </c>
      <c r="D503" s="1" t="n">
        <v>44503</v>
      </c>
      <c r="E503" s="1" t="n">
        <v>46313</v>
      </c>
      <c r="F503" t="inlineStr">
        <is>
          <t>SÖDERMANLANDS LÄN</t>
        </is>
      </c>
      <c r="G503" t="inlineStr">
        <is>
          <t>FLEN</t>
        </is>
      </c>
      <c r="I503" t="n">
        <v>0.6</v>
      </c>
      <c r="J503" t="n">
        <v>1</v>
      </c>
      <c r="K503" t="n">
        <v>0</v>
      </c>
      <c r="L503" t="n">
        <v>0</v>
      </c>
      <c r="M503" t="n">
        <v>0</v>
      </c>
      <c r="N503" t="n">
        <v>0</v>
      </c>
      <c r="O503" t="n">
        <v>0</v>
      </c>
      <c r="P503" t="n">
        <v>0</v>
      </c>
      <c r="Q503" t="n">
        <v>0</v>
      </c>
      <c r="R503" t="n">
        <v>0</v>
      </c>
      <c r="S503" t="n">
        <v>1</v>
      </c>
      <c r="T503" t="n">
        <v>1</v>
      </c>
      <c r="U503" t="n">
        <v>0</v>
      </c>
      <c r="V503" s="2" t="inlineStr">
        <is>
          <t>Blåsippa</t>
        </is>
      </c>
      <c r="W503">
        <f>HYPERLINK("https://klasma.github.io/Logging_0482/artfynd/A 62535-2021 artfynd.xlsx", "A 62535-2021")</f>
        <v/>
      </c>
      <c r="X503">
        <f>HYPERLINK("https://klasma.github.io/Logging_0482/kartor/A 62535-2021 karta.png", "A 62535-2021")</f>
        <v/>
      </c>
      <c r="Y503">
        <f>HYPERLINK("https://klasma.github.io/Logging_0482/kartor_geotiff/A 62535-2021 georefererad karta.tif", "A 62535-2021")</f>
        <v/>
      </c>
      <c r="AA503">
        <f>HYPERLINK("https://klasma.github.io/Logging_0482/klagomål/A 62535-2021 FSC-klagomål.docx", "A 62535-2021")</f>
        <v/>
      </c>
      <c r="AB503">
        <f>HYPERLINK("https://klasma.github.io/Logging_0482/klagomålsmail/A 62535-2021 FSC-klagomål mail.docx", "A 62535-2021")</f>
        <v/>
      </c>
      <c r="AC503">
        <f>HYPERLINK("https://klasma.github.io/Logging_0482/tillsyn/A 62535-2021 tillsynsbegäran.docx", "A 62535-2021")</f>
        <v/>
      </c>
      <c r="AD503">
        <f>HYPERLINK("https://klasma.github.io/Logging_0482/tillsynsmail/A 62535-2021 tillsynsbegäran mail.docx", "A 62535-2021")</f>
        <v/>
      </c>
    </row>
    <row r="504" ht="15" customHeight="1">
      <c r="A504" t="inlineStr">
        <is>
          <t>A 14273-2025</t>
        </is>
      </c>
      <c r="B504" t="inlineStr">
        <is>
          <t>avverkningsanmälan</t>
        </is>
      </c>
      <c r="C504" t="inlineStr">
        <is>
          <t>Föryngringsavverkning</t>
        </is>
      </c>
      <c r="D504" s="1" t="n">
        <v>45740</v>
      </c>
      <c r="E504" s="1" t="n">
        <v>46313</v>
      </c>
      <c r="F504" t="inlineStr">
        <is>
          <t>SÖDERMANLANDS LÄN</t>
        </is>
      </c>
      <c r="G504" t="inlineStr">
        <is>
          <t>FLEN</t>
        </is>
      </c>
      <c r="H504" t="inlineStr">
        <is>
          <t>Holmen skog AB</t>
        </is>
      </c>
      <c r="I504" t="n">
        <v>3.1</v>
      </c>
      <c r="J504" t="n">
        <v>0</v>
      </c>
      <c r="K504" t="n">
        <v>0</v>
      </c>
      <c r="L504" t="n">
        <v>1</v>
      </c>
      <c r="M504" t="n">
        <v>0</v>
      </c>
      <c r="N504" t="n">
        <v>0</v>
      </c>
      <c r="O504" t="n">
        <v>0</v>
      </c>
      <c r="P504" t="n">
        <v>0</v>
      </c>
      <c r="Q504" t="n">
        <v>1</v>
      </c>
      <c r="R504" t="n">
        <v>0</v>
      </c>
      <c r="S504" t="n">
        <v>1</v>
      </c>
      <c r="T504" t="n">
        <v>1</v>
      </c>
      <c r="U504" t="n">
        <v>0</v>
      </c>
      <c r="V504" s="2" t="inlineStr">
        <is>
          <t>Vedskivlav</t>
        </is>
      </c>
      <c r="W504">
        <f>HYPERLINK("https://klasma.github.io/Logging_0482/artfynd/A 14273-2025 artfynd.xlsx", "A 14273-2025")</f>
        <v/>
      </c>
      <c r="X504">
        <f>HYPERLINK("https://klasma.github.io/Logging_0482/kartor/A 14273-2025 karta.png", "A 14273-2025")</f>
        <v/>
      </c>
      <c r="Y504">
        <f>HYPERLINK("https://klasma.github.io/Logging_0482/kartor_geotiff/A 14273-2025 georefererad karta.tif", "A 14273-2025")</f>
        <v/>
      </c>
      <c r="AA504">
        <f>HYPERLINK("https://klasma.github.io/Logging_0482/klagomål/A 14273-2025 FSC-klagomål.docx", "A 14273-2025")</f>
        <v/>
      </c>
      <c r="AB504">
        <f>HYPERLINK("https://klasma.github.io/Logging_0482/klagomålsmail/A 14273-2025 FSC-klagomål mail.docx", "A 14273-2025")</f>
        <v/>
      </c>
      <c r="AC504">
        <f>HYPERLINK("https://klasma.github.io/Logging_0482/tillsyn/A 14273-2025 tillsynsbegäran.docx", "A 14273-2025")</f>
        <v/>
      </c>
      <c r="AD504">
        <f>HYPERLINK("https://klasma.github.io/Logging_0482/tillsynsmail/A 14273-2025 tillsynsbegäran mail.docx", "A 14273-2025")</f>
        <v/>
      </c>
    </row>
    <row r="505" ht="15" customHeight="1">
      <c r="A505" t="inlineStr">
        <is>
          <t>A 53399-2023</t>
        </is>
      </c>
      <c r="B505" t="inlineStr">
        <is>
          <t>avverkningsanmälan</t>
        </is>
      </c>
      <c r="C505" t="inlineStr">
        <is>
          <t>Föryngringsavverkning</t>
        </is>
      </c>
      <c r="D505" s="1" t="n">
        <v>45229</v>
      </c>
      <c r="E505" s="1" t="n">
        <v>46313</v>
      </c>
      <c r="F505" t="inlineStr">
        <is>
          <t>SÖDERMANLANDS LÄN</t>
        </is>
      </c>
      <c r="G505" t="inlineStr">
        <is>
          <t>ESKILSTUNA</t>
        </is>
      </c>
      <c r="I505" t="n">
        <v>1.1</v>
      </c>
      <c r="J505" t="n">
        <v>1</v>
      </c>
      <c r="K505" t="n">
        <v>0</v>
      </c>
      <c r="L505" t="n">
        <v>0</v>
      </c>
      <c r="M505" t="n">
        <v>0</v>
      </c>
      <c r="N505" t="n">
        <v>0</v>
      </c>
      <c r="O505" t="n">
        <v>0</v>
      </c>
      <c r="P505" t="n">
        <v>0</v>
      </c>
      <c r="Q505" t="n">
        <v>0</v>
      </c>
      <c r="R505" t="n">
        <v>0</v>
      </c>
      <c r="S505" t="n">
        <v>1</v>
      </c>
      <c r="T505" t="n">
        <v>1</v>
      </c>
      <c r="U505" t="n">
        <v>0</v>
      </c>
      <c r="V505" s="2" t="inlineStr">
        <is>
          <t>Grönvit nattviol</t>
        </is>
      </c>
      <c r="W505">
        <f>HYPERLINK("https://klasma.github.io/Logging_0484/artfynd/A 53399-2023 artfynd.xlsx", "A 53399-2023")</f>
        <v/>
      </c>
      <c r="X505">
        <f>HYPERLINK("https://klasma.github.io/Logging_0484/kartor/A 53399-2023 karta.png", "A 53399-2023")</f>
        <v/>
      </c>
      <c r="Y505">
        <f>HYPERLINK("https://klasma.github.io/Logging_0484/kartor_geotiff/A 53399-2023 georefererad karta.tif", "A 53399-2023")</f>
        <v/>
      </c>
      <c r="AA505">
        <f>HYPERLINK("https://klasma.github.io/Logging_0484/klagomål/A 53399-2023 FSC-klagomål.docx", "A 53399-2023")</f>
        <v/>
      </c>
      <c r="AB505">
        <f>HYPERLINK("https://klasma.github.io/Logging_0484/klagomålsmail/A 53399-2023 FSC-klagomål mail.docx", "A 53399-2023")</f>
        <v/>
      </c>
      <c r="AC505">
        <f>HYPERLINK("https://klasma.github.io/Logging_0484/tillsyn/A 53399-2023 tillsynsbegäran.docx", "A 53399-2023")</f>
        <v/>
      </c>
      <c r="AD505">
        <f>HYPERLINK("https://klasma.github.io/Logging_0484/tillsynsmail/A 53399-2023 tillsynsbegäran mail.docx", "A 53399-2023")</f>
        <v/>
      </c>
    </row>
    <row r="506" ht="15" customHeight="1">
      <c r="A506" t="inlineStr">
        <is>
          <t>A 39011-2026</t>
        </is>
      </c>
      <c r="B506" t="inlineStr">
        <is>
          <t>avverkningsanmälan</t>
        </is>
      </c>
      <c r="C506" t="inlineStr">
        <is>
          <t>Föryngringsavverkning</t>
        </is>
      </c>
      <c r="D506" s="1" t="n">
        <v>46287</v>
      </c>
      <c r="E506" s="1" t="n">
        <v>46313</v>
      </c>
      <c r="F506" t="inlineStr">
        <is>
          <t>SÖDERMANLANDS LÄN</t>
        </is>
      </c>
      <c r="G506" t="inlineStr">
        <is>
          <t>ESKILSTUNA</t>
        </is>
      </c>
      <c r="I506" t="n">
        <v>10</v>
      </c>
      <c r="J506" t="n">
        <v>1</v>
      </c>
      <c r="K506" t="n">
        <v>0</v>
      </c>
      <c r="L506" t="n">
        <v>0</v>
      </c>
      <c r="M506" t="n">
        <v>0</v>
      </c>
      <c r="N506" t="n">
        <v>0</v>
      </c>
      <c r="O506" t="n">
        <v>0</v>
      </c>
      <c r="P506" t="n">
        <v>0</v>
      </c>
      <c r="Q506" t="n">
        <v>0</v>
      </c>
      <c r="R506" t="n">
        <v>0</v>
      </c>
      <c r="S506" t="n">
        <v>1</v>
      </c>
      <c r="T506" t="n">
        <v>2</v>
      </c>
      <c r="U506" t="n">
        <v>0</v>
      </c>
      <c r="V506" s="2" t="inlineStr">
        <is>
          <t>Blåsippa</t>
        </is>
      </c>
      <c r="W506">
        <f>HYPERLINK("https://klasma.github.io/Logging_0484/artfynd/A 39011-2026 artfynd.xlsx", "A 39011-2026")</f>
        <v/>
      </c>
      <c r="X506">
        <f>HYPERLINK("https://klasma.github.io/Logging_0484/kartor/A 39011-2026 karta.png", "A 39011-2026")</f>
        <v/>
      </c>
      <c r="Y506">
        <f>HYPERLINK("https://klasma.github.io/Logging_0484/kartor_geotiff/A 39011-2026 georefererad karta.tif", "A 39011-2026")</f>
        <v/>
      </c>
      <c r="AA506">
        <f>HYPERLINK("https://klasma.github.io/Logging_0484/klagomål/A 39011-2026 FSC-klagomål.docx", "A 39011-2026")</f>
        <v/>
      </c>
      <c r="AB506">
        <f>HYPERLINK("https://klasma.github.io/Logging_0484/klagomålsmail/A 39011-2026 FSC-klagomål mail.docx", "A 39011-2026")</f>
        <v/>
      </c>
      <c r="AC506">
        <f>HYPERLINK("https://klasma.github.io/Logging_0484/tillsyn/A 39011-2026 tillsynsbegäran.docx", "A 39011-2026")</f>
        <v/>
      </c>
      <c r="AD506">
        <f>HYPERLINK("https://klasma.github.io/Logging_0484/tillsynsmail/A 39011-2026 tillsynsbegäran mail.docx", "A 39011-2026")</f>
        <v/>
      </c>
    </row>
    <row r="507" ht="15" customHeight="1">
      <c r="A507" t="inlineStr">
        <is>
          <t>A 12932-2023</t>
        </is>
      </c>
      <c r="B507" t="inlineStr">
        <is>
          <t>avverkningsanmälan</t>
        </is>
      </c>
      <c r="C507" t="inlineStr">
        <is>
          <t>Föryngringsavverkning</t>
        </is>
      </c>
      <c r="D507" s="1" t="n">
        <v>45001</v>
      </c>
      <c r="E507" s="1" t="n">
        <v>46313</v>
      </c>
      <c r="F507" t="inlineStr">
        <is>
          <t>SÖDERMANLANDS LÄN</t>
        </is>
      </c>
      <c r="G507" t="inlineStr">
        <is>
          <t>KATRINEHOLM</t>
        </is>
      </c>
      <c r="I507" t="n">
        <v>0.6</v>
      </c>
      <c r="J507" t="n">
        <v>0</v>
      </c>
      <c r="K507" t="n">
        <v>0</v>
      </c>
      <c r="L507" t="n">
        <v>1</v>
      </c>
      <c r="M507" t="n">
        <v>0</v>
      </c>
      <c r="N507" t="n">
        <v>0</v>
      </c>
      <c r="O507" t="n">
        <v>0</v>
      </c>
      <c r="P507" t="n">
        <v>0</v>
      </c>
      <c r="Q507" t="n">
        <v>1</v>
      </c>
      <c r="R507" t="n">
        <v>0</v>
      </c>
      <c r="S507" t="n">
        <v>1</v>
      </c>
      <c r="T507" t="n">
        <v>1</v>
      </c>
      <c r="U507" t="n">
        <v>1</v>
      </c>
      <c r="V507" s="2" t="inlineStr">
        <is>
          <t>Vårstarr</t>
        </is>
      </c>
      <c r="W507">
        <f>HYPERLINK("https://klasma.github.io/Logging_0483/artfynd/A 12932-2023 artfynd.xlsx", "A 12932-2023")</f>
        <v/>
      </c>
      <c r="X507">
        <f>HYPERLINK("https://klasma.github.io/Logging_0483/kartor/A 12932-2023 karta.png", "A 12932-2023")</f>
        <v/>
      </c>
      <c r="Y507">
        <f>HYPERLINK("https://klasma.github.io/Logging_0483/kartor_geotiff/A 12932-2023 georefererad karta.tif", "A 12932-2023")</f>
        <v/>
      </c>
      <c r="AA507">
        <f>HYPERLINK("https://klasma.github.io/Logging_0483/klagomål/A 12932-2023 FSC-klagomål.docx", "A 12932-2023")</f>
        <v/>
      </c>
      <c r="AB507">
        <f>HYPERLINK("https://klasma.github.io/Logging_0483/klagomålsmail/A 12932-2023 FSC-klagomål mail.docx", "A 12932-2023")</f>
        <v/>
      </c>
      <c r="AC507">
        <f>HYPERLINK("https://klasma.github.io/Logging_0483/tillsyn/A 12932-2023 tillsynsbegäran.docx", "A 12932-2023")</f>
        <v/>
      </c>
      <c r="AD507">
        <f>HYPERLINK("https://klasma.github.io/Logging_0483/tillsynsmail/A 12932-2023 tillsynsbegäran mail.docx", "A 12932-2023")</f>
        <v/>
      </c>
    </row>
    <row r="508" ht="15" customHeight="1">
      <c r="A508" t="inlineStr">
        <is>
          <t>A 43547-2022</t>
        </is>
      </c>
      <c r="B508" t="inlineStr">
        <is>
          <t>avverkningsanmälan</t>
        </is>
      </c>
      <c r="C508" t="inlineStr">
        <is>
          <t>Föryngringsavverkning</t>
        </is>
      </c>
      <c r="D508" s="1" t="n">
        <v>44834</v>
      </c>
      <c r="E508" s="1" t="n">
        <v>46313</v>
      </c>
      <c r="F508" t="inlineStr">
        <is>
          <t>SÖDERMANLANDS LÄN</t>
        </is>
      </c>
      <c r="G508" t="inlineStr">
        <is>
          <t>ESKILSTUNA</t>
        </is>
      </c>
      <c r="I508" t="n">
        <v>3.2</v>
      </c>
      <c r="J508" t="n">
        <v>1</v>
      </c>
      <c r="K508" t="n">
        <v>0</v>
      </c>
      <c r="L508" t="n">
        <v>0</v>
      </c>
      <c r="M508" t="n">
        <v>1</v>
      </c>
      <c r="N508" t="n">
        <v>0</v>
      </c>
      <c r="O508" t="n">
        <v>0</v>
      </c>
      <c r="P508" t="n">
        <v>0</v>
      </c>
      <c r="Q508" t="n">
        <v>1</v>
      </c>
      <c r="R508" t="n">
        <v>1</v>
      </c>
      <c r="S508" t="n">
        <v>1</v>
      </c>
      <c r="T508" t="n">
        <v>1</v>
      </c>
      <c r="U508" t="n">
        <v>0</v>
      </c>
      <c r="V508" s="2" t="inlineStr">
        <is>
          <t>Knärot</t>
        </is>
      </c>
      <c r="W508">
        <f>HYPERLINK("https://klasma.github.io/Logging_0484/artfynd/A 43547-2022 artfynd.xlsx", "A 43547-2022")</f>
        <v/>
      </c>
      <c r="X508">
        <f>HYPERLINK("https://klasma.github.io/Logging_0484/kartor/A 43547-2022 karta.png", "A 43547-2022")</f>
        <v/>
      </c>
      <c r="Y508">
        <f>HYPERLINK("https://klasma.github.io/Logging_0484/kartor_geotiff/A 43547-2022 georefererad karta.tif", "A 43547-2022")</f>
        <v/>
      </c>
      <c r="Z508">
        <f>HYPERLINK("https://klasma.github.io/Logging_0484/knärot/A 43547-2022 karta knärot.png", "A 43547-2022")</f>
        <v/>
      </c>
      <c r="AA508">
        <f>HYPERLINK("https://klasma.github.io/Logging_0484/klagomål/A 43547-2022 FSC-klagomål.docx", "A 43547-2022")</f>
        <v/>
      </c>
      <c r="AB508">
        <f>HYPERLINK("https://klasma.github.io/Logging_0484/klagomålsmail/A 43547-2022 FSC-klagomål mail.docx", "A 43547-2022")</f>
        <v/>
      </c>
      <c r="AC508">
        <f>HYPERLINK("https://klasma.github.io/Logging_0484/tillsyn/A 43547-2022 tillsynsbegäran.docx", "A 43547-2022")</f>
        <v/>
      </c>
      <c r="AD508">
        <f>HYPERLINK("https://klasma.github.io/Logging_0484/tillsynsmail/A 43547-2022 tillsynsbegäran mail.docx", "A 43547-2022")</f>
        <v/>
      </c>
    </row>
    <row r="509" ht="15" customHeight="1">
      <c r="A509" t="inlineStr">
        <is>
          <t>A 49820-2023</t>
        </is>
      </c>
      <c r="B509" t="inlineStr">
        <is>
          <t>avverkningsanmälan</t>
        </is>
      </c>
      <c r="C509" t="inlineStr">
        <is>
          <t>Föryngringsavverkning</t>
        </is>
      </c>
      <c r="D509" s="1" t="n">
        <v>45211</v>
      </c>
      <c r="E509" s="1" t="n">
        <v>46313</v>
      </c>
      <c r="F509" t="inlineStr">
        <is>
          <t>SÖDERMANLANDS LÄN</t>
        </is>
      </c>
      <c r="G509" t="inlineStr">
        <is>
          <t>FLEN</t>
        </is>
      </c>
      <c r="I509" t="n">
        <v>3.2</v>
      </c>
      <c r="J509" t="n">
        <v>1</v>
      </c>
      <c r="K509" t="n">
        <v>0</v>
      </c>
      <c r="L509" t="n">
        <v>0</v>
      </c>
      <c r="M509" t="n">
        <v>0</v>
      </c>
      <c r="N509" t="n">
        <v>0</v>
      </c>
      <c r="O509" t="n">
        <v>0</v>
      </c>
      <c r="P509" t="n">
        <v>0</v>
      </c>
      <c r="Q509" t="n">
        <v>0</v>
      </c>
      <c r="R509" t="n">
        <v>0</v>
      </c>
      <c r="S509" t="n">
        <v>1</v>
      </c>
      <c r="T509" t="n">
        <v>1</v>
      </c>
      <c r="U509" t="n">
        <v>1</v>
      </c>
      <c r="V509" s="2" t="inlineStr">
        <is>
          <t>Gullviva</t>
        </is>
      </c>
      <c r="W509">
        <f>HYPERLINK("https://klasma.github.io/Logging_0482/artfynd/A 49820-2023 artfynd.xlsx", "A 49820-2023")</f>
        <v/>
      </c>
      <c r="X509">
        <f>HYPERLINK("https://klasma.github.io/Logging_0482/kartor/A 49820-2023 karta.png", "A 49820-2023")</f>
        <v/>
      </c>
      <c r="Y509">
        <f>HYPERLINK("https://klasma.github.io/Logging_0482/kartor_geotiff/A 49820-2023 georefererad karta.tif", "A 49820-2023")</f>
        <v/>
      </c>
      <c r="AA509">
        <f>HYPERLINK("https://klasma.github.io/Logging_0482/klagomål/A 49820-2023 FSC-klagomål.docx", "A 49820-2023")</f>
        <v/>
      </c>
      <c r="AB509">
        <f>HYPERLINK("https://klasma.github.io/Logging_0482/klagomålsmail/A 49820-2023 FSC-klagomål mail.docx", "A 49820-2023")</f>
        <v/>
      </c>
      <c r="AC509">
        <f>HYPERLINK("https://klasma.github.io/Logging_0482/tillsyn/A 49820-2023 tillsynsbegäran.docx", "A 49820-2023")</f>
        <v/>
      </c>
      <c r="AD509">
        <f>HYPERLINK("https://klasma.github.io/Logging_0482/tillsynsmail/A 49820-2023 tillsynsbegäran mail.docx", "A 49820-2023")</f>
        <v/>
      </c>
    </row>
    <row r="510" ht="15" customHeight="1">
      <c r="A510" t="inlineStr">
        <is>
          <t>A 40267-2023</t>
        </is>
      </c>
      <c r="B510" t="inlineStr">
        <is>
          <t>avverkningsanmälan</t>
        </is>
      </c>
      <c r="C510" t="inlineStr">
        <is>
          <t>Föryngringsavverkning</t>
        </is>
      </c>
      <c r="D510" s="1" t="n">
        <v>45169</v>
      </c>
      <c r="E510" s="1" t="n">
        <v>46313</v>
      </c>
      <c r="F510" t="inlineStr">
        <is>
          <t>SÖDERMANLANDS LÄN</t>
        </is>
      </c>
      <c r="G510" t="inlineStr">
        <is>
          <t>GNESTA</t>
        </is>
      </c>
      <c r="H510" t="inlineStr">
        <is>
          <t>Holmen skog AB</t>
        </is>
      </c>
      <c r="I510" t="n">
        <v>1.1</v>
      </c>
      <c r="J510" t="n">
        <v>1</v>
      </c>
      <c r="K510" t="n">
        <v>0</v>
      </c>
      <c r="L510" t="n">
        <v>0</v>
      </c>
      <c r="M510" t="n">
        <v>0</v>
      </c>
      <c r="N510" t="n">
        <v>0</v>
      </c>
      <c r="O510" t="n">
        <v>0</v>
      </c>
      <c r="P510" t="n">
        <v>0</v>
      </c>
      <c r="Q510" t="n">
        <v>0</v>
      </c>
      <c r="R510" t="n">
        <v>0</v>
      </c>
      <c r="S510" t="n">
        <v>1</v>
      </c>
      <c r="T510" t="n">
        <v>1</v>
      </c>
      <c r="U510" t="n">
        <v>0</v>
      </c>
      <c r="V510" s="2" t="inlineStr">
        <is>
          <t>Blåsippa</t>
        </is>
      </c>
      <c r="W510">
        <f>HYPERLINK("https://klasma.github.io/Logging_0461/artfynd/A 40267-2023 artfynd.xlsx", "A 40267-2023")</f>
        <v/>
      </c>
      <c r="X510">
        <f>HYPERLINK("https://klasma.github.io/Logging_0461/kartor/A 40267-2023 karta.png", "A 40267-2023")</f>
        <v/>
      </c>
      <c r="Y510">
        <f>HYPERLINK("https://klasma.github.io/Logging_0461/kartor_geotiff/A 40267-2023 georefererad karta.tif", "A 40267-2023")</f>
        <v/>
      </c>
      <c r="AA510">
        <f>HYPERLINK("https://klasma.github.io/Logging_0461/klagomål/A 40267-2023 FSC-klagomål.docx", "A 40267-2023")</f>
        <v/>
      </c>
      <c r="AB510">
        <f>HYPERLINK("https://klasma.github.io/Logging_0461/klagomålsmail/A 40267-2023 FSC-klagomål mail.docx", "A 40267-2023")</f>
        <v/>
      </c>
      <c r="AC510">
        <f>HYPERLINK("https://klasma.github.io/Logging_0461/tillsyn/A 40267-2023 tillsynsbegäran.docx", "A 40267-2023")</f>
        <v/>
      </c>
      <c r="AD510">
        <f>HYPERLINK("https://klasma.github.io/Logging_0461/tillsynsmail/A 40267-2023 tillsynsbegäran mail.docx", "A 40267-2023")</f>
        <v/>
      </c>
    </row>
    <row r="511" ht="15" customHeight="1">
      <c r="A511" t="inlineStr">
        <is>
          <t>A 57004-2023</t>
        </is>
      </c>
      <c r="B511" t="inlineStr">
        <is>
          <t>avverkningsanmälan</t>
        </is>
      </c>
      <c r="C511" t="inlineStr">
        <is>
          <t>Föryngringsavverkning</t>
        </is>
      </c>
      <c r="D511" s="1" t="n">
        <v>45244</v>
      </c>
      <c r="E511" s="1" t="n">
        <v>46313</v>
      </c>
      <c r="F511" t="inlineStr">
        <is>
          <t>SÖDERMANLANDS LÄN</t>
        </is>
      </c>
      <c r="G511" t="inlineStr">
        <is>
          <t>TROSA</t>
        </is>
      </c>
      <c r="H511" t="inlineStr">
        <is>
          <t>Kommuner</t>
        </is>
      </c>
      <c r="I511" t="n">
        <v>0.7</v>
      </c>
      <c r="J511" t="n">
        <v>1</v>
      </c>
      <c r="K511" t="n">
        <v>0</v>
      </c>
      <c r="L511" t="n">
        <v>0</v>
      </c>
      <c r="M511" t="n">
        <v>0</v>
      </c>
      <c r="N511" t="n">
        <v>0</v>
      </c>
      <c r="O511" t="n">
        <v>0</v>
      </c>
      <c r="P511" t="n">
        <v>0</v>
      </c>
      <c r="Q511" t="n">
        <v>0</v>
      </c>
      <c r="R511" t="n">
        <v>0</v>
      </c>
      <c r="S511" t="n">
        <v>1</v>
      </c>
      <c r="T511" t="n">
        <v>1</v>
      </c>
      <c r="U511" t="n">
        <v>1</v>
      </c>
      <c r="V511" s="2" t="inlineStr">
        <is>
          <t>Spillkråka</t>
        </is>
      </c>
      <c r="W511">
        <f>HYPERLINK("https://klasma.github.io/Logging_0488/artfynd/A 57004-2023 artfynd.xlsx", "A 57004-2023")</f>
        <v/>
      </c>
      <c r="X511">
        <f>HYPERLINK("https://klasma.github.io/Logging_0488/kartor/A 57004-2023 karta.png", "A 57004-2023")</f>
        <v/>
      </c>
      <c r="Y511">
        <f>HYPERLINK("https://klasma.github.io/Logging_0488/kartor_geotiff/A 57004-2023 georefererad karta.tif", "A 57004-2023")</f>
        <v/>
      </c>
      <c r="AA511">
        <f>HYPERLINK("https://klasma.github.io/Logging_0488/klagomål/A 57004-2023 FSC-klagomål.docx", "A 57004-2023")</f>
        <v/>
      </c>
      <c r="AB511">
        <f>HYPERLINK("https://klasma.github.io/Logging_0488/klagomålsmail/A 57004-2023 FSC-klagomål mail.docx", "A 57004-2023")</f>
        <v/>
      </c>
      <c r="AC511">
        <f>HYPERLINK("https://klasma.github.io/Logging_0488/tillsyn/A 57004-2023 tillsynsbegäran.docx", "A 57004-2023")</f>
        <v/>
      </c>
      <c r="AD511">
        <f>HYPERLINK("https://klasma.github.io/Logging_0488/tillsynsmail/A 57004-2023 tillsynsbegäran mail.docx", "A 57004-2023")</f>
        <v/>
      </c>
      <c r="AE511">
        <f>HYPERLINK("https://klasma.github.io/Logging_0488/fåglar/A 57004-2023 prioriterade fågelarter.docx", "A 57004-2023")</f>
        <v/>
      </c>
    </row>
    <row r="512" ht="15" customHeight="1">
      <c r="A512" t="inlineStr">
        <is>
          <t>A 45107-2023</t>
        </is>
      </c>
      <c r="B512" t="inlineStr">
        <is>
          <t>avverkningsanmälan</t>
        </is>
      </c>
      <c r="C512" t="inlineStr">
        <is>
          <t>Föryngringsavverkning</t>
        </is>
      </c>
      <c r="D512" s="1" t="n">
        <v>45191</v>
      </c>
      <c r="E512" s="1" t="n">
        <v>46313</v>
      </c>
      <c r="F512" t="inlineStr">
        <is>
          <t>SÖDERMANLANDS LÄN</t>
        </is>
      </c>
      <c r="G512" t="inlineStr">
        <is>
          <t>FLEN</t>
        </is>
      </c>
      <c r="I512" t="n">
        <v>1.2</v>
      </c>
      <c r="J512" t="n">
        <v>0</v>
      </c>
      <c r="K512" t="n">
        <v>0</v>
      </c>
      <c r="L512" t="n">
        <v>0</v>
      </c>
      <c r="M512" t="n">
        <v>0</v>
      </c>
      <c r="N512" t="n">
        <v>0</v>
      </c>
      <c r="O512" t="n">
        <v>0</v>
      </c>
      <c r="P512" t="n">
        <v>0</v>
      </c>
      <c r="Q512" t="n">
        <v>0</v>
      </c>
      <c r="R512" t="n">
        <v>0</v>
      </c>
      <c r="S512" t="n">
        <v>1</v>
      </c>
      <c r="T512" t="n">
        <v>1</v>
      </c>
      <c r="U512" t="n">
        <v>1</v>
      </c>
      <c r="V512" s="2" t="inlineStr">
        <is>
          <t>Brudborste</t>
        </is>
      </c>
      <c r="W512">
        <f>HYPERLINK("https://klasma.github.io/Logging_0482/artfynd/A 45107-2023 artfynd.xlsx", "A 45107-2023")</f>
        <v/>
      </c>
      <c r="X512">
        <f>HYPERLINK("https://klasma.github.io/Logging_0482/kartor/A 45107-2023 karta.png", "A 45107-2023")</f>
        <v/>
      </c>
      <c r="Y512">
        <f>HYPERLINK("https://klasma.github.io/Logging_0482/kartor_geotiff/A 45107-2023 georefererad karta.tif", "A 45107-2023")</f>
        <v/>
      </c>
      <c r="AA512">
        <f>HYPERLINK("https://klasma.github.io/Logging_0482/klagomål/A 45107-2023 FSC-klagomål.docx", "A 45107-2023")</f>
        <v/>
      </c>
      <c r="AB512">
        <f>HYPERLINK("https://klasma.github.io/Logging_0482/klagomålsmail/A 45107-2023 FSC-klagomål mail.docx", "A 45107-2023")</f>
        <v/>
      </c>
      <c r="AC512">
        <f>HYPERLINK("https://klasma.github.io/Logging_0482/tillsyn/A 45107-2023 tillsynsbegäran.docx", "A 45107-2023")</f>
        <v/>
      </c>
      <c r="AD512">
        <f>HYPERLINK("https://klasma.github.io/Logging_0482/tillsynsmail/A 45107-2023 tillsynsbegäran mail.docx", "A 45107-2023")</f>
        <v/>
      </c>
    </row>
    <row r="513" ht="15" customHeight="1">
      <c r="A513" t="inlineStr">
        <is>
          <t>A 35122-2023</t>
        </is>
      </c>
      <c r="B513" t="inlineStr">
        <is>
          <t>avverkningsanmälan</t>
        </is>
      </c>
      <c r="C513" t="inlineStr">
        <is>
          <t>Föryngringsavverkning</t>
        </is>
      </c>
      <c r="D513" s="1" t="n">
        <v>45145</v>
      </c>
      <c r="E513" s="1" t="n">
        <v>46313</v>
      </c>
      <c r="F513" t="inlineStr">
        <is>
          <t>SÖDERMANLANDS LÄN</t>
        </is>
      </c>
      <c r="G513" t="inlineStr">
        <is>
          <t>NYKÖPING</t>
        </is>
      </c>
      <c r="I513" t="n">
        <v>3.2</v>
      </c>
      <c r="J513" t="n">
        <v>1</v>
      </c>
      <c r="K513" t="n">
        <v>0</v>
      </c>
      <c r="L513" t="n">
        <v>0</v>
      </c>
      <c r="M513" t="n">
        <v>0</v>
      </c>
      <c r="N513" t="n">
        <v>0</v>
      </c>
      <c r="O513" t="n">
        <v>0</v>
      </c>
      <c r="P513" t="n">
        <v>0</v>
      </c>
      <c r="Q513" t="n">
        <v>0</v>
      </c>
      <c r="R513" t="n">
        <v>0</v>
      </c>
      <c r="S513" t="n">
        <v>1</v>
      </c>
      <c r="T513" t="n">
        <v>1</v>
      </c>
      <c r="U513" t="n">
        <v>0</v>
      </c>
      <c r="V513" s="2" t="inlineStr">
        <is>
          <t>Blåsippa</t>
        </is>
      </c>
      <c r="W513">
        <f>HYPERLINK("https://klasma.github.io/Logging_0480/artfynd/A 35122-2023 artfynd.xlsx", "A 35122-2023")</f>
        <v/>
      </c>
      <c r="X513">
        <f>HYPERLINK("https://klasma.github.io/Logging_0480/kartor/A 35122-2023 karta.png", "A 35122-2023")</f>
        <v/>
      </c>
      <c r="Y513">
        <f>HYPERLINK("https://klasma.github.io/Logging_0480/kartor_geotiff/A 35122-2023 georefererad karta.tif", "A 35122-2023")</f>
        <v/>
      </c>
      <c r="AA513">
        <f>HYPERLINK("https://klasma.github.io/Logging_0480/klagomål/A 35122-2023 FSC-klagomål.docx", "A 35122-2023")</f>
        <v/>
      </c>
      <c r="AB513">
        <f>HYPERLINK("https://klasma.github.io/Logging_0480/klagomålsmail/A 35122-2023 FSC-klagomål mail.docx", "A 35122-2023")</f>
        <v/>
      </c>
      <c r="AC513">
        <f>HYPERLINK("https://klasma.github.io/Logging_0480/tillsyn/A 35122-2023 tillsynsbegäran.docx", "A 35122-2023")</f>
        <v/>
      </c>
      <c r="AD513">
        <f>HYPERLINK("https://klasma.github.io/Logging_0480/tillsynsmail/A 35122-2023 tillsynsbegäran mail.docx", "A 35122-2023")</f>
        <v/>
      </c>
    </row>
    <row r="514" ht="15" customHeight="1">
      <c r="A514" t="inlineStr">
        <is>
          <t>A 33292-2026</t>
        </is>
      </c>
      <c r="B514" t="inlineStr">
        <is>
          <t>avverkningsanmälan</t>
        </is>
      </c>
      <c r="C514" t="inlineStr">
        <is>
          <t>Avverkning för annat ändamål</t>
        </is>
      </c>
      <c r="D514" s="1" t="n">
        <v>46245</v>
      </c>
      <c r="E514" s="1" t="n">
        <v>46313</v>
      </c>
      <c r="F514" t="inlineStr">
        <is>
          <t>SÖDERMANLANDS LÄN</t>
        </is>
      </c>
      <c r="G514" t="inlineStr">
        <is>
          <t>KATRINEHOLM</t>
        </is>
      </c>
      <c r="I514" t="n">
        <v>2.8</v>
      </c>
      <c r="J514" t="n">
        <v>0</v>
      </c>
      <c r="K514" t="n">
        <v>1</v>
      </c>
      <c r="L514" t="n">
        <v>0</v>
      </c>
      <c r="M514" t="n">
        <v>0</v>
      </c>
      <c r="N514" t="n">
        <v>0</v>
      </c>
      <c r="O514" t="n">
        <v>0</v>
      </c>
      <c r="P514" t="n">
        <v>0</v>
      </c>
      <c r="Q514" t="n">
        <v>0</v>
      </c>
      <c r="R514" t="n">
        <v>0</v>
      </c>
      <c r="S514" t="n">
        <v>1</v>
      </c>
      <c r="T514" t="n">
        <v>1</v>
      </c>
      <c r="U514" t="n">
        <v>0</v>
      </c>
      <c r="V514" s="2" t="inlineStr">
        <is>
          <t>Brun nållav</t>
        </is>
      </c>
      <c r="W514">
        <f>HYPERLINK("https://klasma.github.io/Logging_0483/artfynd/A 33292-2026 artfynd.xlsx", "A 33292-2026")</f>
        <v/>
      </c>
      <c r="X514">
        <f>HYPERLINK("https://klasma.github.io/Logging_0483/kartor/A 33292-2026 karta.png", "A 33292-2026")</f>
        <v/>
      </c>
      <c r="Y514">
        <f>HYPERLINK("https://klasma.github.io/Logging_0483/kartor_geotiff/A 33292-2026 georefererad karta.tif", "A 33292-2026")</f>
        <v/>
      </c>
      <c r="AA514">
        <f>HYPERLINK("https://klasma.github.io/Logging_0483/klagomål/A 33292-2026 FSC-klagomål.docx", "A 33292-2026")</f>
        <v/>
      </c>
      <c r="AB514">
        <f>HYPERLINK("https://klasma.github.io/Logging_0483/klagomålsmail/A 33292-2026 FSC-klagomål mail.docx", "A 33292-2026")</f>
        <v/>
      </c>
      <c r="AC514">
        <f>HYPERLINK("https://klasma.github.io/Logging_0483/tillsyn/A 33292-2026 tillsynsbegäran.docx", "A 33292-2026")</f>
        <v/>
      </c>
      <c r="AD514">
        <f>HYPERLINK("https://klasma.github.io/Logging_0483/tillsynsmail/A 33292-2026 tillsynsbegäran mail.docx", "A 33292-2026")</f>
        <v/>
      </c>
    </row>
    <row r="515" ht="15" customHeight="1">
      <c r="A515" t="inlineStr">
        <is>
          <t>A 34000-2026</t>
        </is>
      </c>
      <c r="B515" t="inlineStr">
        <is>
          <t>avverkningsanmälan</t>
        </is>
      </c>
      <c r="C515" t="inlineStr">
        <is>
          <t>Avverkning för annat ändamål</t>
        </is>
      </c>
      <c r="D515" s="1" t="n">
        <v>46251</v>
      </c>
      <c r="E515" s="1" t="n">
        <v>46313</v>
      </c>
      <c r="F515" t="inlineStr">
        <is>
          <t>SÖDERMANLANDS LÄN</t>
        </is>
      </c>
      <c r="G515" t="inlineStr">
        <is>
          <t>KATRINEHOLM</t>
        </is>
      </c>
      <c r="I515" t="n">
        <v>1.4</v>
      </c>
      <c r="J515" t="n">
        <v>1</v>
      </c>
      <c r="K515" t="n">
        <v>0</v>
      </c>
      <c r="L515" t="n">
        <v>0</v>
      </c>
      <c r="M515" t="n">
        <v>0</v>
      </c>
      <c r="N515" t="n">
        <v>0</v>
      </c>
      <c r="O515" t="n">
        <v>0</v>
      </c>
      <c r="P515" t="n">
        <v>0</v>
      </c>
      <c r="Q515" t="n">
        <v>0</v>
      </c>
      <c r="R515" t="n">
        <v>0</v>
      </c>
      <c r="S515" t="n">
        <v>1</v>
      </c>
      <c r="T515" t="n">
        <v>1</v>
      </c>
      <c r="U515" t="n">
        <v>0</v>
      </c>
      <c r="V515" s="2" t="inlineStr">
        <is>
          <t>Röd glada</t>
        </is>
      </c>
      <c r="W515">
        <f>HYPERLINK("https://klasma.github.io/Logging_0483/artfynd/A 34000-2026 artfynd.xlsx", "A 34000-2026")</f>
        <v/>
      </c>
      <c r="X515">
        <f>HYPERLINK("https://klasma.github.io/Logging_0483/kartor/A 34000-2026 karta.png", "A 34000-2026")</f>
        <v/>
      </c>
      <c r="Y515">
        <f>HYPERLINK("https://klasma.github.io/Logging_0483/kartor_geotiff/A 34000-2026 georefererad karta.tif", "A 34000-2026")</f>
        <v/>
      </c>
      <c r="AA515">
        <f>HYPERLINK("https://klasma.github.io/Logging_0483/klagomål/A 34000-2026 FSC-klagomål.docx", "A 34000-2026")</f>
        <v/>
      </c>
      <c r="AB515">
        <f>HYPERLINK("https://klasma.github.io/Logging_0483/klagomålsmail/A 34000-2026 FSC-klagomål mail.docx", "A 34000-2026")</f>
        <v/>
      </c>
      <c r="AC515">
        <f>HYPERLINK("https://klasma.github.io/Logging_0483/tillsyn/A 34000-2026 tillsynsbegäran.docx", "A 34000-2026")</f>
        <v/>
      </c>
      <c r="AD515">
        <f>HYPERLINK("https://klasma.github.io/Logging_0483/tillsynsmail/A 34000-2026 tillsynsbegäran mail.docx", "A 34000-2026")</f>
        <v/>
      </c>
      <c r="AE515">
        <f>HYPERLINK("https://klasma.github.io/Logging_0483/fåglar/A 34000-2026 prioriterade fågelarter.docx", "A 34000-2026")</f>
        <v/>
      </c>
    </row>
    <row r="516" ht="15" customHeight="1">
      <c r="A516" t="inlineStr">
        <is>
          <t>A 12984-2024</t>
        </is>
      </c>
      <c r="B516" t="inlineStr">
        <is>
          <t>avverkningsanmälan</t>
        </is>
      </c>
      <c r="C516" t="inlineStr">
        <is>
          <t>Föryngringsavverkning</t>
        </is>
      </c>
      <c r="D516" s="1" t="n">
        <v>45385</v>
      </c>
      <c r="E516" s="1" t="n">
        <v>46313</v>
      </c>
      <c r="F516" t="inlineStr">
        <is>
          <t>SÖDERMANLANDS LÄN</t>
        </is>
      </c>
      <c r="G516" t="inlineStr">
        <is>
          <t>ESKILSTUNA</t>
        </is>
      </c>
      <c r="H516" t="inlineStr">
        <is>
          <t>Allmännings- och besparingsskogar</t>
        </is>
      </c>
      <c r="I516" t="n">
        <v>6.4</v>
      </c>
      <c r="J516" t="n">
        <v>1</v>
      </c>
      <c r="K516" t="n">
        <v>0</v>
      </c>
      <c r="L516" t="n">
        <v>0</v>
      </c>
      <c r="M516" t="n">
        <v>0</v>
      </c>
      <c r="N516" t="n">
        <v>0</v>
      </c>
      <c r="O516" t="n">
        <v>0</v>
      </c>
      <c r="P516" t="n">
        <v>0</v>
      </c>
      <c r="Q516" t="n">
        <v>0</v>
      </c>
      <c r="R516" t="n">
        <v>0</v>
      </c>
      <c r="S516" t="n">
        <v>1</v>
      </c>
      <c r="T516" t="n">
        <v>1</v>
      </c>
      <c r="U516" t="n">
        <v>1</v>
      </c>
      <c r="V516" s="2" t="inlineStr">
        <is>
          <t>Fläcknycklar</t>
        </is>
      </c>
      <c r="W516">
        <f>HYPERLINK("https://klasma.github.io/Logging_0484/artfynd/A 12984-2024 artfynd.xlsx", "A 12984-2024")</f>
        <v/>
      </c>
      <c r="X516">
        <f>HYPERLINK("https://klasma.github.io/Logging_0484/kartor/A 12984-2024 karta.png", "A 12984-2024")</f>
        <v/>
      </c>
      <c r="Y516">
        <f>HYPERLINK("https://klasma.github.io/Logging_0484/kartor_geotiff/A 12984-2024 georefererad karta.tif", "A 12984-2024")</f>
        <v/>
      </c>
      <c r="AA516">
        <f>HYPERLINK("https://klasma.github.io/Logging_0484/klagomål/A 12984-2024 FSC-klagomål.docx", "A 12984-2024")</f>
        <v/>
      </c>
      <c r="AB516">
        <f>HYPERLINK("https://klasma.github.io/Logging_0484/klagomålsmail/A 12984-2024 FSC-klagomål mail.docx", "A 12984-2024")</f>
        <v/>
      </c>
      <c r="AC516">
        <f>HYPERLINK("https://klasma.github.io/Logging_0484/tillsyn/A 12984-2024 tillsynsbegäran.docx", "A 12984-2024")</f>
        <v/>
      </c>
      <c r="AD516">
        <f>HYPERLINK("https://klasma.github.io/Logging_0484/tillsynsmail/A 12984-2024 tillsynsbegäran mail.docx", "A 12984-2024")</f>
        <v/>
      </c>
    </row>
    <row r="517" ht="15" customHeight="1">
      <c r="A517" t="inlineStr">
        <is>
          <t>A 72270-2021</t>
        </is>
      </c>
      <c r="B517" t="inlineStr">
        <is>
          <t>avverkningsanmälan</t>
        </is>
      </c>
      <c r="C517" t="inlineStr">
        <is>
          <t>Föryngringsavverkning</t>
        </is>
      </c>
      <c r="D517" s="1" t="n">
        <v>44545</v>
      </c>
      <c r="E517" s="1" t="n">
        <v>46313</v>
      </c>
      <c r="F517" t="inlineStr">
        <is>
          <t>SÖDERMANLANDS LÄN</t>
        </is>
      </c>
      <c r="G517" t="inlineStr">
        <is>
          <t>STRÄNGNÄS</t>
        </is>
      </c>
      <c r="H517" t="inlineStr">
        <is>
          <t>Övriga Aktiebolag</t>
        </is>
      </c>
      <c r="I517" t="n">
        <v>2.7</v>
      </c>
      <c r="J517" t="n">
        <v>1</v>
      </c>
      <c r="K517" t="n">
        <v>0</v>
      </c>
      <c r="L517" t="n">
        <v>0</v>
      </c>
      <c r="M517" t="n">
        <v>0</v>
      </c>
      <c r="N517" t="n">
        <v>0</v>
      </c>
      <c r="O517" t="n">
        <v>0</v>
      </c>
      <c r="P517" t="n">
        <v>0</v>
      </c>
      <c r="Q517" t="n">
        <v>0</v>
      </c>
      <c r="R517" t="n">
        <v>0</v>
      </c>
      <c r="S517" t="n">
        <v>1</v>
      </c>
      <c r="T517" t="n">
        <v>1</v>
      </c>
      <c r="U517" t="n">
        <v>0</v>
      </c>
      <c r="V517" s="2" t="inlineStr">
        <is>
          <t>Spillkråka</t>
        </is>
      </c>
      <c r="W517">
        <f>HYPERLINK("https://klasma.github.io/Logging_0486/artfynd/A 72270-2021 artfynd.xlsx", "A 72270-2021")</f>
        <v/>
      </c>
      <c r="X517">
        <f>HYPERLINK("https://klasma.github.io/Logging_0486/kartor/A 72270-2021 karta.png", "A 72270-2021")</f>
        <v/>
      </c>
      <c r="Y517">
        <f>HYPERLINK("https://klasma.github.io/Logging_0486/kartor_geotiff/A 72270-2021 georefererad karta.tif", "A 72270-2021")</f>
        <v/>
      </c>
      <c r="AA517">
        <f>HYPERLINK("https://klasma.github.io/Logging_0486/klagomål/A 72270-2021 FSC-klagomål.docx", "A 72270-2021")</f>
        <v/>
      </c>
      <c r="AB517">
        <f>HYPERLINK("https://klasma.github.io/Logging_0486/klagomålsmail/A 72270-2021 FSC-klagomål mail.docx", "A 72270-2021")</f>
        <v/>
      </c>
      <c r="AC517">
        <f>HYPERLINK("https://klasma.github.io/Logging_0486/tillsyn/A 72270-2021 tillsynsbegäran.docx", "A 72270-2021")</f>
        <v/>
      </c>
      <c r="AD517">
        <f>HYPERLINK("https://klasma.github.io/Logging_0486/tillsynsmail/A 72270-2021 tillsynsbegäran mail.docx", "A 72270-2021")</f>
        <v/>
      </c>
      <c r="AE517">
        <f>HYPERLINK("https://klasma.github.io/Logging_0486/fåglar/A 72270-2021 prioriterade fågelarter.docx", "A 72270-2021")</f>
        <v/>
      </c>
    </row>
    <row r="518" ht="15" customHeight="1">
      <c r="A518" t="inlineStr">
        <is>
          <t>A 11875-2023</t>
        </is>
      </c>
      <c r="B518" t="inlineStr">
        <is>
          <t>avverkningsanmälan</t>
        </is>
      </c>
      <c r="C518" t="inlineStr">
        <is>
          <t>Föryngringsavverkning</t>
        </is>
      </c>
      <c r="D518" s="1" t="n">
        <v>44995</v>
      </c>
      <c r="E518" s="1" t="n">
        <v>46313</v>
      </c>
      <c r="F518" t="inlineStr">
        <is>
          <t>SÖDERMANLANDS LÄN</t>
        </is>
      </c>
      <c r="G518" t="inlineStr">
        <is>
          <t>KATRINEHOLM</t>
        </is>
      </c>
      <c r="H518" t="inlineStr">
        <is>
          <t>Kommuner</t>
        </is>
      </c>
      <c r="I518" t="n">
        <v>1.1</v>
      </c>
      <c r="J518" t="n">
        <v>0</v>
      </c>
      <c r="K518" t="n">
        <v>0</v>
      </c>
      <c r="L518" t="n">
        <v>1</v>
      </c>
      <c r="M518" t="n">
        <v>0</v>
      </c>
      <c r="N518" t="n">
        <v>0</v>
      </c>
      <c r="O518" t="n">
        <v>0</v>
      </c>
      <c r="P518" t="n">
        <v>0</v>
      </c>
      <c r="Q518" t="n">
        <v>1</v>
      </c>
      <c r="R518" t="n">
        <v>0</v>
      </c>
      <c r="S518" t="n">
        <v>1</v>
      </c>
      <c r="T518" t="n">
        <v>1</v>
      </c>
      <c r="U518" t="n">
        <v>0</v>
      </c>
      <c r="V518" s="2" t="inlineStr">
        <is>
          <t>Slåtterfibbla</t>
        </is>
      </c>
      <c r="W518">
        <f>HYPERLINK("https://klasma.github.io/Logging_0483/artfynd/A 11875-2023 artfynd.xlsx", "A 11875-2023")</f>
        <v/>
      </c>
      <c r="X518">
        <f>HYPERLINK("https://klasma.github.io/Logging_0483/kartor/A 11875-2023 karta.png", "A 11875-2023")</f>
        <v/>
      </c>
      <c r="Y518">
        <f>HYPERLINK("https://klasma.github.io/Logging_0483/kartor_geotiff/A 11875-2023 georefererad karta.tif", "A 11875-2023")</f>
        <v/>
      </c>
      <c r="AA518">
        <f>HYPERLINK("https://klasma.github.io/Logging_0483/klagomål/A 11875-2023 FSC-klagomål.docx", "A 11875-2023")</f>
        <v/>
      </c>
      <c r="AB518">
        <f>HYPERLINK("https://klasma.github.io/Logging_0483/klagomålsmail/A 11875-2023 FSC-klagomål mail.docx", "A 11875-2023")</f>
        <v/>
      </c>
      <c r="AC518">
        <f>HYPERLINK("https://klasma.github.io/Logging_0483/tillsyn/A 11875-2023 tillsynsbegäran.docx", "A 11875-2023")</f>
        <v/>
      </c>
      <c r="AD518">
        <f>HYPERLINK("https://klasma.github.io/Logging_0483/tillsynsmail/A 11875-2023 tillsynsbegäran mail.docx", "A 11875-2023")</f>
        <v/>
      </c>
    </row>
    <row r="519" ht="15" customHeight="1">
      <c r="A519" t="inlineStr">
        <is>
          <t>A 8018-2023</t>
        </is>
      </c>
      <c r="B519" t="inlineStr">
        <is>
          <t>avverkningsanmälan</t>
        </is>
      </c>
      <c r="C519" t="inlineStr">
        <is>
          <t>Föryngringsavverkning</t>
        </is>
      </c>
      <c r="D519" s="1" t="n">
        <v>44973</v>
      </c>
      <c r="E519" s="1" t="n">
        <v>46313</v>
      </c>
      <c r="F519" t="inlineStr">
        <is>
          <t>SÖDERMANLANDS LÄN</t>
        </is>
      </c>
      <c r="G519" t="inlineStr">
        <is>
          <t>GNESTA</t>
        </is>
      </c>
      <c r="I519" t="n">
        <v>3.6</v>
      </c>
      <c r="J519" t="n">
        <v>0</v>
      </c>
      <c r="K519" t="n">
        <v>1</v>
      </c>
      <c r="L519" t="n">
        <v>0</v>
      </c>
      <c r="M519" t="n">
        <v>0</v>
      </c>
      <c r="N519" t="n">
        <v>0</v>
      </c>
      <c r="O519" t="n">
        <v>0</v>
      </c>
      <c r="P519" t="n">
        <v>0</v>
      </c>
      <c r="Q519" t="n">
        <v>0</v>
      </c>
      <c r="R519" t="n">
        <v>0</v>
      </c>
      <c r="S519" t="n">
        <v>1</v>
      </c>
      <c r="T519" t="n">
        <v>1</v>
      </c>
      <c r="U519" t="n">
        <v>0</v>
      </c>
      <c r="V519" s="2" t="inlineStr">
        <is>
          <t>Rävticka</t>
        </is>
      </c>
      <c r="W519">
        <f>HYPERLINK("https://klasma.github.io/Logging_0461/artfynd/A 8018-2023 artfynd.xlsx", "A 8018-2023")</f>
        <v/>
      </c>
      <c r="X519">
        <f>HYPERLINK("https://klasma.github.io/Logging_0461/kartor/A 8018-2023 karta.png", "A 8018-2023")</f>
        <v/>
      </c>
      <c r="Y519">
        <f>HYPERLINK("https://klasma.github.io/Logging_0461/kartor_geotiff/A 8018-2023 georefererad karta.tif", "A 8018-2023")</f>
        <v/>
      </c>
      <c r="AA519">
        <f>HYPERLINK("https://klasma.github.io/Logging_0461/klagomål/A 8018-2023 FSC-klagomål.docx", "A 8018-2023")</f>
        <v/>
      </c>
      <c r="AB519">
        <f>HYPERLINK("https://klasma.github.io/Logging_0461/klagomålsmail/A 8018-2023 FSC-klagomål mail.docx", "A 8018-2023")</f>
        <v/>
      </c>
      <c r="AC519">
        <f>HYPERLINK("https://klasma.github.io/Logging_0461/tillsyn/A 8018-2023 tillsynsbegäran.docx", "A 8018-2023")</f>
        <v/>
      </c>
      <c r="AD519">
        <f>HYPERLINK("https://klasma.github.io/Logging_0461/tillsynsmail/A 8018-2023 tillsynsbegäran mail.docx", "A 8018-2023")</f>
        <v/>
      </c>
    </row>
    <row r="520" ht="15" customHeight="1">
      <c r="A520" t="inlineStr">
        <is>
          <t>A 6808-2023</t>
        </is>
      </c>
      <c r="B520" t="inlineStr">
        <is>
          <t>avverkningsanmälan</t>
        </is>
      </c>
      <c r="C520" t="inlineStr">
        <is>
          <t>Föryngringsavverkning</t>
        </is>
      </c>
      <c r="D520" s="1" t="n">
        <v>44964</v>
      </c>
      <c r="E520" s="1" t="n">
        <v>46313</v>
      </c>
      <c r="F520" t="inlineStr">
        <is>
          <t>SÖDERMANLANDS LÄN</t>
        </is>
      </c>
      <c r="G520" t="inlineStr">
        <is>
          <t>KATRINEHOLM</t>
        </is>
      </c>
      <c r="I520" t="n">
        <v>1.5</v>
      </c>
      <c r="J520" t="n">
        <v>1</v>
      </c>
      <c r="K520" t="n">
        <v>0</v>
      </c>
      <c r="L520" t="n">
        <v>1</v>
      </c>
      <c r="M520" t="n">
        <v>0</v>
      </c>
      <c r="N520" t="n">
        <v>0</v>
      </c>
      <c r="O520" t="n">
        <v>0</v>
      </c>
      <c r="P520" t="n">
        <v>0</v>
      </c>
      <c r="Q520" t="n">
        <v>1</v>
      </c>
      <c r="R520" t="n">
        <v>0</v>
      </c>
      <c r="S520" t="n">
        <v>1</v>
      </c>
      <c r="T520" t="n">
        <v>1</v>
      </c>
      <c r="U520" t="n">
        <v>0</v>
      </c>
      <c r="V520" s="2" t="inlineStr">
        <is>
          <t>Grönsångare</t>
        </is>
      </c>
      <c r="W520">
        <f>HYPERLINK("https://klasma.github.io/Logging_0483/artfynd/A 6808-2023 artfynd.xlsx", "A 6808-2023")</f>
        <v/>
      </c>
      <c r="X520">
        <f>HYPERLINK("https://klasma.github.io/Logging_0483/kartor/A 6808-2023 karta.png", "A 6808-2023")</f>
        <v/>
      </c>
      <c r="Y520">
        <f>HYPERLINK("https://klasma.github.io/Logging_0483/kartor_geotiff/A 6808-2023 georefererad karta.tif", "A 6808-2023")</f>
        <v/>
      </c>
      <c r="AA520">
        <f>HYPERLINK("https://klasma.github.io/Logging_0483/klagomål/A 6808-2023 FSC-klagomål.docx", "A 6808-2023")</f>
        <v/>
      </c>
      <c r="AB520">
        <f>HYPERLINK("https://klasma.github.io/Logging_0483/klagomålsmail/A 6808-2023 FSC-klagomål mail.docx", "A 6808-2023")</f>
        <v/>
      </c>
      <c r="AC520">
        <f>HYPERLINK("https://klasma.github.io/Logging_0483/tillsyn/A 6808-2023 tillsynsbegäran.docx", "A 6808-2023")</f>
        <v/>
      </c>
      <c r="AD520">
        <f>HYPERLINK("https://klasma.github.io/Logging_0483/tillsynsmail/A 6808-2023 tillsynsbegäran mail.docx", "A 6808-2023")</f>
        <v/>
      </c>
      <c r="AE520">
        <f>HYPERLINK("https://klasma.github.io/Logging_0483/fåglar/A 6808-2023 prioriterade fågelarter.docx", "A 6808-2023")</f>
        <v/>
      </c>
    </row>
    <row r="521" ht="15" customHeight="1">
      <c r="A521" t="inlineStr">
        <is>
          <t>A 40333-2026</t>
        </is>
      </c>
      <c r="B521" t="inlineStr">
        <is>
          <t>avverkningsanmälan</t>
        </is>
      </c>
      <c r="C521" t="inlineStr">
        <is>
          <t>Föryngringsavverkning</t>
        </is>
      </c>
      <c r="D521" s="1" t="n">
        <v>46294</v>
      </c>
      <c r="E521" s="1" t="n">
        <v>46313</v>
      </c>
      <c r="F521" t="inlineStr">
        <is>
          <t>SÖDERMANLANDS LÄN</t>
        </is>
      </c>
      <c r="G521" t="inlineStr">
        <is>
          <t>FLEN</t>
        </is>
      </c>
      <c r="I521" t="n">
        <v>1.3</v>
      </c>
      <c r="J521" t="n">
        <v>1</v>
      </c>
      <c r="K521" t="n">
        <v>0</v>
      </c>
      <c r="L521" t="n">
        <v>0</v>
      </c>
      <c r="M521" t="n">
        <v>0</v>
      </c>
      <c r="N521" t="n">
        <v>0</v>
      </c>
      <c r="O521" t="n">
        <v>0</v>
      </c>
      <c r="P521" t="n">
        <v>0</v>
      </c>
      <c r="Q521" t="n">
        <v>0</v>
      </c>
      <c r="R521" t="n">
        <v>0</v>
      </c>
      <c r="S521" t="n">
        <v>1</v>
      </c>
      <c r="T521" t="n">
        <v>1</v>
      </c>
      <c r="U521" t="n">
        <v>0</v>
      </c>
      <c r="V521" s="2" t="inlineStr">
        <is>
          <t>Gullviva</t>
        </is>
      </c>
      <c r="W521">
        <f>HYPERLINK("https://klasma.github.io/Logging_0482/artfynd/A 40333-2026 artfynd.xlsx", "A 40333-2026")</f>
        <v/>
      </c>
      <c r="X521">
        <f>HYPERLINK("https://klasma.github.io/Logging_0482/kartor/A 40333-2026 karta.png", "A 40333-2026")</f>
        <v/>
      </c>
      <c r="Y521">
        <f>HYPERLINK("https://klasma.github.io/Logging_0482/kartor_geotiff/A 40333-2026 georefererad karta.tif", "A 40333-2026")</f>
        <v/>
      </c>
      <c r="AA521">
        <f>HYPERLINK("https://klasma.github.io/Logging_0482/klagomål/A 40333-2026 FSC-klagomål.docx", "A 40333-2026")</f>
        <v/>
      </c>
      <c r="AB521">
        <f>HYPERLINK("https://klasma.github.io/Logging_0482/klagomålsmail/A 40333-2026 FSC-klagomål mail.docx", "A 40333-2026")</f>
        <v/>
      </c>
      <c r="AC521">
        <f>HYPERLINK("https://klasma.github.io/Logging_0482/tillsyn/A 40333-2026 tillsynsbegäran.docx", "A 40333-2026")</f>
        <v/>
      </c>
      <c r="AD521">
        <f>HYPERLINK("https://klasma.github.io/Logging_0482/tillsynsmail/A 40333-2026 tillsynsbegäran mail.docx", "A 40333-2026")</f>
        <v/>
      </c>
    </row>
    <row r="522" ht="15" customHeight="1">
      <c r="A522" t="inlineStr">
        <is>
          <t>A 40494-2026</t>
        </is>
      </c>
      <c r="B522" t="inlineStr">
        <is>
          <t>avverkningsanmälan</t>
        </is>
      </c>
      <c r="C522" t="inlineStr">
        <is>
          <t>Föryngringsavverkning</t>
        </is>
      </c>
      <c r="D522" s="1" t="n">
        <v>46295</v>
      </c>
      <c r="E522" s="1" t="n">
        <v>46313</v>
      </c>
      <c r="F522" t="inlineStr">
        <is>
          <t>SÖDERMANLANDS LÄN</t>
        </is>
      </c>
      <c r="G522" t="inlineStr">
        <is>
          <t>NYKÖPING</t>
        </is>
      </c>
      <c r="I522" t="n">
        <v>5.1</v>
      </c>
      <c r="J522" t="n">
        <v>0</v>
      </c>
      <c r="K522" t="n">
        <v>0</v>
      </c>
      <c r="L522" t="n">
        <v>1</v>
      </c>
      <c r="M522" t="n">
        <v>0</v>
      </c>
      <c r="N522" t="n">
        <v>0</v>
      </c>
      <c r="O522" t="n">
        <v>0</v>
      </c>
      <c r="P522" t="n">
        <v>0</v>
      </c>
      <c r="Q522" t="n">
        <v>1</v>
      </c>
      <c r="R522" t="n">
        <v>0</v>
      </c>
      <c r="S522" t="n">
        <v>1</v>
      </c>
      <c r="T522" t="n">
        <v>1</v>
      </c>
      <c r="U522" t="n">
        <v>0</v>
      </c>
      <c r="V522" s="2" t="inlineStr">
        <is>
          <t>Svart skogssnigel</t>
        </is>
      </c>
      <c r="W522">
        <f>HYPERLINK("https://klasma.github.io/Logging_0480/artfynd/A 40494-2026 artfynd.xlsx", "A 40494-2026")</f>
        <v/>
      </c>
      <c r="X522">
        <f>HYPERLINK("https://klasma.github.io/Logging_0480/kartor/A 40494-2026 karta.png", "A 40494-2026")</f>
        <v/>
      </c>
      <c r="Y522">
        <f>HYPERLINK("https://klasma.github.io/Logging_0480/kartor_geotiff/A 40494-2026 georefererad karta.tif", "A 40494-2026")</f>
        <v/>
      </c>
      <c r="AA522">
        <f>HYPERLINK("https://klasma.github.io/Logging_0480/klagomål/A 40494-2026 FSC-klagomål.docx", "A 40494-2026")</f>
        <v/>
      </c>
      <c r="AB522">
        <f>HYPERLINK("https://klasma.github.io/Logging_0480/klagomålsmail/A 40494-2026 FSC-klagomål mail.docx", "A 40494-2026")</f>
        <v/>
      </c>
      <c r="AC522">
        <f>HYPERLINK("https://klasma.github.io/Logging_0480/tillsyn/A 40494-2026 tillsynsbegäran.docx", "A 40494-2026")</f>
        <v/>
      </c>
      <c r="AD522">
        <f>HYPERLINK("https://klasma.github.io/Logging_0480/tillsynsmail/A 40494-2026 tillsynsbegäran mail.docx", "A 40494-2026")</f>
        <v/>
      </c>
    </row>
    <row r="523" ht="15" customHeight="1">
      <c r="A523" t="inlineStr">
        <is>
          <t>A 6395-2023</t>
        </is>
      </c>
      <c r="B523" t="inlineStr">
        <is>
          <t>avverkningsanmälan</t>
        </is>
      </c>
      <c r="C523" t="inlineStr">
        <is>
          <t>Föryngringsavverkning</t>
        </is>
      </c>
      <c r="D523" s="1" t="n">
        <v>44965</v>
      </c>
      <c r="E523" s="1" t="n">
        <v>46313</v>
      </c>
      <c r="F523" t="inlineStr">
        <is>
          <t>SÖDERMANLANDS LÄN</t>
        </is>
      </c>
      <c r="G523" t="inlineStr">
        <is>
          <t>GNESTA</t>
        </is>
      </c>
      <c r="I523" t="n">
        <v>5.1</v>
      </c>
      <c r="J523" t="n">
        <v>0</v>
      </c>
      <c r="K523" t="n">
        <v>0</v>
      </c>
      <c r="L523" t="n">
        <v>1</v>
      </c>
      <c r="M523" t="n">
        <v>0</v>
      </c>
      <c r="N523" t="n">
        <v>0</v>
      </c>
      <c r="O523" t="n">
        <v>0</v>
      </c>
      <c r="P523" t="n">
        <v>0</v>
      </c>
      <c r="Q523" t="n">
        <v>1</v>
      </c>
      <c r="R523" t="n">
        <v>0</v>
      </c>
      <c r="S523" t="n">
        <v>1</v>
      </c>
      <c r="T523" t="n">
        <v>1</v>
      </c>
      <c r="U523" t="n">
        <v>0</v>
      </c>
      <c r="V523" s="2" t="inlineStr">
        <is>
          <t>Svinrot</t>
        </is>
      </c>
      <c r="W523">
        <f>HYPERLINK("https://klasma.github.io/Logging_0461/artfynd/A 6395-2023 artfynd.xlsx", "A 6395-2023")</f>
        <v/>
      </c>
      <c r="X523">
        <f>HYPERLINK("https://klasma.github.io/Logging_0461/kartor/A 6395-2023 karta.png", "A 6395-2023")</f>
        <v/>
      </c>
      <c r="Y523">
        <f>HYPERLINK("https://klasma.github.io/Logging_0461/kartor_geotiff/A 6395-2023 georefererad karta.tif", "A 6395-2023")</f>
        <v/>
      </c>
      <c r="AA523">
        <f>HYPERLINK("https://klasma.github.io/Logging_0461/klagomål/A 6395-2023 FSC-klagomål.docx", "A 6395-2023")</f>
        <v/>
      </c>
      <c r="AB523">
        <f>HYPERLINK("https://klasma.github.io/Logging_0461/klagomålsmail/A 6395-2023 FSC-klagomål mail.docx", "A 6395-2023")</f>
        <v/>
      </c>
      <c r="AC523">
        <f>HYPERLINK("https://klasma.github.io/Logging_0461/tillsyn/A 6395-2023 tillsynsbegäran.docx", "A 6395-2023")</f>
        <v/>
      </c>
      <c r="AD523">
        <f>HYPERLINK("https://klasma.github.io/Logging_0461/tillsynsmail/A 6395-2023 tillsynsbegäran mail.docx", "A 6395-2023")</f>
        <v/>
      </c>
    </row>
    <row r="524" ht="15" customHeight="1">
      <c r="A524" t="inlineStr">
        <is>
          <t>A 30975-2023</t>
        </is>
      </c>
      <c r="B524" t="inlineStr">
        <is>
          <t>avverkningsanmälan</t>
        </is>
      </c>
      <c r="C524" t="inlineStr">
        <is>
          <t>Föryngringsavverkning</t>
        </is>
      </c>
      <c r="D524" s="1" t="n">
        <v>45103</v>
      </c>
      <c r="E524" s="1" t="n">
        <v>46313</v>
      </c>
      <c r="F524" t="inlineStr">
        <is>
          <t>SÖDERMANLANDS LÄN</t>
        </is>
      </c>
      <c r="G524" t="inlineStr">
        <is>
          <t>ESKILSTUNA</t>
        </is>
      </c>
      <c r="I524" t="n">
        <v>0.9</v>
      </c>
      <c r="J524" t="n">
        <v>1</v>
      </c>
      <c r="K524" t="n">
        <v>0</v>
      </c>
      <c r="L524" t="n">
        <v>0</v>
      </c>
      <c r="M524" t="n">
        <v>0</v>
      </c>
      <c r="N524" t="n">
        <v>1</v>
      </c>
      <c r="O524" t="n">
        <v>0</v>
      </c>
      <c r="P524" t="n">
        <v>0</v>
      </c>
      <c r="Q524" t="n">
        <v>1</v>
      </c>
      <c r="R524" t="n">
        <v>1</v>
      </c>
      <c r="S524" t="n">
        <v>1</v>
      </c>
      <c r="T524" t="n">
        <v>1</v>
      </c>
      <c r="U524" t="n">
        <v>1</v>
      </c>
      <c r="V524" s="2" t="inlineStr">
        <is>
          <t>Bombmurkla</t>
        </is>
      </c>
      <c r="W524">
        <f>HYPERLINK("https://klasma.github.io/Logging_0484/artfynd/A 30975-2023 artfynd.xlsx", "A 30975-2023")</f>
        <v/>
      </c>
      <c r="X524">
        <f>HYPERLINK("https://klasma.github.io/Logging_0484/kartor/A 30975-2023 karta.png", "A 30975-2023")</f>
        <v/>
      </c>
      <c r="Y524">
        <f>HYPERLINK("https://klasma.github.io/Logging_0484/kartor_geotiff/A 30975-2023 georefererad karta.tif", "A 30975-2023")</f>
        <v/>
      </c>
      <c r="AA524">
        <f>HYPERLINK("https://klasma.github.io/Logging_0484/klagomål/A 30975-2023 FSC-klagomål.docx", "A 30975-2023")</f>
        <v/>
      </c>
      <c r="AB524">
        <f>HYPERLINK("https://klasma.github.io/Logging_0484/klagomålsmail/A 30975-2023 FSC-klagomål mail.docx", "A 30975-2023")</f>
        <v/>
      </c>
      <c r="AC524">
        <f>HYPERLINK("https://klasma.github.io/Logging_0484/tillsyn/A 30975-2023 tillsynsbegäran.docx", "A 30975-2023")</f>
        <v/>
      </c>
      <c r="AD524">
        <f>HYPERLINK("https://klasma.github.io/Logging_0484/tillsynsmail/A 30975-2023 tillsynsbegäran mail.docx", "A 30975-2023")</f>
        <v/>
      </c>
    </row>
    <row r="525" ht="15" customHeight="1">
      <c r="A525" t="inlineStr">
        <is>
          <t>A 40925-2026</t>
        </is>
      </c>
      <c r="B525" t="inlineStr">
        <is>
          <t>avverkningsanmälan</t>
        </is>
      </c>
      <c r="C525" t="inlineStr">
        <is>
          <t>Avverkning för att bevara och utveckla /försöksver</t>
        </is>
      </c>
      <c r="D525" s="1" t="n">
        <v>46297</v>
      </c>
      <c r="E525" s="1" t="n">
        <v>46313</v>
      </c>
      <c r="F525" t="inlineStr">
        <is>
          <t>SÖDERMANLANDS LÄN</t>
        </is>
      </c>
      <c r="G525" t="inlineStr">
        <is>
          <t>KATRINEHOLM</t>
        </is>
      </c>
      <c r="I525" t="n">
        <v>3.4</v>
      </c>
      <c r="J525" t="n">
        <v>0</v>
      </c>
      <c r="K525" t="n">
        <v>0</v>
      </c>
      <c r="L525" t="n">
        <v>1</v>
      </c>
      <c r="M525" t="n">
        <v>0</v>
      </c>
      <c r="N525" t="n">
        <v>0</v>
      </c>
      <c r="O525" t="n">
        <v>0</v>
      </c>
      <c r="P525" t="n">
        <v>0</v>
      </c>
      <c r="Q525" t="n">
        <v>1</v>
      </c>
      <c r="R525" t="n">
        <v>0</v>
      </c>
      <c r="S525" t="n">
        <v>1</v>
      </c>
      <c r="T525" t="n">
        <v>1</v>
      </c>
      <c r="U525" t="n">
        <v>1</v>
      </c>
      <c r="V525" s="2" t="inlineStr">
        <is>
          <t>Ullticka</t>
        </is>
      </c>
      <c r="W525">
        <f>HYPERLINK("https://klasma.github.io/Logging_0483/artfynd/A 40925-2026 artfynd.xlsx", "A 40925-2026")</f>
        <v/>
      </c>
      <c r="X525">
        <f>HYPERLINK("https://klasma.github.io/Logging_0483/kartor/A 40925-2026 karta.png", "A 40925-2026")</f>
        <v/>
      </c>
      <c r="Y525">
        <f>HYPERLINK("https://klasma.github.io/Logging_0483/kartor_geotiff/A 40925-2026 georefererad karta.tif", "A 40925-2026")</f>
        <v/>
      </c>
      <c r="AA525">
        <f>HYPERLINK("https://klasma.github.io/Logging_0483/klagomål/A 40925-2026 FSC-klagomål.docx", "A 40925-2026")</f>
        <v/>
      </c>
      <c r="AB525">
        <f>HYPERLINK("https://klasma.github.io/Logging_0483/klagomålsmail/A 40925-2026 FSC-klagomål mail.docx", "A 40925-2026")</f>
        <v/>
      </c>
      <c r="AC525">
        <f>HYPERLINK("https://klasma.github.io/Logging_0483/tillsyn/A 40925-2026 tillsynsbegäran.docx", "A 40925-2026")</f>
        <v/>
      </c>
      <c r="AD525">
        <f>HYPERLINK("https://klasma.github.io/Logging_0483/tillsynsmail/A 40925-2026 tillsynsbegäran mail.docx", "A 40925-2026")</f>
        <v/>
      </c>
    </row>
    <row r="526" ht="15" customHeight="1">
      <c r="A526" t="inlineStr">
        <is>
          <t>A 1091-2025</t>
        </is>
      </c>
      <c r="B526" t="inlineStr">
        <is>
          <t>avverkningsanmälan</t>
        </is>
      </c>
      <c r="C526" t="inlineStr">
        <is>
          <t>Föryngringsavverkning</t>
        </is>
      </c>
      <c r="D526" s="1" t="n">
        <v>45666</v>
      </c>
      <c r="E526" s="1" t="n">
        <v>46313</v>
      </c>
      <c r="F526" t="inlineStr">
        <is>
          <t>SÖDERMANLANDS LÄN</t>
        </is>
      </c>
      <c r="G526" t="inlineStr">
        <is>
          <t>KATRINEHOLM</t>
        </is>
      </c>
      <c r="H526" t="inlineStr">
        <is>
          <t>Övriga Aktiebolag</t>
        </is>
      </c>
      <c r="I526" t="n">
        <v>0.8</v>
      </c>
      <c r="J526" t="n">
        <v>0</v>
      </c>
      <c r="K526" t="n">
        <v>0</v>
      </c>
      <c r="L526" t="n">
        <v>1</v>
      </c>
      <c r="M526" t="n">
        <v>0</v>
      </c>
      <c r="N526" t="n">
        <v>0</v>
      </c>
      <c r="O526" t="n">
        <v>0</v>
      </c>
      <c r="P526" t="n">
        <v>0</v>
      </c>
      <c r="Q526" t="n">
        <v>1</v>
      </c>
      <c r="R526" t="n">
        <v>0</v>
      </c>
      <c r="S526" t="n">
        <v>1</v>
      </c>
      <c r="T526" t="n">
        <v>1</v>
      </c>
      <c r="U526" t="n">
        <v>0</v>
      </c>
      <c r="V526" s="2" t="inlineStr">
        <is>
          <t>Fjällig taggsvamp s.str.</t>
        </is>
      </c>
      <c r="W526">
        <f>HYPERLINK("https://klasma.github.io/Logging_0483/artfynd/A 1091-2025 artfynd.xlsx", "A 1091-2025")</f>
        <v/>
      </c>
      <c r="X526">
        <f>HYPERLINK("https://klasma.github.io/Logging_0483/kartor/A 1091-2025 karta.png", "A 1091-2025")</f>
        <v/>
      </c>
      <c r="Y526">
        <f>HYPERLINK("https://klasma.github.io/Logging_0483/kartor_geotiff/A 1091-2025 georefererad karta.tif", "A 1091-2025")</f>
        <v/>
      </c>
      <c r="AA526">
        <f>HYPERLINK("https://klasma.github.io/Logging_0483/klagomål/A 1091-2025 FSC-klagomål.docx", "A 1091-2025")</f>
        <v/>
      </c>
      <c r="AB526">
        <f>HYPERLINK("https://klasma.github.io/Logging_0483/klagomålsmail/A 1091-2025 FSC-klagomål mail.docx", "A 1091-2025")</f>
        <v/>
      </c>
      <c r="AC526">
        <f>HYPERLINK("https://klasma.github.io/Logging_0483/tillsyn/A 1091-2025 tillsynsbegäran.docx", "A 1091-2025")</f>
        <v/>
      </c>
      <c r="AD526">
        <f>HYPERLINK("https://klasma.github.io/Logging_0483/tillsynsmail/A 1091-2025 tillsynsbegäran mail.docx", "A 1091-2025")</f>
        <v/>
      </c>
    </row>
    <row r="527" ht="15" customHeight="1">
      <c r="A527" t="inlineStr">
        <is>
          <t>A 52355-2023</t>
        </is>
      </c>
      <c r="B527" t="inlineStr">
        <is>
          <t>avverkningsanmälan</t>
        </is>
      </c>
      <c r="C527" t="inlineStr">
        <is>
          <t>Föryngringsavverkning</t>
        </is>
      </c>
      <c r="D527" s="1" t="n">
        <v>45224</v>
      </c>
      <c r="E527" s="1" t="n">
        <v>46313</v>
      </c>
      <c r="F527" t="inlineStr">
        <is>
          <t>SÖDERMANLANDS LÄN</t>
        </is>
      </c>
      <c r="G527" t="inlineStr">
        <is>
          <t>STRÄNGNÄS</t>
        </is>
      </c>
      <c r="I527" t="n">
        <v>2.2</v>
      </c>
      <c r="J527" t="n">
        <v>0</v>
      </c>
      <c r="K527" t="n">
        <v>0</v>
      </c>
      <c r="L527" t="n">
        <v>0</v>
      </c>
      <c r="M527" t="n">
        <v>0</v>
      </c>
      <c r="N527" t="n">
        <v>1</v>
      </c>
      <c r="O527" t="n">
        <v>0</v>
      </c>
      <c r="P527" t="n">
        <v>0</v>
      </c>
      <c r="Q527" t="n">
        <v>1</v>
      </c>
      <c r="R527" t="n">
        <v>1</v>
      </c>
      <c r="S527" t="n">
        <v>1</v>
      </c>
      <c r="T527" t="n">
        <v>1</v>
      </c>
      <c r="U527" t="n">
        <v>0</v>
      </c>
      <c r="V527" s="2" t="inlineStr">
        <is>
          <t>Ask</t>
        </is>
      </c>
      <c r="W527">
        <f>HYPERLINK("https://klasma.github.io/Logging_0486/artfynd/A 52355-2023 artfynd.xlsx", "A 52355-2023")</f>
        <v/>
      </c>
      <c r="X527">
        <f>HYPERLINK("https://klasma.github.io/Logging_0486/kartor/A 52355-2023 karta.png", "A 52355-2023")</f>
        <v/>
      </c>
      <c r="Y527">
        <f>HYPERLINK("https://klasma.github.io/Logging_0486/kartor_geotiff/A 52355-2023 georefererad karta.tif", "A 52355-2023")</f>
        <v/>
      </c>
      <c r="AA527">
        <f>HYPERLINK("https://klasma.github.io/Logging_0486/klagomål/A 52355-2023 FSC-klagomål.docx", "A 52355-2023")</f>
        <v/>
      </c>
      <c r="AB527">
        <f>HYPERLINK("https://klasma.github.io/Logging_0486/klagomålsmail/A 52355-2023 FSC-klagomål mail.docx", "A 52355-2023")</f>
        <v/>
      </c>
      <c r="AC527">
        <f>HYPERLINK("https://klasma.github.io/Logging_0486/tillsyn/A 52355-2023 tillsynsbegäran.docx", "A 52355-2023")</f>
        <v/>
      </c>
      <c r="AD527">
        <f>HYPERLINK("https://klasma.github.io/Logging_0486/tillsynsmail/A 52355-2023 tillsynsbegäran mail.docx", "A 52355-2023")</f>
        <v/>
      </c>
    </row>
    <row r="528" ht="15" customHeight="1">
      <c r="A528" t="inlineStr">
        <is>
          <t>A 2512-2025</t>
        </is>
      </c>
      <c r="B528" t="inlineStr">
        <is>
          <t>avverkningsanmälan</t>
        </is>
      </c>
      <c r="C528" t="inlineStr">
        <is>
          <t>Föryngringsavverkning</t>
        </is>
      </c>
      <c r="D528" s="1" t="n">
        <v>45674</v>
      </c>
      <c r="E528" s="1" t="n">
        <v>46313</v>
      </c>
      <c r="F528" t="inlineStr">
        <is>
          <t>SÖDERMANLANDS LÄN</t>
        </is>
      </c>
      <c r="G528" t="inlineStr">
        <is>
          <t>ESKILSTUNA</t>
        </is>
      </c>
      <c r="I528" t="n">
        <v>3.9</v>
      </c>
      <c r="J528" t="n">
        <v>0</v>
      </c>
      <c r="K528" t="n">
        <v>1</v>
      </c>
      <c r="L528" t="n">
        <v>0</v>
      </c>
      <c r="M528" t="n">
        <v>0</v>
      </c>
      <c r="N528" t="n">
        <v>0</v>
      </c>
      <c r="O528" t="n">
        <v>0</v>
      </c>
      <c r="P528" t="n">
        <v>0</v>
      </c>
      <c r="Q528" t="n">
        <v>0</v>
      </c>
      <c r="R528" t="n">
        <v>0</v>
      </c>
      <c r="S528" t="n">
        <v>1</v>
      </c>
      <c r="T528" t="n">
        <v>1</v>
      </c>
      <c r="U528" t="n">
        <v>0</v>
      </c>
      <c r="V528" s="2" t="inlineStr">
        <is>
          <t>Svart trolldruva</t>
        </is>
      </c>
      <c r="W528">
        <f>HYPERLINK("https://klasma.github.io/Logging_0484/artfynd/A 2512-2025 artfynd.xlsx", "A 2512-2025")</f>
        <v/>
      </c>
      <c r="X528">
        <f>HYPERLINK("https://klasma.github.io/Logging_0484/kartor/A 2512-2025 karta.png", "A 2512-2025")</f>
        <v/>
      </c>
      <c r="Y528">
        <f>HYPERLINK("https://klasma.github.io/Logging_0484/kartor_geotiff/A 2512-2025 georefererad karta.tif", "A 2512-2025")</f>
        <v/>
      </c>
      <c r="AA528">
        <f>HYPERLINK("https://klasma.github.io/Logging_0484/klagomål/A 2512-2025 FSC-klagomål.docx", "A 2512-2025")</f>
        <v/>
      </c>
      <c r="AB528">
        <f>HYPERLINK("https://klasma.github.io/Logging_0484/klagomålsmail/A 2512-2025 FSC-klagomål mail.docx", "A 2512-2025")</f>
        <v/>
      </c>
      <c r="AC528">
        <f>HYPERLINK("https://klasma.github.io/Logging_0484/tillsyn/A 2512-2025 tillsynsbegäran.docx", "A 2512-2025")</f>
        <v/>
      </c>
      <c r="AD528">
        <f>HYPERLINK("https://klasma.github.io/Logging_0484/tillsynsmail/A 2512-2025 tillsynsbegäran mail.docx", "A 2512-2025")</f>
        <v/>
      </c>
    </row>
    <row r="529" ht="15" customHeight="1">
      <c r="A529" t="inlineStr">
        <is>
          <t>A 46115-2023</t>
        </is>
      </c>
      <c r="B529" t="inlineStr">
        <is>
          <t>avverkningsanmälan</t>
        </is>
      </c>
      <c r="C529" t="inlineStr">
        <is>
          <t>Föryngringsavverkning</t>
        </is>
      </c>
      <c r="D529" s="1" t="n">
        <v>45196</v>
      </c>
      <c r="E529" s="1" t="n">
        <v>46313</v>
      </c>
      <c r="F529" t="inlineStr">
        <is>
          <t>SÖDERMANLANDS LÄN</t>
        </is>
      </c>
      <c r="G529" t="inlineStr">
        <is>
          <t>FLEN</t>
        </is>
      </c>
      <c r="H529" t="inlineStr">
        <is>
          <t>Kyrkan</t>
        </is>
      </c>
      <c r="I529" t="n">
        <v>3.3</v>
      </c>
      <c r="J529" t="n">
        <v>0</v>
      </c>
      <c r="K529" t="n">
        <v>0</v>
      </c>
      <c r="L529" t="n">
        <v>1</v>
      </c>
      <c r="M529" t="n">
        <v>0</v>
      </c>
      <c r="N529" t="n">
        <v>0</v>
      </c>
      <c r="O529" t="n">
        <v>0</v>
      </c>
      <c r="P529" t="n">
        <v>0</v>
      </c>
      <c r="Q529" t="n">
        <v>1</v>
      </c>
      <c r="R529" t="n">
        <v>0</v>
      </c>
      <c r="S529" t="n">
        <v>1</v>
      </c>
      <c r="T529" t="n">
        <v>1</v>
      </c>
      <c r="U529" t="n">
        <v>1</v>
      </c>
      <c r="V529" s="2" t="inlineStr">
        <is>
          <t>Ullticka</t>
        </is>
      </c>
      <c r="W529">
        <f>HYPERLINK("https://klasma.github.io/Logging_0482/artfynd/A 46115-2023 artfynd.xlsx", "A 46115-2023")</f>
        <v/>
      </c>
      <c r="X529">
        <f>HYPERLINK("https://klasma.github.io/Logging_0482/kartor/A 46115-2023 karta.png", "A 46115-2023")</f>
        <v/>
      </c>
      <c r="Y529">
        <f>HYPERLINK("https://klasma.github.io/Logging_0482/kartor_geotiff/A 46115-2023 georefererad karta.tif", "A 46115-2023")</f>
        <v/>
      </c>
      <c r="AA529">
        <f>HYPERLINK("https://klasma.github.io/Logging_0482/klagomål/A 46115-2023 FSC-klagomål.docx", "A 46115-2023")</f>
        <v/>
      </c>
      <c r="AB529">
        <f>HYPERLINK("https://klasma.github.io/Logging_0482/klagomålsmail/A 46115-2023 FSC-klagomål mail.docx", "A 46115-2023")</f>
        <v/>
      </c>
      <c r="AC529">
        <f>HYPERLINK("https://klasma.github.io/Logging_0482/tillsyn/A 46115-2023 tillsynsbegäran.docx", "A 46115-2023")</f>
        <v/>
      </c>
      <c r="AD529">
        <f>HYPERLINK("https://klasma.github.io/Logging_0482/tillsynsmail/A 46115-2023 tillsynsbegäran mail.docx", "A 46115-2023")</f>
        <v/>
      </c>
    </row>
    <row r="530" ht="15" customHeight="1">
      <c r="A530" t="inlineStr">
        <is>
          <t>A 56080-2024</t>
        </is>
      </c>
      <c r="B530" t="inlineStr">
        <is>
          <t>avverkningsanmälan</t>
        </is>
      </c>
      <c r="C530" t="inlineStr">
        <is>
          <t>Föryngringsavverkning</t>
        </is>
      </c>
      <c r="D530" s="1" t="n">
        <v>45624</v>
      </c>
      <c r="E530" s="1" t="n">
        <v>46313</v>
      </c>
      <c r="F530" t="inlineStr">
        <is>
          <t>SÖDERMANLANDS LÄN</t>
        </is>
      </c>
      <c r="G530" t="inlineStr">
        <is>
          <t>NYKÖPING</t>
        </is>
      </c>
      <c r="I530" t="n">
        <v>5.5</v>
      </c>
      <c r="J530" t="n">
        <v>1</v>
      </c>
      <c r="K530" t="n">
        <v>0</v>
      </c>
      <c r="L530" t="n">
        <v>0</v>
      </c>
      <c r="M530" t="n">
        <v>0</v>
      </c>
      <c r="N530" t="n">
        <v>0</v>
      </c>
      <c r="O530" t="n">
        <v>0</v>
      </c>
      <c r="P530" t="n">
        <v>0</v>
      </c>
      <c r="Q530" t="n">
        <v>0</v>
      </c>
      <c r="R530" t="n">
        <v>0</v>
      </c>
      <c r="S530" t="n">
        <v>1</v>
      </c>
      <c r="T530" t="n">
        <v>1</v>
      </c>
      <c r="U530" t="n">
        <v>1</v>
      </c>
      <c r="V530" s="2" t="inlineStr">
        <is>
          <t>Ärtsångare</t>
        </is>
      </c>
      <c r="W530">
        <f>HYPERLINK("https://klasma.github.io/Logging_0480/artfynd/A 56080-2024 artfynd.xlsx", "A 56080-2024")</f>
        <v/>
      </c>
      <c r="X530">
        <f>HYPERLINK("https://klasma.github.io/Logging_0480/kartor/A 56080-2024 karta.png", "A 56080-2024")</f>
        <v/>
      </c>
      <c r="Y530">
        <f>HYPERLINK("https://klasma.github.io/Logging_0480/kartor_geotiff/A 56080-2024 georefererad karta.tif", "A 56080-2024")</f>
        <v/>
      </c>
      <c r="AA530">
        <f>HYPERLINK("https://klasma.github.io/Logging_0480/klagomål/A 56080-2024 FSC-klagomål.docx", "A 56080-2024")</f>
        <v/>
      </c>
      <c r="AB530">
        <f>HYPERLINK("https://klasma.github.io/Logging_0480/klagomålsmail/A 56080-2024 FSC-klagomål mail.docx", "A 56080-2024")</f>
        <v/>
      </c>
      <c r="AC530">
        <f>HYPERLINK("https://klasma.github.io/Logging_0480/tillsyn/A 56080-2024 tillsynsbegäran.docx", "A 56080-2024")</f>
        <v/>
      </c>
      <c r="AD530">
        <f>HYPERLINK("https://klasma.github.io/Logging_0480/tillsynsmail/A 56080-2024 tillsynsbegäran mail.docx", "A 56080-2024")</f>
        <v/>
      </c>
    </row>
    <row r="531" ht="15" customHeight="1">
      <c r="A531" t="inlineStr">
        <is>
          <t>A 56308-2024</t>
        </is>
      </c>
      <c r="B531" t="inlineStr">
        <is>
          <t>avverkningsanmälan</t>
        </is>
      </c>
      <c r="C531" t="inlineStr">
        <is>
          <t>Föryngringsavverkning</t>
        </is>
      </c>
      <c r="D531" s="1" t="n">
        <v>45624</v>
      </c>
      <c r="E531" s="1" t="n">
        <v>46313</v>
      </c>
      <c r="F531" t="inlineStr">
        <is>
          <t>SÖDERMANLANDS LÄN</t>
        </is>
      </c>
      <c r="G531" t="inlineStr">
        <is>
          <t>FLEN</t>
        </is>
      </c>
      <c r="I531" t="n">
        <v>2.1</v>
      </c>
      <c r="J531" t="n">
        <v>0</v>
      </c>
      <c r="K531" t="n">
        <v>0</v>
      </c>
      <c r="L531" t="n">
        <v>1</v>
      </c>
      <c r="M531" t="n">
        <v>0</v>
      </c>
      <c r="N531" t="n">
        <v>0</v>
      </c>
      <c r="O531" t="n">
        <v>0</v>
      </c>
      <c r="P531" t="n">
        <v>0</v>
      </c>
      <c r="Q531" t="n">
        <v>1</v>
      </c>
      <c r="R531" t="n">
        <v>0</v>
      </c>
      <c r="S531" t="n">
        <v>1</v>
      </c>
      <c r="T531" t="n">
        <v>1</v>
      </c>
      <c r="U531" t="n">
        <v>0</v>
      </c>
      <c r="V531" s="2" t="inlineStr">
        <is>
          <t>Gullklöver</t>
        </is>
      </c>
      <c r="W531">
        <f>HYPERLINK("https://klasma.github.io/Logging_0482/artfynd/A 56308-2024 artfynd.xlsx", "A 56308-2024")</f>
        <v/>
      </c>
      <c r="X531">
        <f>HYPERLINK("https://klasma.github.io/Logging_0482/kartor/A 56308-2024 karta.png", "A 56308-2024")</f>
        <v/>
      </c>
      <c r="Y531">
        <f>HYPERLINK("https://klasma.github.io/Logging_0482/kartor_geotiff/A 56308-2024 georefererad karta.tif", "A 56308-2024")</f>
        <v/>
      </c>
      <c r="AA531">
        <f>HYPERLINK("https://klasma.github.io/Logging_0482/klagomål/A 56308-2024 FSC-klagomål.docx", "A 56308-2024")</f>
        <v/>
      </c>
      <c r="AB531">
        <f>HYPERLINK("https://klasma.github.io/Logging_0482/klagomålsmail/A 56308-2024 FSC-klagomål mail.docx", "A 56308-2024")</f>
        <v/>
      </c>
      <c r="AC531">
        <f>HYPERLINK("https://klasma.github.io/Logging_0482/tillsyn/A 56308-2024 tillsynsbegäran.docx", "A 56308-2024")</f>
        <v/>
      </c>
      <c r="AD531">
        <f>HYPERLINK("https://klasma.github.io/Logging_0482/tillsynsmail/A 56308-2024 tillsynsbegäran mail.docx", "A 56308-2024")</f>
        <v/>
      </c>
    </row>
    <row r="532" ht="15" customHeight="1">
      <c r="A532" t="inlineStr">
        <is>
          <t>A 21704-2026</t>
        </is>
      </c>
      <c r="B532" t="inlineStr">
        <is>
          <t>avverkningsanmälan</t>
        </is>
      </c>
      <c r="C532" t="inlineStr">
        <is>
          <t>Föryngringsavverkning</t>
        </is>
      </c>
      <c r="D532" s="1" t="n">
        <v>46149</v>
      </c>
      <c r="E532" s="1" t="n">
        <v>46313</v>
      </c>
      <c r="F532" t="inlineStr">
        <is>
          <t>SÖDERMANLANDS LÄN</t>
        </is>
      </c>
      <c r="G532" t="inlineStr">
        <is>
          <t>FLEN</t>
        </is>
      </c>
      <c r="I532" t="n">
        <v>10.2</v>
      </c>
      <c r="J532" t="n">
        <v>0</v>
      </c>
      <c r="K532" t="n">
        <v>0</v>
      </c>
      <c r="L532" t="n">
        <v>1</v>
      </c>
      <c r="M532" t="n">
        <v>0</v>
      </c>
      <c r="N532" t="n">
        <v>0</v>
      </c>
      <c r="O532" t="n">
        <v>0</v>
      </c>
      <c r="P532" t="n">
        <v>0</v>
      </c>
      <c r="Q532" t="n">
        <v>1</v>
      </c>
      <c r="R532" t="n">
        <v>0</v>
      </c>
      <c r="S532" t="n">
        <v>1</v>
      </c>
      <c r="T532" t="n">
        <v>1</v>
      </c>
      <c r="U532" t="n">
        <v>0</v>
      </c>
      <c r="V532" s="2" t="inlineStr">
        <is>
          <t>Kandelabersvamp</t>
        </is>
      </c>
      <c r="W532">
        <f>HYPERLINK("https://klasma.github.io/Logging_0482/artfynd/A 21704-2026 artfynd.xlsx", "A 21704-2026")</f>
        <v/>
      </c>
      <c r="X532">
        <f>HYPERLINK("https://klasma.github.io/Logging_0482/kartor/A 21704-2026 karta.png", "A 21704-2026")</f>
        <v/>
      </c>
      <c r="Y532">
        <f>HYPERLINK("https://klasma.github.io/Logging_0482/kartor_geotiff/A 21704-2026 georefererad karta.tif", "A 21704-2026")</f>
        <v/>
      </c>
      <c r="AA532">
        <f>HYPERLINK("https://klasma.github.io/Logging_0482/klagomål/A 21704-2026 FSC-klagomål.docx", "A 21704-2026")</f>
        <v/>
      </c>
      <c r="AB532">
        <f>HYPERLINK("https://klasma.github.io/Logging_0482/klagomålsmail/A 21704-2026 FSC-klagomål mail.docx", "A 21704-2026")</f>
        <v/>
      </c>
      <c r="AC532">
        <f>HYPERLINK("https://klasma.github.io/Logging_0482/tillsyn/A 21704-2026 tillsynsbegäran.docx", "A 21704-2026")</f>
        <v/>
      </c>
      <c r="AD532">
        <f>HYPERLINK("https://klasma.github.io/Logging_0482/tillsynsmail/A 21704-2026 tillsynsbegäran mail.docx", "A 21704-2026")</f>
        <v/>
      </c>
    </row>
    <row r="533" ht="15" customHeight="1">
      <c r="A533" t="inlineStr">
        <is>
          <t>A 28704-2025</t>
        </is>
      </c>
      <c r="B533" t="inlineStr">
        <is>
          <t>avverkningsanmälan</t>
        </is>
      </c>
      <c r="C533" t="inlineStr">
        <is>
          <t>Föryngringsavverkning</t>
        </is>
      </c>
      <c r="D533" s="1" t="n">
        <v>45820</v>
      </c>
      <c r="E533" s="1" t="n">
        <v>46313</v>
      </c>
      <c r="F533" t="inlineStr">
        <is>
          <t>SÖDERMANLANDS LÄN</t>
        </is>
      </c>
      <c r="G533" t="inlineStr">
        <is>
          <t>NYKÖPING</t>
        </is>
      </c>
      <c r="H533" t="inlineStr">
        <is>
          <t>Holmen skog AB</t>
        </is>
      </c>
      <c r="I533" t="n">
        <v>1.6</v>
      </c>
      <c r="J533" t="n">
        <v>0</v>
      </c>
      <c r="K533" t="n">
        <v>0</v>
      </c>
      <c r="L533" t="n">
        <v>1</v>
      </c>
      <c r="M533" t="n">
        <v>0</v>
      </c>
      <c r="N533" t="n">
        <v>0</v>
      </c>
      <c r="O533" t="n">
        <v>0</v>
      </c>
      <c r="P533" t="n">
        <v>0</v>
      </c>
      <c r="Q533" t="n">
        <v>1</v>
      </c>
      <c r="R533" t="n">
        <v>0</v>
      </c>
      <c r="S533" t="n">
        <v>1</v>
      </c>
      <c r="T533" t="n">
        <v>1</v>
      </c>
      <c r="U533" t="n">
        <v>0</v>
      </c>
      <c r="V533" s="2" t="inlineStr">
        <is>
          <t>Tallticka</t>
        </is>
      </c>
      <c r="W533">
        <f>HYPERLINK("https://klasma.github.io/Logging_0480/artfynd/A 28704-2025 artfynd.xlsx", "A 28704-2025")</f>
        <v/>
      </c>
      <c r="X533">
        <f>HYPERLINK("https://klasma.github.io/Logging_0480/kartor/A 28704-2025 karta.png", "A 28704-2025")</f>
        <v/>
      </c>
      <c r="Y533">
        <f>HYPERLINK("https://klasma.github.io/Logging_0480/kartor_geotiff/A 28704-2025 georefererad karta.tif", "A 28704-2025")</f>
        <v/>
      </c>
      <c r="AA533">
        <f>HYPERLINK("https://klasma.github.io/Logging_0480/klagomål/A 28704-2025 FSC-klagomål.docx", "A 28704-2025")</f>
        <v/>
      </c>
      <c r="AB533">
        <f>HYPERLINK("https://klasma.github.io/Logging_0480/klagomålsmail/A 28704-2025 FSC-klagomål mail.docx", "A 28704-2025")</f>
        <v/>
      </c>
      <c r="AC533">
        <f>HYPERLINK("https://klasma.github.io/Logging_0480/tillsyn/A 28704-2025 tillsynsbegäran.docx", "A 28704-2025")</f>
        <v/>
      </c>
      <c r="AD533">
        <f>HYPERLINK("https://klasma.github.io/Logging_0480/tillsynsmail/A 28704-2025 tillsynsbegäran mail.docx", "A 28704-2025")</f>
        <v/>
      </c>
    </row>
    <row r="534" ht="15" customHeight="1">
      <c r="A534" t="inlineStr">
        <is>
          <t>A 31056-2025</t>
        </is>
      </c>
      <c r="B534" t="inlineStr">
        <is>
          <t>avverkningsanmälan</t>
        </is>
      </c>
      <c r="C534" t="inlineStr">
        <is>
          <t>Föryngringsavverkning</t>
        </is>
      </c>
      <c r="D534" s="1" t="n">
        <v>45832</v>
      </c>
      <c r="E534" s="1" t="n">
        <v>46313</v>
      </c>
      <c r="F534" t="inlineStr">
        <is>
          <t>SÖDERMANLANDS LÄN</t>
        </is>
      </c>
      <c r="G534" t="inlineStr">
        <is>
          <t>ESKILSTUNA</t>
        </is>
      </c>
      <c r="H534" t="inlineStr">
        <is>
          <t>Sveaskog</t>
        </is>
      </c>
      <c r="I534" t="n">
        <v>1.5</v>
      </c>
      <c r="J534" t="n">
        <v>0</v>
      </c>
      <c r="K534" t="n">
        <v>0</v>
      </c>
      <c r="L534" t="n">
        <v>1</v>
      </c>
      <c r="M534" t="n">
        <v>0</v>
      </c>
      <c r="N534" t="n">
        <v>0</v>
      </c>
      <c r="O534" t="n">
        <v>0</v>
      </c>
      <c r="P534" t="n">
        <v>0</v>
      </c>
      <c r="Q534" t="n">
        <v>1</v>
      </c>
      <c r="R534" t="n">
        <v>0</v>
      </c>
      <c r="S534" t="n">
        <v>1</v>
      </c>
      <c r="T534" t="n">
        <v>1</v>
      </c>
      <c r="U534" t="n">
        <v>0</v>
      </c>
      <c r="V534" s="2" t="inlineStr">
        <is>
          <t>Skogsklocka</t>
        </is>
      </c>
      <c r="W534">
        <f>HYPERLINK("https://klasma.github.io/Logging_0484/artfynd/A 31056-2025 artfynd.xlsx", "A 31056-2025")</f>
        <v/>
      </c>
      <c r="X534">
        <f>HYPERLINK("https://klasma.github.io/Logging_0484/kartor/A 31056-2025 karta.png", "A 31056-2025")</f>
        <v/>
      </c>
      <c r="Y534">
        <f>HYPERLINK("https://klasma.github.io/Logging_0484/kartor_geotiff/A 31056-2025 georefererad karta.tif", "A 31056-2025")</f>
        <v/>
      </c>
      <c r="AA534">
        <f>HYPERLINK("https://klasma.github.io/Logging_0484/klagomål/A 31056-2025 FSC-klagomål.docx", "A 31056-2025")</f>
        <v/>
      </c>
      <c r="AB534">
        <f>HYPERLINK("https://klasma.github.io/Logging_0484/klagomålsmail/A 31056-2025 FSC-klagomål mail.docx", "A 31056-2025")</f>
        <v/>
      </c>
      <c r="AC534">
        <f>HYPERLINK("https://klasma.github.io/Logging_0484/tillsyn/A 31056-2025 tillsynsbegäran.docx", "A 31056-2025")</f>
        <v/>
      </c>
      <c r="AD534">
        <f>HYPERLINK("https://klasma.github.io/Logging_0484/tillsynsmail/A 31056-2025 tillsynsbegäran mail.docx", "A 31056-2025")</f>
        <v/>
      </c>
    </row>
    <row r="535" ht="15" customHeight="1">
      <c r="A535" t="inlineStr">
        <is>
          <t>A 7270-2025</t>
        </is>
      </c>
      <c r="B535" t="inlineStr">
        <is>
          <t>avverkningsanmälan</t>
        </is>
      </c>
      <c r="C535" t="inlineStr">
        <is>
          <t>Avverkning för annat ändamål</t>
        </is>
      </c>
      <c r="D535" s="1" t="n">
        <v>45702</v>
      </c>
      <c r="E535" s="1" t="n">
        <v>46313</v>
      </c>
      <c r="F535" t="inlineStr">
        <is>
          <t>SÖDERMANLANDS LÄN</t>
        </is>
      </c>
      <c r="G535" t="inlineStr">
        <is>
          <t>NYKÖPING</t>
        </is>
      </c>
      <c r="H535" t="inlineStr">
        <is>
          <t>Övriga Aktiebolag</t>
        </is>
      </c>
      <c r="I535" t="n">
        <v>1.2</v>
      </c>
      <c r="J535" t="n">
        <v>1</v>
      </c>
      <c r="K535" t="n">
        <v>0</v>
      </c>
      <c r="L535" t="n">
        <v>0</v>
      </c>
      <c r="M535" t="n">
        <v>0</v>
      </c>
      <c r="N535" t="n">
        <v>0</v>
      </c>
      <c r="O535" t="n">
        <v>0</v>
      </c>
      <c r="P535" t="n">
        <v>0</v>
      </c>
      <c r="Q535" t="n">
        <v>0</v>
      </c>
      <c r="R535" t="n">
        <v>0</v>
      </c>
      <c r="S535" t="n">
        <v>1</v>
      </c>
      <c r="T535" t="n">
        <v>1</v>
      </c>
      <c r="U535" t="n">
        <v>1</v>
      </c>
      <c r="V535" s="2" t="inlineStr">
        <is>
          <t>Järpe</t>
        </is>
      </c>
      <c r="W535">
        <f>HYPERLINK("https://klasma.github.io/Logging_0480/artfynd/A 7270-2025 artfynd.xlsx", "A 7270-2025")</f>
        <v/>
      </c>
      <c r="X535">
        <f>HYPERLINK("https://klasma.github.io/Logging_0480/kartor/A 7270-2025 karta.png", "A 7270-2025")</f>
        <v/>
      </c>
      <c r="Y535">
        <f>HYPERLINK("https://klasma.github.io/Logging_0480/kartor_geotiff/A 7270-2025 georefererad karta.tif", "A 7270-2025")</f>
        <v/>
      </c>
      <c r="AA535">
        <f>HYPERLINK("https://klasma.github.io/Logging_0480/klagomål/A 7270-2025 FSC-klagomål.docx", "A 7270-2025")</f>
        <v/>
      </c>
      <c r="AB535">
        <f>HYPERLINK("https://klasma.github.io/Logging_0480/klagomålsmail/A 7270-2025 FSC-klagomål mail.docx", "A 7270-2025")</f>
        <v/>
      </c>
      <c r="AC535">
        <f>HYPERLINK("https://klasma.github.io/Logging_0480/tillsyn/A 7270-2025 tillsynsbegäran.docx", "A 7270-2025")</f>
        <v/>
      </c>
      <c r="AD535">
        <f>HYPERLINK("https://klasma.github.io/Logging_0480/tillsynsmail/A 7270-2025 tillsynsbegäran mail.docx", "A 7270-2025")</f>
        <v/>
      </c>
      <c r="AE535">
        <f>HYPERLINK("https://klasma.github.io/Logging_0480/fåglar/A 7270-2025 prioriterade fågelarter.docx", "A 7270-2025")</f>
        <v/>
      </c>
    </row>
    <row r="536" ht="15" customHeight="1">
      <c r="A536" t="inlineStr">
        <is>
          <t>A 35152-2025</t>
        </is>
      </c>
      <c r="B536" t="inlineStr">
        <is>
          <t>avverkningsanmälan</t>
        </is>
      </c>
      <c r="C536" t="inlineStr">
        <is>
          <t>Föryngringsavverkning</t>
        </is>
      </c>
      <c r="D536" s="1" t="n">
        <v>45852</v>
      </c>
      <c r="E536" s="1" t="n">
        <v>46313</v>
      </c>
      <c r="F536" t="inlineStr">
        <is>
          <t>SÖDERMANLANDS LÄN</t>
        </is>
      </c>
      <c r="G536" t="inlineStr">
        <is>
          <t>KATRINEHOLM</t>
        </is>
      </c>
      <c r="I536" t="n">
        <v>4.6</v>
      </c>
      <c r="J536" t="n">
        <v>0</v>
      </c>
      <c r="K536" t="n">
        <v>0</v>
      </c>
      <c r="L536" t="n">
        <v>0</v>
      </c>
      <c r="M536" t="n">
        <v>1</v>
      </c>
      <c r="N536" t="n">
        <v>0</v>
      </c>
      <c r="O536" t="n">
        <v>0</v>
      </c>
      <c r="P536" t="n">
        <v>0</v>
      </c>
      <c r="Q536" t="n">
        <v>1</v>
      </c>
      <c r="R536" t="n">
        <v>1</v>
      </c>
      <c r="S536" t="n">
        <v>1</v>
      </c>
      <c r="T536" t="n">
        <v>1</v>
      </c>
      <c r="U536" t="n">
        <v>0</v>
      </c>
      <c r="V536" s="2" t="inlineStr">
        <is>
          <t>Kopparspindling</t>
        </is>
      </c>
      <c r="W536">
        <f>HYPERLINK("https://klasma.github.io/Logging_0483/artfynd/A 35152-2025 artfynd.xlsx", "A 35152-2025")</f>
        <v/>
      </c>
      <c r="X536">
        <f>HYPERLINK("https://klasma.github.io/Logging_0483/kartor/A 35152-2025 karta.png", "A 35152-2025")</f>
        <v/>
      </c>
      <c r="Y536">
        <f>HYPERLINK("https://klasma.github.io/Logging_0483/kartor_geotiff/A 35152-2025 georefererad karta.tif", "A 35152-2025")</f>
        <v/>
      </c>
      <c r="AA536">
        <f>HYPERLINK("https://klasma.github.io/Logging_0483/klagomål/A 35152-2025 FSC-klagomål.docx", "A 35152-2025")</f>
        <v/>
      </c>
      <c r="AB536">
        <f>HYPERLINK("https://klasma.github.io/Logging_0483/klagomålsmail/A 35152-2025 FSC-klagomål mail.docx", "A 35152-2025")</f>
        <v/>
      </c>
      <c r="AC536">
        <f>HYPERLINK("https://klasma.github.io/Logging_0483/tillsyn/A 35152-2025 tillsynsbegäran.docx", "A 35152-2025")</f>
        <v/>
      </c>
      <c r="AD536">
        <f>HYPERLINK("https://klasma.github.io/Logging_0483/tillsynsmail/A 35152-2025 tillsynsbegäran mail.docx", "A 35152-2025")</f>
        <v/>
      </c>
    </row>
    <row r="537" ht="15" customHeight="1">
      <c r="A537" t="inlineStr">
        <is>
          <t>A 35163-2025</t>
        </is>
      </c>
      <c r="B537" t="inlineStr">
        <is>
          <t>avverkningsanmälan</t>
        </is>
      </c>
      <c r="C537" t="inlineStr">
        <is>
          <t>Föryngringsavverkning</t>
        </is>
      </c>
      <c r="D537" s="1" t="n">
        <v>45852</v>
      </c>
      <c r="E537" s="1" t="n">
        <v>46313</v>
      </c>
      <c r="F537" t="inlineStr">
        <is>
          <t>SÖDERMANLANDS LÄN</t>
        </is>
      </c>
      <c r="G537" t="inlineStr">
        <is>
          <t>KATRINEHOLM</t>
        </is>
      </c>
      <c r="H537" t="inlineStr">
        <is>
          <t>Övriga Aktiebolag</t>
        </is>
      </c>
      <c r="I537" t="n">
        <v>1.1</v>
      </c>
      <c r="J537" t="n">
        <v>0</v>
      </c>
      <c r="K537" t="n">
        <v>0</v>
      </c>
      <c r="L537" t="n">
        <v>1</v>
      </c>
      <c r="M537" t="n">
        <v>0</v>
      </c>
      <c r="N537" t="n">
        <v>0</v>
      </c>
      <c r="O537" t="n">
        <v>0</v>
      </c>
      <c r="P537" t="n">
        <v>0</v>
      </c>
      <c r="Q537" t="n">
        <v>1</v>
      </c>
      <c r="R537" t="n">
        <v>0</v>
      </c>
      <c r="S537" t="n">
        <v>1</v>
      </c>
      <c r="T537" t="n">
        <v>1</v>
      </c>
      <c r="U537" t="n">
        <v>0</v>
      </c>
      <c r="V537" s="2" t="inlineStr">
        <is>
          <t>Kattfotslav</t>
        </is>
      </c>
      <c r="W537">
        <f>HYPERLINK("https://klasma.github.io/Logging_0483/artfynd/A 35163-2025 artfynd.xlsx", "A 35163-2025")</f>
        <v/>
      </c>
      <c r="X537">
        <f>HYPERLINK("https://klasma.github.io/Logging_0483/kartor/A 35163-2025 karta.png", "A 35163-2025")</f>
        <v/>
      </c>
      <c r="Y537">
        <f>HYPERLINK("https://klasma.github.io/Logging_0483/kartor_geotiff/A 35163-2025 georefererad karta.tif", "A 35163-2025")</f>
        <v/>
      </c>
      <c r="AA537">
        <f>HYPERLINK("https://klasma.github.io/Logging_0483/klagomål/A 35163-2025 FSC-klagomål.docx", "A 35163-2025")</f>
        <v/>
      </c>
      <c r="AB537">
        <f>HYPERLINK("https://klasma.github.io/Logging_0483/klagomålsmail/A 35163-2025 FSC-klagomål mail.docx", "A 35163-2025")</f>
        <v/>
      </c>
      <c r="AC537">
        <f>HYPERLINK("https://klasma.github.io/Logging_0483/tillsyn/A 35163-2025 tillsynsbegäran.docx", "A 35163-2025")</f>
        <v/>
      </c>
      <c r="AD537">
        <f>HYPERLINK("https://klasma.github.io/Logging_0483/tillsynsmail/A 35163-2025 tillsynsbegäran mail.docx", "A 35163-2025")</f>
        <v/>
      </c>
    </row>
    <row r="538" ht="15" customHeight="1">
      <c r="A538" t="inlineStr">
        <is>
          <t>A 36216-2025</t>
        </is>
      </c>
      <c r="B538" t="inlineStr">
        <is>
          <t>avverkningsanmälan</t>
        </is>
      </c>
      <c r="C538" t="inlineStr">
        <is>
          <t>Föryngringsavverkning</t>
        </is>
      </c>
      <c r="D538" s="1" t="n">
        <v>45867</v>
      </c>
      <c r="E538" s="1" t="n">
        <v>46313</v>
      </c>
      <c r="F538" t="inlineStr">
        <is>
          <t>SÖDERMANLANDS LÄN</t>
        </is>
      </c>
      <c r="G538" t="inlineStr">
        <is>
          <t>ESKILSTUNA</t>
        </is>
      </c>
      <c r="I538" t="n">
        <v>18.7</v>
      </c>
      <c r="J538" t="n">
        <v>0</v>
      </c>
      <c r="K538" t="n">
        <v>1</v>
      </c>
      <c r="L538" t="n">
        <v>0</v>
      </c>
      <c r="M538" t="n">
        <v>0</v>
      </c>
      <c r="N538" t="n">
        <v>0</v>
      </c>
      <c r="O538" t="n">
        <v>0</v>
      </c>
      <c r="P538" t="n">
        <v>0</v>
      </c>
      <c r="Q538" t="n">
        <v>0</v>
      </c>
      <c r="R538" t="n">
        <v>0</v>
      </c>
      <c r="S538" t="n">
        <v>1</v>
      </c>
      <c r="T538" t="n">
        <v>1</v>
      </c>
      <c r="U538" t="n">
        <v>1</v>
      </c>
      <c r="V538" s="2" t="inlineStr">
        <is>
          <t>Blomkålssvamp</t>
        </is>
      </c>
      <c r="W538">
        <f>HYPERLINK("https://klasma.github.io/Logging_0484/artfynd/A 36216-2025 artfynd.xlsx", "A 36216-2025")</f>
        <v/>
      </c>
      <c r="X538">
        <f>HYPERLINK("https://klasma.github.io/Logging_0484/kartor/A 36216-2025 karta.png", "A 36216-2025")</f>
        <v/>
      </c>
      <c r="Y538">
        <f>HYPERLINK("https://klasma.github.io/Logging_0484/kartor_geotiff/A 36216-2025 georefererad karta.tif", "A 36216-2025")</f>
        <v/>
      </c>
      <c r="AA538">
        <f>HYPERLINK("https://klasma.github.io/Logging_0484/klagomål/A 36216-2025 FSC-klagomål.docx", "A 36216-2025")</f>
        <v/>
      </c>
      <c r="AB538">
        <f>HYPERLINK("https://klasma.github.io/Logging_0484/klagomålsmail/A 36216-2025 FSC-klagomål mail.docx", "A 36216-2025")</f>
        <v/>
      </c>
      <c r="AC538">
        <f>HYPERLINK("https://klasma.github.io/Logging_0484/tillsyn/A 36216-2025 tillsynsbegäran.docx", "A 36216-2025")</f>
        <v/>
      </c>
      <c r="AD538">
        <f>HYPERLINK("https://klasma.github.io/Logging_0484/tillsynsmail/A 36216-2025 tillsynsbegäran mail.docx", "A 36216-2025")</f>
        <v/>
      </c>
    </row>
    <row r="539" ht="15" customHeight="1">
      <c r="A539" t="inlineStr">
        <is>
          <t>S 447-2021</t>
        </is>
      </c>
      <c r="B539" t="inlineStr">
        <is>
          <t>samrådsanmälan</t>
        </is>
      </c>
      <c r="C539" t="inlineStr">
        <is>
          <t>Åtgärd i nyckelbiotop</t>
        </is>
      </c>
      <c r="D539" s="1" t="n">
        <v>44260</v>
      </c>
      <c r="E539" s="1" t="n">
        <v>46313</v>
      </c>
      <c r="F539" t="inlineStr">
        <is>
          <t>SÖDERMANLANDS LÄN</t>
        </is>
      </c>
      <c r="G539" t="inlineStr">
        <is>
          <t>NYKÖPING</t>
        </is>
      </c>
      <c r="I539" t="n">
        <v>3.4</v>
      </c>
      <c r="J539" t="n">
        <v>0</v>
      </c>
      <c r="K539" t="n">
        <v>0</v>
      </c>
      <c r="L539" t="n">
        <v>1</v>
      </c>
      <c r="M539" t="n">
        <v>0</v>
      </c>
      <c r="N539" t="n">
        <v>0</v>
      </c>
      <c r="O539" t="n">
        <v>0</v>
      </c>
      <c r="P539" t="n">
        <v>0</v>
      </c>
      <c r="Q539" t="n">
        <v>1</v>
      </c>
      <c r="R539" t="n">
        <v>0</v>
      </c>
      <c r="S539" t="n">
        <v>1</v>
      </c>
      <c r="T539" t="n">
        <v>1</v>
      </c>
      <c r="U539" t="n">
        <v>0</v>
      </c>
      <c r="V539" s="2" t="inlineStr">
        <is>
          <t>Lunglav</t>
        </is>
      </c>
      <c r="W539">
        <f>HYPERLINK("https://klasma.github.io/Logging_0480/artfynd/S 447-2021 artfynd.xlsx", "S 447-2021")</f>
        <v/>
      </c>
      <c r="X539">
        <f>HYPERLINK("https://klasma.github.io/Logging_0480/kartor/S 447-2021 karta.png", "S 447-2021")</f>
        <v/>
      </c>
      <c r="Y539">
        <f>HYPERLINK("https://klasma.github.io/Logging_0480/kartor_geotiff/S 447-2021 georefererad karta.tif", "S 447-2021")</f>
        <v/>
      </c>
      <c r="AA539">
        <f>HYPERLINK("https://klasma.github.io/Logging_0480/klagomål/S 447-2021 FSC-klagomål.docx", "S 447-2021")</f>
        <v/>
      </c>
      <c r="AB539">
        <f>HYPERLINK("https://klasma.github.io/Logging_0480/klagomålsmail/S 447-2021 FSC-klagomål mail.docx", "S 447-2021")</f>
        <v/>
      </c>
      <c r="AC539">
        <f>HYPERLINK("https://klasma.github.io/Logging_0480/tillsyn/S 447-2021 tillsynsbegäran.docx", "S 447-2021")</f>
        <v/>
      </c>
      <c r="AD539">
        <f>HYPERLINK("https://klasma.github.io/Logging_0480/tillsynsmail/S 447-2021 tillsynsbegäran mail.docx", "S 447-2021")</f>
        <v/>
      </c>
    </row>
    <row r="540" ht="15" customHeight="1">
      <c r="A540" t="inlineStr">
        <is>
          <t>S 2263-2023</t>
        </is>
      </c>
      <c r="B540" t="inlineStr">
        <is>
          <t>samrådsanmälan</t>
        </is>
      </c>
      <c r="C540" t="inlineStr">
        <is>
          <t>Annan skogsbruksåtgärd</t>
        </is>
      </c>
      <c r="D540" s="1" t="n">
        <v>45103</v>
      </c>
      <c r="E540" s="1" t="n">
        <v>46313</v>
      </c>
      <c r="F540" t="inlineStr">
        <is>
          <t>SÖDERMANLANDS LÄN</t>
        </is>
      </c>
      <c r="G540" t="inlineStr">
        <is>
          <t>KATRINEHOLM</t>
        </is>
      </c>
      <c r="H540" t="inlineStr">
        <is>
          <t>Övriga Aktiebolag</t>
        </is>
      </c>
      <c r="I540" t="n">
        <v>1.4</v>
      </c>
      <c r="J540" t="n">
        <v>1</v>
      </c>
      <c r="K540" t="n">
        <v>0</v>
      </c>
      <c r="L540" t="n">
        <v>0</v>
      </c>
      <c r="M540" t="n">
        <v>0</v>
      </c>
      <c r="N540" t="n">
        <v>0</v>
      </c>
      <c r="O540" t="n">
        <v>0</v>
      </c>
      <c r="P540" t="n">
        <v>0</v>
      </c>
      <c r="Q540" t="n">
        <v>0</v>
      </c>
      <c r="R540" t="n">
        <v>0</v>
      </c>
      <c r="S540" t="n">
        <v>1</v>
      </c>
      <c r="T540" t="n">
        <v>1</v>
      </c>
      <c r="U540" t="n">
        <v>0</v>
      </c>
      <c r="V540" s="2" t="inlineStr">
        <is>
          <t>Blåsippa</t>
        </is>
      </c>
      <c r="W540">
        <f>HYPERLINK("https://klasma.github.io/Logging_0483/artfynd/S 2263-2023 artfynd.xlsx", "S 2263-2023")</f>
        <v/>
      </c>
      <c r="X540">
        <f>HYPERLINK("https://klasma.github.io/Logging_0483/kartor/S 2263-2023 karta.png", "S 2263-2023")</f>
        <v/>
      </c>
      <c r="Y540">
        <f>HYPERLINK("https://klasma.github.io/Logging_0483/kartor_geotiff/S 2263-2023 georefererad karta.tif", "S 2263-2023")</f>
        <v/>
      </c>
      <c r="AA540">
        <f>HYPERLINK("https://klasma.github.io/Logging_0483/klagomål/S 2263-2023 FSC-klagomål.docx", "S 2263-2023")</f>
        <v/>
      </c>
      <c r="AB540">
        <f>HYPERLINK("https://klasma.github.io/Logging_0483/klagomålsmail/S 2263-2023 FSC-klagomål mail.docx", "S 2263-2023")</f>
        <v/>
      </c>
      <c r="AC540">
        <f>HYPERLINK("https://klasma.github.io/Logging_0483/tillsyn/S 2263-2023 tillsynsbegäran.docx", "S 2263-2023")</f>
        <v/>
      </c>
      <c r="AD540">
        <f>HYPERLINK("https://klasma.github.io/Logging_0483/tillsynsmail/S 2263-2023 tillsynsbegäran mail.docx", "S 2263-2023")</f>
        <v/>
      </c>
    </row>
    <row r="541" ht="15" customHeight="1">
      <c r="A541" t="inlineStr">
        <is>
          <t>S 1487-2024</t>
        </is>
      </c>
      <c r="B541" t="inlineStr">
        <is>
          <t>samrådsanmälan</t>
        </is>
      </c>
      <c r="C541" t="inlineStr">
        <is>
          <t>Annan skogsbruksåtgärd</t>
        </is>
      </c>
      <c r="D541" s="1" t="n">
        <v>45420</v>
      </c>
      <c r="E541" s="1" t="n">
        <v>46313</v>
      </c>
      <c r="F541" t="inlineStr">
        <is>
          <t>SÖDERMANLANDS LÄN</t>
        </is>
      </c>
      <c r="G541" t="inlineStr">
        <is>
          <t>GNESTA</t>
        </is>
      </c>
      <c r="I541" t="n">
        <v>9.4</v>
      </c>
      <c r="J541" t="n">
        <v>1</v>
      </c>
      <c r="K541" t="n">
        <v>0</v>
      </c>
      <c r="L541" t="n">
        <v>0</v>
      </c>
      <c r="M541" t="n">
        <v>0</v>
      </c>
      <c r="N541" t="n">
        <v>0</v>
      </c>
      <c r="O541" t="n">
        <v>0</v>
      </c>
      <c r="P541" t="n">
        <v>0</v>
      </c>
      <c r="Q541" t="n">
        <v>0</v>
      </c>
      <c r="R541" t="n">
        <v>0</v>
      </c>
      <c r="S541" t="n">
        <v>1</v>
      </c>
      <c r="T541" t="n">
        <v>1</v>
      </c>
      <c r="U541" t="n">
        <v>1</v>
      </c>
      <c r="V541" s="2" t="inlineStr">
        <is>
          <t>Vanlig padda</t>
        </is>
      </c>
      <c r="W541">
        <f>HYPERLINK("https://klasma.github.io/Logging_0461/artfynd/S 1487-2024 artfynd.xlsx", "S 1487-2024")</f>
        <v/>
      </c>
      <c r="X541">
        <f>HYPERLINK("https://klasma.github.io/Logging_0461/kartor/S 1487-2024 karta.png", "S 1487-2024")</f>
        <v/>
      </c>
      <c r="Y541">
        <f>HYPERLINK("https://klasma.github.io/Logging_0461/kartor_geotiff/S 1487-2024 georefererad karta.tif", "S 1487-2024")</f>
        <v/>
      </c>
      <c r="AA541">
        <f>HYPERLINK("https://klasma.github.io/Logging_0461/klagomål/S 1487-2024 FSC-klagomål.docx", "S 1487-2024")</f>
        <v/>
      </c>
      <c r="AB541">
        <f>HYPERLINK("https://klasma.github.io/Logging_0461/klagomålsmail/S 1487-2024 FSC-klagomål mail.docx", "S 1487-2024")</f>
        <v/>
      </c>
      <c r="AC541">
        <f>HYPERLINK("https://klasma.github.io/Logging_0461/tillsyn/S 1487-2024 tillsynsbegäran.docx", "S 1487-2024")</f>
        <v/>
      </c>
      <c r="AD541">
        <f>HYPERLINK("https://klasma.github.io/Logging_0461/tillsynsmail/S 1487-2024 tillsynsbegäran mail.docx", "S 1487-2024")</f>
        <v/>
      </c>
    </row>
    <row r="542" ht="15" customHeight="1">
      <c r="A542" t="inlineStr">
        <is>
          <t>S 508-2024</t>
        </is>
      </c>
      <c r="B542" t="inlineStr">
        <is>
          <t>samrådsanmälan</t>
        </is>
      </c>
      <c r="C542" t="inlineStr">
        <is>
          <t>Annan skogsbruksåtgärd</t>
        </is>
      </c>
      <c r="D542" s="1" t="n">
        <v>45345</v>
      </c>
      <c r="E542" s="1" t="n">
        <v>46313</v>
      </c>
      <c r="F542" t="inlineStr">
        <is>
          <t>SÖDERMANLANDS LÄN</t>
        </is>
      </c>
      <c r="G542" t="inlineStr">
        <is>
          <t>KATRINEHOLM</t>
        </is>
      </c>
      <c r="I542" t="n">
        <v>5.7</v>
      </c>
      <c r="J542" t="n">
        <v>1</v>
      </c>
      <c r="K542" t="n">
        <v>0</v>
      </c>
      <c r="L542" t="n">
        <v>0</v>
      </c>
      <c r="M542" t="n">
        <v>0</v>
      </c>
      <c r="N542" t="n">
        <v>0</v>
      </c>
      <c r="O542" t="n">
        <v>0</v>
      </c>
      <c r="P542" t="n">
        <v>0</v>
      </c>
      <c r="Q542" t="n">
        <v>0</v>
      </c>
      <c r="R542" t="n">
        <v>0</v>
      </c>
      <c r="S542" t="n">
        <v>1</v>
      </c>
      <c r="T542" t="n">
        <v>1</v>
      </c>
      <c r="U542" t="n">
        <v>0</v>
      </c>
      <c r="V542" s="2" t="inlineStr">
        <is>
          <t>Kungsfågel</t>
        </is>
      </c>
      <c r="W542">
        <f>HYPERLINK("https://klasma.github.io/Logging_0483/artfynd/S 508-2024 artfynd.xlsx", "S 508-2024")</f>
        <v/>
      </c>
      <c r="X542">
        <f>HYPERLINK("https://klasma.github.io/Logging_0483/kartor/S 508-2024 karta.png", "S 508-2024")</f>
        <v/>
      </c>
      <c r="Y542">
        <f>HYPERLINK("https://klasma.github.io/Logging_0483/kartor_geotiff/S 508-2024 georefererad karta.tif", "S 508-2024")</f>
        <v/>
      </c>
      <c r="AA542">
        <f>HYPERLINK("https://klasma.github.io/Logging_0483/klagomål/S 508-2024 FSC-klagomål.docx", "S 508-2024")</f>
        <v/>
      </c>
      <c r="AB542">
        <f>HYPERLINK("https://klasma.github.io/Logging_0483/klagomålsmail/S 508-2024 FSC-klagomål mail.docx", "S 508-2024")</f>
        <v/>
      </c>
      <c r="AC542">
        <f>HYPERLINK("https://klasma.github.io/Logging_0483/tillsyn/S 508-2024 tillsynsbegäran.docx", "S 508-2024")</f>
        <v/>
      </c>
      <c r="AD542">
        <f>HYPERLINK("https://klasma.github.io/Logging_0483/tillsynsmail/S 508-2024 tillsynsbegäran mail.docx", "S 508-2024")</f>
        <v/>
      </c>
    </row>
    <row r="543" ht="15" customHeight="1">
      <c r="A543" t="inlineStr">
        <is>
          <t>S 2584-2026</t>
        </is>
      </c>
      <c r="B543" t="inlineStr">
        <is>
          <t>samrådsanmälan</t>
        </is>
      </c>
      <c r="C543" t="inlineStr">
        <is>
          <t>Annan skogsbruksåtgärd</t>
        </is>
      </c>
      <c r="D543" s="1" t="n">
        <v>46297</v>
      </c>
      <c r="E543" s="1" t="n">
        <v>46313</v>
      </c>
      <c r="F543" t="inlineStr">
        <is>
          <t>SÖDERMANLANDS LÄN</t>
        </is>
      </c>
      <c r="G543" t="inlineStr">
        <is>
          <t>KATRINEHOLM</t>
        </is>
      </c>
      <c r="I543" t="n">
        <v>3.4</v>
      </c>
      <c r="J543" t="n">
        <v>0</v>
      </c>
      <c r="K543" t="n">
        <v>0</v>
      </c>
      <c r="L543" t="n">
        <v>1</v>
      </c>
      <c r="M543" t="n">
        <v>0</v>
      </c>
      <c r="N543" t="n">
        <v>0</v>
      </c>
      <c r="O543" t="n">
        <v>0</v>
      </c>
      <c r="P543" t="n">
        <v>0</v>
      </c>
      <c r="Q543" t="n">
        <v>1</v>
      </c>
      <c r="R543" t="n">
        <v>0</v>
      </c>
      <c r="S543" t="n">
        <v>1</v>
      </c>
      <c r="T543" t="n">
        <v>1</v>
      </c>
      <c r="U543" t="n">
        <v>1</v>
      </c>
      <c r="V543" s="2" t="inlineStr">
        <is>
          <t>Ullticka</t>
        </is>
      </c>
      <c r="W543">
        <f>HYPERLINK("https://klasma.github.io/Logging_0483/artfynd/S 2584-2026 artfynd.xlsx", "S 2584-2026")</f>
        <v/>
      </c>
      <c r="X543">
        <f>HYPERLINK("https://klasma.github.io/Logging_0483/kartor/S 2584-2026 karta.png", "S 2584-2026")</f>
        <v/>
      </c>
      <c r="Y543">
        <f>HYPERLINK("https://klasma.github.io/Logging_0483/kartor_geotiff/S 2584-2026 georefererad karta.tif", "S 2584-2026")</f>
        <v/>
      </c>
      <c r="AA543">
        <f>HYPERLINK("https://klasma.github.io/Logging_0483/klagomål/S 2584-2026 FSC-klagomål.docx", "S 2584-2026")</f>
        <v/>
      </c>
      <c r="AB543">
        <f>HYPERLINK("https://klasma.github.io/Logging_0483/klagomålsmail/S 2584-2026 FSC-klagomål mail.docx", "S 2584-2026")</f>
        <v/>
      </c>
      <c r="AC543">
        <f>HYPERLINK("https://klasma.github.io/Logging_0483/tillsyn/S 2584-2026 tillsynsbegäran.docx", "S 2584-2026")</f>
        <v/>
      </c>
      <c r="AD543">
        <f>HYPERLINK("https://klasma.github.io/Logging_0483/tillsynsmail/S 2584-2026 tillsynsbegäran mail.docx", "S 2584-2026")</f>
        <v/>
      </c>
    </row>
    <row r="544" ht="15" customHeight="1">
      <c r="A544" t="inlineStr">
        <is>
          <t>S 2305-2026</t>
        </is>
      </c>
      <c r="B544" t="inlineStr">
        <is>
          <t>samrådsanmälan</t>
        </is>
      </c>
      <c r="C544" t="inlineStr">
        <is>
          <t>Annan skogsbruksåtgärd</t>
        </is>
      </c>
      <c r="D544" s="1" t="n">
        <v>46268</v>
      </c>
      <c r="E544" s="1" t="n">
        <v>46313</v>
      </c>
      <c r="F544" t="inlineStr">
        <is>
          <t>SÖDERMANLANDS LÄN</t>
        </is>
      </c>
      <c r="G544" t="inlineStr">
        <is>
          <t>NYKÖPING</t>
        </is>
      </c>
      <c r="I544" t="n">
        <v>2.1</v>
      </c>
      <c r="J544" t="n">
        <v>1</v>
      </c>
      <c r="K544" t="n">
        <v>0</v>
      </c>
      <c r="L544" t="n">
        <v>0</v>
      </c>
      <c r="M544" t="n">
        <v>0</v>
      </c>
      <c r="N544" t="n">
        <v>0</v>
      </c>
      <c r="O544" t="n">
        <v>0</v>
      </c>
      <c r="P544" t="n">
        <v>0</v>
      </c>
      <c r="Q544" t="n">
        <v>0</v>
      </c>
      <c r="R544" t="n">
        <v>0</v>
      </c>
      <c r="S544" t="n">
        <v>1</v>
      </c>
      <c r="T544" t="n">
        <v>1</v>
      </c>
      <c r="U544" t="n">
        <v>0</v>
      </c>
      <c r="V544" s="2" t="inlineStr">
        <is>
          <t>Vanlig padda</t>
        </is>
      </c>
      <c r="W544">
        <f>HYPERLINK("https://klasma.github.io/Logging_0480/artfynd/S 2305-2026 artfynd.xlsx", "S 2305-2026")</f>
        <v/>
      </c>
      <c r="X544">
        <f>HYPERLINK("https://klasma.github.io/Logging_0480/kartor/S 2305-2026 karta.png", "S 2305-2026")</f>
        <v/>
      </c>
      <c r="Y544">
        <f>HYPERLINK("https://klasma.github.io/Logging_0480/kartor_geotiff/S 2305-2026 georefererad karta.tif", "S 2305-2026")</f>
        <v/>
      </c>
      <c r="AA544">
        <f>HYPERLINK("https://klasma.github.io/Logging_0480/klagomål/S 2305-2026 FSC-klagomål.docx", "S 2305-2026")</f>
        <v/>
      </c>
      <c r="AB544">
        <f>HYPERLINK("https://klasma.github.io/Logging_0480/klagomålsmail/S 2305-2026 FSC-klagomål mail.docx", "S 2305-2026")</f>
        <v/>
      </c>
      <c r="AC544">
        <f>HYPERLINK("https://klasma.github.io/Logging_0480/tillsyn/S 2305-2026 tillsynsbegäran.docx", "S 2305-2026")</f>
        <v/>
      </c>
      <c r="AD544">
        <f>HYPERLINK("https://klasma.github.io/Logging_0480/tillsynsmail/S 2305-2026 tillsynsbegäran mail.docx", "S 2305-2026")</f>
        <v/>
      </c>
    </row>
    <row r="545" ht="15" customHeight="1">
      <c r="A545" t="inlineStr">
        <is>
          <t>A 31214-2022</t>
        </is>
      </c>
      <c r="B545" t="inlineStr">
        <is>
          <t>avverkningsanmälan</t>
        </is>
      </c>
      <c r="C545" t="inlineStr">
        <is>
          <t>Föryngringsavverkning</t>
        </is>
      </c>
      <c r="D545" s="1" t="n">
        <v>44771</v>
      </c>
      <c r="E545" s="1" t="n">
        <v>46313</v>
      </c>
      <c r="F545" t="inlineStr">
        <is>
          <t>SÖDERMANLANDS LÄN</t>
        </is>
      </c>
      <c r="G545" t="inlineStr">
        <is>
          <t>VINGÅKER</t>
        </is>
      </c>
      <c r="I545" t="n">
        <v>0.7</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47971-2022</t>
        </is>
      </c>
      <c r="B546" t="inlineStr">
        <is>
          <t>avverkningsanmälan</t>
        </is>
      </c>
      <c r="C546" t="inlineStr">
        <is>
          <t>Föryngringsavverkning</t>
        </is>
      </c>
      <c r="D546" s="1" t="n">
        <v>44853</v>
      </c>
      <c r="E546" s="1" t="n">
        <v>46313</v>
      </c>
      <c r="F546" t="inlineStr">
        <is>
          <t>SÖDERMANLANDS LÄN</t>
        </is>
      </c>
      <c r="G546" t="inlineStr">
        <is>
          <t>GNESTA</t>
        </is>
      </c>
      <c r="I546" t="n">
        <v>0.5</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62223-2021</t>
        </is>
      </c>
      <c r="B547" t="inlineStr">
        <is>
          <t>avverkningsanmälan</t>
        </is>
      </c>
      <c r="C547" t="inlineStr">
        <is>
          <t>Föryngringsavverkning</t>
        </is>
      </c>
      <c r="D547" s="1" t="n">
        <v>44501</v>
      </c>
      <c r="E547" s="1" t="n">
        <v>46313</v>
      </c>
      <c r="F547" t="inlineStr">
        <is>
          <t>SÖDERMANLANDS LÄN</t>
        </is>
      </c>
      <c r="G547" t="inlineStr">
        <is>
          <t>FLEN</t>
        </is>
      </c>
      <c r="I547" t="n">
        <v>3</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74404-2021</t>
        </is>
      </c>
      <c r="B548" t="inlineStr">
        <is>
          <t>avverkningsanmälan</t>
        </is>
      </c>
      <c r="C548" t="inlineStr">
        <is>
          <t>Föryngringsavverkning</t>
        </is>
      </c>
      <c r="D548" s="1" t="n">
        <v>44560</v>
      </c>
      <c r="E548" s="1" t="n">
        <v>46313</v>
      </c>
      <c r="F548" t="inlineStr">
        <is>
          <t>SÖDERMANLANDS LÄN</t>
        </is>
      </c>
      <c r="G548" t="inlineStr">
        <is>
          <t>NYKÖPING</t>
        </is>
      </c>
      <c r="H548" t="inlineStr">
        <is>
          <t>Kyrkan</t>
        </is>
      </c>
      <c r="I548" t="n">
        <v>2.2</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40814-2022</t>
        </is>
      </c>
      <c r="B549" t="inlineStr">
        <is>
          <t>avverkningsanmälan</t>
        </is>
      </c>
      <c r="C549" t="inlineStr">
        <is>
          <t>Föryngringsavverkning</t>
        </is>
      </c>
      <c r="D549" s="1" t="n">
        <v>44824</v>
      </c>
      <c r="E549" s="1" t="n">
        <v>46313</v>
      </c>
      <c r="F549" t="inlineStr">
        <is>
          <t>SÖDERMANLANDS LÄN</t>
        </is>
      </c>
      <c r="G549" t="inlineStr">
        <is>
          <t>KATRINEHOLM</t>
        </is>
      </c>
      <c r="I549" t="n">
        <v>0.2</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36853-2022</t>
        </is>
      </c>
      <c r="B550" t="inlineStr">
        <is>
          <t>avverkningsanmälan</t>
        </is>
      </c>
      <c r="C550" t="inlineStr">
        <is>
          <t>Föryngringsavverkning</t>
        </is>
      </c>
      <c r="D550" s="1" t="n">
        <v>44805</v>
      </c>
      <c r="E550" s="1" t="n">
        <v>46313</v>
      </c>
      <c r="F550" t="inlineStr">
        <is>
          <t>SÖDERMANLANDS LÄN</t>
        </is>
      </c>
      <c r="G550" t="inlineStr">
        <is>
          <t>STRÄNGNÄS</t>
        </is>
      </c>
      <c r="I550" t="n">
        <v>2.4</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48166-2022</t>
        </is>
      </c>
      <c r="B551" t="inlineStr">
        <is>
          <t>avverkningsanmälan</t>
        </is>
      </c>
      <c r="C551" t="inlineStr">
        <is>
          <t>Föryngringsavverkning</t>
        </is>
      </c>
      <c r="D551" s="1" t="n">
        <v>44853</v>
      </c>
      <c r="E551" s="1" t="n">
        <v>46313</v>
      </c>
      <c r="F551" t="inlineStr">
        <is>
          <t>SÖDERMANLANDS LÄN</t>
        </is>
      </c>
      <c r="G551" t="inlineStr">
        <is>
          <t>KATRINEHOLM</t>
        </is>
      </c>
      <c r="H551" t="inlineStr">
        <is>
          <t>Övriga statliga verk och myndigheter</t>
        </is>
      </c>
      <c r="I551" t="n">
        <v>0.6</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53488-2022</t>
        </is>
      </c>
      <c r="B552" t="inlineStr">
        <is>
          <t>avverkningsanmälan</t>
        </is>
      </c>
      <c r="C552" t="inlineStr">
        <is>
          <t>Föryngringsavverkning</t>
        </is>
      </c>
      <c r="D552" s="1" t="n">
        <v>44874</v>
      </c>
      <c r="E552" s="1" t="n">
        <v>46313</v>
      </c>
      <c r="F552" t="inlineStr">
        <is>
          <t>SÖDERMANLANDS LÄN</t>
        </is>
      </c>
      <c r="G552" t="inlineStr">
        <is>
          <t>STRÄNGNÄS</t>
        </is>
      </c>
      <c r="I552" t="n">
        <v>4</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51569-2022</t>
        </is>
      </c>
      <c r="B553" t="inlineStr">
        <is>
          <t>avverkningsanmälan</t>
        </is>
      </c>
      <c r="C553" t="inlineStr">
        <is>
          <t>Föryngringsavverkning</t>
        </is>
      </c>
      <c r="D553" s="1" t="n">
        <v>44870</v>
      </c>
      <c r="E553" s="1" t="n">
        <v>46313</v>
      </c>
      <c r="F553" t="inlineStr">
        <is>
          <t>SÖDERMANLANDS LÄN</t>
        </is>
      </c>
      <c r="G553" t="inlineStr">
        <is>
          <t>NYKÖPING</t>
        </is>
      </c>
      <c r="I553" t="n">
        <v>0.5</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14024-2022</t>
        </is>
      </c>
      <c r="B554" t="inlineStr">
        <is>
          <t>avverkningsanmälan</t>
        </is>
      </c>
      <c r="C554" t="inlineStr">
        <is>
          <t>Föryngringsavverkning</t>
        </is>
      </c>
      <c r="D554" s="1" t="n">
        <v>44650</v>
      </c>
      <c r="E554" s="1" t="n">
        <v>46313</v>
      </c>
      <c r="F554" t="inlineStr">
        <is>
          <t>SÖDERMANLANDS LÄN</t>
        </is>
      </c>
      <c r="G554" t="inlineStr">
        <is>
          <t>STRÄNGNÄS</t>
        </is>
      </c>
      <c r="I554" t="n">
        <v>1.7</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35096-2022</t>
        </is>
      </c>
      <c r="B555" t="inlineStr">
        <is>
          <t>avverkningsanmälan</t>
        </is>
      </c>
      <c r="C555" t="inlineStr">
        <is>
          <t>Föryngringsavverkning</t>
        </is>
      </c>
      <c r="D555" s="1" t="n">
        <v>44797</v>
      </c>
      <c r="E555" s="1" t="n">
        <v>46313</v>
      </c>
      <c r="F555" t="inlineStr">
        <is>
          <t>SÖDERMANLANDS LÄN</t>
        </is>
      </c>
      <c r="G555" t="inlineStr">
        <is>
          <t>ESKILSTUNA</t>
        </is>
      </c>
      <c r="I555" t="n">
        <v>0.9</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73929-2021</t>
        </is>
      </c>
      <c r="B556" t="inlineStr">
        <is>
          <t>avverkningsanmälan</t>
        </is>
      </c>
      <c r="C556" t="inlineStr">
        <is>
          <t>Föryngringsavverkning</t>
        </is>
      </c>
      <c r="D556" s="1" t="n">
        <v>44553</v>
      </c>
      <c r="E556" s="1" t="n">
        <v>46313</v>
      </c>
      <c r="F556" t="inlineStr">
        <is>
          <t>SÖDERMANLANDS LÄN</t>
        </is>
      </c>
      <c r="G556" t="inlineStr">
        <is>
          <t>KATRINEHOLM</t>
        </is>
      </c>
      <c r="I556" t="n">
        <v>0.6</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72822-2021</t>
        </is>
      </c>
      <c r="B557" t="inlineStr">
        <is>
          <t>avverkningsanmälan</t>
        </is>
      </c>
      <c r="C557" t="inlineStr">
        <is>
          <t>Föryngringsavverkning</t>
        </is>
      </c>
      <c r="D557" s="1" t="n">
        <v>44546</v>
      </c>
      <c r="E557" s="1" t="n">
        <v>46313</v>
      </c>
      <c r="F557" t="inlineStr">
        <is>
          <t>SÖDERMANLANDS LÄN</t>
        </is>
      </c>
      <c r="G557" t="inlineStr">
        <is>
          <t>KATRINEHOLM</t>
        </is>
      </c>
      <c r="I557" t="n">
        <v>6.3</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37908-2022</t>
        </is>
      </c>
      <c r="B558" t="inlineStr">
        <is>
          <t>avverkningsanmälan</t>
        </is>
      </c>
      <c r="C558" t="inlineStr">
        <is>
          <t>Föryngringsavverkning</t>
        </is>
      </c>
      <c r="D558" s="1" t="n">
        <v>44811</v>
      </c>
      <c r="E558" s="1" t="n">
        <v>46313</v>
      </c>
      <c r="F558" t="inlineStr">
        <is>
          <t>SÖDERMANLANDS LÄN</t>
        </is>
      </c>
      <c r="G558" t="inlineStr">
        <is>
          <t>NYKÖPING</t>
        </is>
      </c>
      <c r="I558" t="n">
        <v>0.5</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2574-2022</t>
        </is>
      </c>
      <c r="B559" t="inlineStr">
        <is>
          <t>avverkningsanmälan</t>
        </is>
      </c>
      <c r="C559" t="inlineStr">
        <is>
          <t>Föryngringsavverkning</t>
        </is>
      </c>
      <c r="D559" s="1" t="n">
        <v>44579</v>
      </c>
      <c r="E559" s="1" t="n">
        <v>46313</v>
      </c>
      <c r="F559" t="inlineStr">
        <is>
          <t>SÖDERMANLANDS LÄN</t>
        </is>
      </c>
      <c r="G559" t="inlineStr">
        <is>
          <t>STRÄNGNÄS</t>
        </is>
      </c>
      <c r="I559" t="n">
        <v>0.9</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66655-2021</t>
        </is>
      </c>
      <c r="B560" t="inlineStr">
        <is>
          <t>avverkningsanmälan</t>
        </is>
      </c>
      <c r="C560" t="inlineStr">
        <is>
          <t>Föryngringsavverkning</t>
        </is>
      </c>
      <c r="D560" s="1" t="n">
        <v>44519</v>
      </c>
      <c r="E560" s="1" t="n">
        <v>46313</v>
      </c>
      <c r="F560" t="inlineStr">
        <is>
          <t>SÖDERMANLANDS LÄN</t>
        </is>
      </c>
      <c r="G560" t="inlineStr">
        <is>
          <t>KATRINEHOLM</t>
        </is>
      </c>
      <c r="H560" t="inlineStr">
        <is>
          <t>Holmen skog AB</t>
        </is>
      </c>
      <c r="I560" t="n">
        <v>3.3</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70701-2021</t>
        </is>
      </c>
      <c r="B561" t="inlineStr">
        <is>
          <t>avverkningsanmälan</t>
        </is>
      </c>
      <c r="C561" t="inlineStr">
        <is>
          <t>Föryngringsavverkning</t>
        </is>
      </c>
      <c r="D561" s="1" t="n">
        <v>44536</v>
      </c>
      <c r="E561" s="1" t="n">
        <v>46313</v>
      </c>
      <c r="F561" t="inlineStr">
        <is>
          <t>SÖDERMANLANDS LÄN</t>
        </is>
      </c>
      <c r="G561" t="inlineStr">
        <is>
          <t>FLEN</t>
        </is>
      </c>
      <c r="I561" t="n">
        <v>7.5</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63017-2021</t>
        </is>
      </c>
      <c r="B562" t="inlineStr">
        <is>
          <t>avverkningsanmälan</t>
        </is>
      </c>
      <c r="C562" t="inlineStr">
        <is>
          <t>Föryngringsavverkning</t>
        </is>
      </c>
      <c r="D562" s="1" t="n">
        <v>44505</v>
      </c>
      <c r="E562" s="1" t="n">
        <v>46313</v>
      </c>
      <c r="F562" t="inlineStr">
        <is>
          <t>SÖDERMANLANDS LÄN</t>
        </is>
      </c>
      <c r="G562" t="inlineStr">
        <is>
          <t>NYKÖPING</t>
        </is>
      </c>
      <c r="I562" t="n">
        <v>21.9</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5301-2022</t>
        </is>
      </c>
      <c r="B563" t="inlineStr">
        <is>
          <t>avverkningsanmälan</t>
        </is>
      </c>
      <c r="C563" t="inlineStr">
        <is>
          <t>Föryngringsavverkning</t>
        </is>
      </c>
      <c r="D563" s="1" t="n">
        <v>44594</v>
      </c>
      <c r="E563" s="1" t="n">
        <v>46313</v>
      </c>
      <c r="F563" t="inlineStr">
        <is>
          <t>SÖDERMANLANDS LÄN</t>
        </is>
      </c>
      <c r="G563" t="inlineStr">
        <is>
          <t>GNESTA</t>
        </is>
      </c>
      <c r="I563" t="n">
        <v>1.9</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7303-2022</t>
        </is>
      </c>
      <c r="B564" t="inlineStr">
        <is>
          <t>avverkningsanmälan</t>
        </is>
      </c>
      <c r="C564" t="inlineStr">
        <is>
          <t>Föryngringsavverkning</t>
        </is>
      </c>
      <c r="D564" s="1" t="n">
        <v>44606</v>
      </c>
      <c r="E564" s="1" t="n">
        <v>46313</v>
      </c>
      <c r="F564" t="inlineStr">
        <is>
          <t>SÖDERMANLANDS LÄN</t>
        </is>
      </c>
      <c r="G564" t="inlineStr">
        <is>
          <t>GNESTA</t>
        </is>
      </c>
      <c r="H564" t="inlineStr">
        <is>
          <t>Övriga Aktiebolag</t>
        </is>
      </c>
      <c r="I564" t="n">
        <v>1.2</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29527-2022</t>
        </is>
      </c>
      <c r="B565" t="inlineStr">
        <is>
          <t>avverkningsanmälan</t>
        </is>
      </c>
      <c r="C565" t="inlineStr">
        <is>
          <t>Föryngringsavverkning</t>
        </is>
      </c>
      <c r="D565" s="1" t="n">
        <v>44742</v>
      </c>
      <c r="E565" s="1" t="n">
        <v>46313</v>
      </c>
      <c r="F565" t="inlineStr">
        <is>
          <t>SÖDERMANLANDS LÄN</t>
        </is>
      </c>
      <c r="G565" t="inlineStr">
        <is>
          <t>GNESTA</t>
        </is>
      </c>
      <c r="I565" t="n">
        <v>2.1</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59266-2021</t>
        </is>
      </c>
      <c r="B566" t="inlineStr">
        <is>
          <t>avverkningsanmälan</t>
        </is>
      </c>
      <c r="C566" t="inlineStr">
        <is>
          <t>Föryngringsavverkning</t>
        </is>
      </c>
      <c r="D566" s="1" t="n">
        <v>44490</v>
      </c>
      <c r="E566" s="1" t="n">
        <v>46313</v>
      </c>
      <c r="F566" t="inlineStr">
        <is>
          <t>SÖDERMANLANDS LÄN</t>
        </is>
      </c>
      <c r="G566" t="inlineStr">
        <is>
          <t>TROSA</t>
        </is>
      </c>
      <c r="H566" t="inlineStr">
        <is>
          <t>Holmen skog AB</t>
        </is>
      </c>
      <c r="I566" t="n">
        <v>0.9</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59271-2021</t>
        </is>
      </c>
      <c r="B567" t="inlineStr">
        <is>
          <t>avverkningsanmälan</t>
        </is>
      </c>
      <c r="C567" t="inlineStr">
        <is>
          <t>Föryngringsavverkning</t>
        </is>
      </c>
      <c r="D567" s="1" t="n">
        <v>44490</v>
      </c>
      <c r="E567" s="1" t="n">
        <v>46313</v>
      </c>
      <c r="F567" t="inlineStr">
        <is>
          <t>SÖDERMANLANDS LÄN</t>
        </is>
      </c>
      <c r="G567" t="inlineStr">
        <is>
          <t>ESKILSTUNA</t>
        </is>
      </c>
      <c r="I567" t="n">
        <v>1.9</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22191-2022</t>
        </is>
      </c>
      <c r="B568" t="inlineStr">
        <is>
          <t>avverkningsanmälan</t>
        </is>
      </c>
      <c r="C568" t="inlineStr">
        <is>
          <t>Föryngringsavverkning</t>
        </is>
      </c>
      <c r="D568" s="1" t="n">
        <v>44712</v>
      </c>
      <c r="E568" s="1" t="n">
        <v>46313</v>
      </c>
      <c r="F568" t="inlineStr">
        <is>
          <t>SÖDERMANLANDS LÄN</t>
        </is>
      </c>
      <c r="G568" t="inlineStr">
        <is>
          <t>ESKILSTUNA</t>
        </is>
      </c>
      <c r="I568" t="n">
        <v>2.7</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14537-2022</t>
        </is>
      </c>
      <c r="B569" t="inlineStr">
        <is>
          <t>avverkningsanmälan</t>
        </is>
      </c>
      <c r="C569" t="inlineStr">
        <is>
          <t>Föryngringsavverkning</t>
        </is>
      </c>
      <c r="D569" s="1" t="n">
        <v>44655</v>
      </c>
      <c r="E569" s="1" t="n">
        <v>46313</v>
      </c>
      <c r="F569" t="inlineStr">
        <is>
          <t>SÖDERMANLANDS LÄN</t>
        </is>
      </c>
      <c r="G569" t="inlineStr">
        <is>
          <t>VINGÅKER</t>
        </is>
      </c>
      <c r="H569" t="inlineStr">
        <is>
          <t>Kommuner</t>
        </is>
      </c>
      <c r="I569" t="n">
        <v>0.6</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10438-2022</t>
        </is>
      </c>
      <c r="B570" t="inlineStr">
        <is>
          <t>avverkningsanmälan</t>
        </is>
      </c>
      <c r="C570" t="inlineStr">
        <is>
          <t>Avverkning för annat ändamål</t>
        </is>
      </c>
      <c r="D570" s="1" t="n">
        <v>44623</v>
      </c>
      <c r="E570" s="1" t="n">
        <v>46313</v>
      </c>
      <c r="F570" t="inlineStr">
        <is>
          <t>SÖDERMANLANDS LÄN</t>
        </is>
      </c>
      <c r="G570" t="inlineStr">
        <is>
          <t>VINGÅKER</t>
        </is>
      </c>
      <c r="I570" t="n">
        <v>5.3</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8990-2022</t>
        </is>
      </c>
      <c r="B571" t="inlineStr">
        <is>
          <t>avverkningsanmälan</t>
        </is>
      </c>
      <c r="C571" t="inlineStr">
        <is>
          <t>Föryngringsavverkning</t>
        </is>
      </c>
      <c r="D571" s="1" t="n">
        <v>44614</v>
      </c>
      <c r="E571" s="1" t="n">
        <v>46313</v>
      </c>
      <c r="F571" t="inlineStr">
        <is>
          <t>SÖDERMANLANDS LÄN</t>
        </is>
      </c>
      <c r="G571" t="inlineStr">
        <is>
          <t>FLEN</t>
        </is>
      </c>
      <c r="I571" t="n">
        <v>0.9</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14828-2022</t>
        </is>
      </c>
      <c r="B572" t="inlineStr">
        <is>
          <t>avverkningsanmälan</t>
        </is>
      </c>
      <c r="C572" t="inlineStr">
        <is>
          <t>Föryngringsavverkning</t>
        </is>
      </c>
      <c r="D572" s="1" t="n">
        <v>44656</v>
      </c>
      <c r="E572" s="1" t="n">
        <v>46313</v>
      </c>
      <c r="F572" t="inlineStr">
        <is>
          <t>SÖDERMANLANDS LÄN</t>
        </is>
      </c>
      <c r="G572" t="inlineStr">
        <is>
          <t>NYKÖPING</t>
        </is>
      </c>
      <c r="I572" t="n">
        <v>0.6</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954-2022</t>
        </is>
      </c>
      <c r="B573" t="inlineStr">
        <is>
          <t>avverkningsanmälan</t>
        </is>
      </c>
      <c r="C573" t="inlineStr">
        <is>
          <t>Föryngringsavverkning</t>
        </is>
      </c>
      <c r="D573" s="1" t="n">
        <v>44571</v>
      </c>
      <c r="E573" s="1" t="n">
        <v>46313</v>
      </c>
      <c r="F573" t="inlineStr">
        <is>
          <t>SÖDERMANLANDS LÄN</t>
        </is>
      </c>
      <c r="G573" t="inlineStr">
        <is>
          <t>GNESTA</t>
        </is>
      </c>
      <c r="I573" t="n">
        <v>1.3</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70215-2021</t>
        </is>
      </c>
      <c r="B574" t="inlineStr">
        <is>
          <t>avverkningsanmälan</t>
        </is>
      </c>
      <c r="C574" t="inlineStr">
        <is>
          <t>Föryngringsavverkning</t>
        </is>
      </c>
      <c r="D574" s="1" t="n">
        <v>44535</v>
      </c>
      <c r="E574" s="1" t="n">
        <v>46313</v>
      </c>
      <c r="F574" t="inlineStr">
        <is>
          <t>SÖDERMANLANDS LÄN</t>
        </is>
      </c>
      <c r="G574" t="inlineStr">
        <is>
          <t>FLEN</t>
        </is>
      </c>
      <c r="I574" t="n">
        <v>5.2</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7818-2022</t>
        </is>
      </c>
      <c r="B575" t="inlineStr">
        <is>
          <t>avverkningsanmälan</t>
        </is>
      </c>
      <c r="C575" t="inlineStr">
        <is>
          <t>Föryngringsavverkning</t>
        </is>
      </c>
      <c r="D575" s="1" t="n">
        <v>44608</v>
      </c>
      <c r="E575" s="1" t="n">
        <v>46313</v>
      </c>
      <c r="F575" t="inlineStr">
        <is>
          <t>SÖDERMANLANDS LÄN</t>
        </is>
      </c>
      <c r="G575" t="inlineStr">
        <is>
          <t>ESKILSTUNA</t>
        </is>
      </c>
      <c r="I575" t="n">
        <v>0.4</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7821-2022</t>
        </is>
      </c>
      <c r="B576" t="inlineStr">
        <is>
          <t>avverkningsanmälan</t>
        </is>
      </c>
      <c r="C576" t="inlineStr">
        <is>
          <t>Föryngringsavverkning</t>
        </is>
      </c>
      <c r="D576" s="1" t="n">
        <v>44608</v>
      </c>
      <c r="E576" s="1" t="n">
        <v>46313</v>
      </c>
      <c r="F576" t="inlineStr">
        <is>
          <t>SÖDERMANLANDS LÄN</t>
        </is>
      </c>
      <c r="G576" t="inlineStr">
        <is>
          <t>VINGÅKER</t>
        </is>
      </c>
      <c r="I576" t="n">
        <v>0.5</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7506-2022</t>
        </is>
      </c>
      <c r="B577" t="inlineStr">
        <is>
          <t>avverkningsanmälan</t>
        </is>
      </c>
      <c r="C577" t="inlineStr">
        <is>
          <t>Föryngringsavverkning</t>
        </is>
      </c>
      <c r="D577" s="1" t="n">
        <v>44607</v>
      </c>
      <c r="E577" s="1" t="n">
        <v>46313</v>
      </c>
      <c r="F577" t="inlineStr">
        <is>
          <t>SÖDERMANLANDS LÄN</t>
        </is>
      </c>
      <c r="G577" t="inlineStr">
        <is>
          <t>GNESTA</t>
        </is>
      </c>
      <c r="I577" t="n">
        <v>0.9</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65188-2021</t>
        </is>
      </c>
      <c r="B578" t="inlineStr">
        <is>
          <t>avverkningsanmälan</t>
        </is>
      </c>
      <c r="C578" t="inlineStr">
        <is>
          <t>Föryngringsavverkning</t>
        </is>
      </c>
      <c r="D578" s="1" t="n">
        <v>44512</v>
      </c>
      <c r="E578" s="1" t="n">
        <v>46313</v>
      </c>
      <c r="F578" t="inlineStr">
        <is>
          <t>SÖDERMANLANDS LÄN</t>
        </is>
      </c>
      <c r="G578" t="inlineStr">
        <is>
          <t>KATRINEHOLM</t>
        </is>
      </c>
      <c r="I578" t="n">
        <v>0.6</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66852-2021</t>
        </is>
      </c>
      <c r="B579" t="inlineStr">
        <is>
          <t>avverkningsanmälan</t>
        </is>
      </c>
      <c r="C579" t="inlineStr">
        <is>
          <t>Föryngringsavverkning</t>
        </is>
      </c>
      <c r="D579" s="1" t="n">
        <v>44522</v>
      </c>
      <c r="E579" s="1" t="n">
        <v>46313</v>
      </c>
      <c r="F579" t="inlineStr">
        <is>
          <t>SÖDERMANLANDS LÄN</t>
        </is>
      </c>
      <c r="G579" t="inlineStr">
        <is>
          <t>NYKÖPING</t>
        </is>
      </c>
      <c r="H579" t="inlineStr">
        <is>
          <t>Holmen skog AB</t>
        </is>
      </c>
      <c r="I579" t="n">
        <v>0.7</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50625-2022</t>
        </is>
      </c>
      <c r="B580" t="inlineStr">
        <is>
          <t>avverkningsanmälan</t>
        </is>
      </c>
      <c r="C580" t="inlineStr">
        <is>
          <t>Föryngringsavverkning</t>
        </is>
      </c>
      <c r="D580" s="1" t="n">
        <v>44866</v>
      </c>
      <c r="E580" s="1" t="n">
        <v>46313</v>
      </c>
      <c r="F580" t="inlineStr">
        <is>
          <t>SÖDERMANLANDS LÄN</t>
        </is>
      </c>
      <c r="G580" t="inlineStr">
        <is>
          <t>KATRINEHOLM</t>
        </is>
      </c>
      <c r="H580" t="inlineStr">
        <is>
          <t>Kyrkan</t>
        </is>
      </c>
      <c r="I580" t="n">
        <v>25</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66131-2021</t>
        </is>
      </c>
      <c r="B581" t="inlineStr">
        <is>
          <t>avverkningsanmälan</t>
        </is>
      </c>
      <c r="C581" t="inlineStr">
        <is>
          <t>Föryngringsavverkning</t>
        </is>
      </c>
      <c r="D581" s="1" t="n">
        <v>44517</v>
      </c>
      <c r="E581" s="1" t="n">
        <v>46313</v>
      </c>
      <c r="F581" t="inlineStr">
        <is>
          <t>SÖDERMANLANDS LÄN</t>
        </is>
      </c>
      <c r="G581" t="inlineStr">
        <is>
          <t>ESKILSTUNA</t>
        </is>
      </c>
      <c r="I581" t="n">
        <v>0.8</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66132-2021</t>
        </is>
      </c>
      <c r="B582" t="inlineStr">
        <is>
          <t>avverkningsanmälan</t>
        </is>
      </c>
      <c r="C582" t="inlineStr">
        <is>
          <t>Föryngringsavverkning</t>
        </is>
      </c>
      <c r="D582" s="1" t="n">
        <v>44517</v>
      </c>
      <c r="E582" s="1" t="n">
        <v>46313</v>
      </c>
      <c r="F582" t="inlineStr">
        <is>
          <t>SÖDERMANLANDS LÄN</t>
        </is>
      </c>
      <c r="G582" t="inlineStr">
        <is>
          <t>ESKILSTUNA</t>
        </is>
      </c>
      <c r="I582" t="n">
        <v>0.6</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59776-2021</t>
        </is>
      </c>
      <c r="B583" t="inlineStr">
        <is>
          <t>avverkningsanmälan</t>
        </is>
      </c>
      <c r="C583" t="inlineStr">
        <is>
          <t>Föryngringsavverkning</t>
        </is>
      </c>
      <c r="D583" s="1" t="n">
        <v>44494</v>
      </c>
      <c r="E583" s="1" t="n">
        <v>46313</v>
      </c>
      <c r="F583" t="inlineStr">
        <is>
          <t>SÖDERMANLANDS LÄN</t>
        </is>
      </c>
      <c r="G583" t="inlineStr">
        <is>
          <t>NYKÖPING</t>
        </is>
      </c>
      <c r="I583" t="n">
        <v>1.6</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70442-2021</t>
        </is>
      </c>
      <c r="B584" t="inlineStr">
        <is>
          <t>avverkningsanmälan</t>
        </is>
      </c>
      <c r="C584" t="inlineStr">
        <is>
          <t>Föryngringsavverkning</t>
        </is>
      </c>
      <c r="D584" s="1" t="n">
        <v>44536</v>
      </c>
      <c r="E584" s="1" t="n">
        <v>46313</v>
      </c>
      <c r="F584" t="inlineStr">
        <is>
          <t>SÖDERMANLANDS LÄN</t>
        </is>
      </c>
      <c r="G584" t="inlineStr">
        <is>
          <t>KATRINEHOLM</t>
        </is>
      </c>
      <c r="I584" t="n">
        <v>0.9</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64986-2021</t>
        </is>
      </c>
      <c r="B585" t="inlineStr">
        <is>
          <t>avverkningsanmälan</t>
        </is>
      </c>
      <c r="C585" t="inlineStr">
        <is>
          <t>Föryngringsavverkning</t>
        </is>
      </c>
      <c r="D585" s="1" t="n">
        <v>44513</v>
      </c>
      <c r="E585" s="1" t="n">
        <v>46313</v>
      </c>
      <c r="F585" t="inlineStr">
        <is>
          <t>SÖDERMANLANDS LÄN</t>
        </is>
      </c>
      <c r="G585" t="inlineStr">
        <is>
          <t>ESKILSTUNA</t>
        </is>
      </c>
      <c r="I585" t="n">
        <v>1.1</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64162-2021</t>
        </is>
      </c>
      <c r="B586" t="inlineStr">
        <is>
          <t>avverkningsanmälan</t>
        </is>
      </c>
      <c r="C586" t="inlineStr">
        <is>
          <t>Föryngringsavverkning</t>
        </is>
      </c>
      <c r="D586" s="1" t="n">
        <v>44510</v>
      </c>
      <c r="E586" s="1" t="n">
        <v>46313</v>
      </c>
      <c r="F586" t="inlineStr">
        <is>
          <t>SÖDERMANLANDS LÄN</t>
        </is>
      </c>
      <c r="G586" t="inlineStr">
        <is>
          <t>NYKÖPING</t>
        </is>
      </c>
      <c r="I586" t="n">
        <v>4.4</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11024-2022</t>
        </is>
      </c>
      <c r="B587" t="inlineStr">
        <is>
          <t>avverkningsanmälan</t>
        </is>
      </c>
      <c r="C587" t="inlineStr">
        <is>
          <t>Föryngringsavverkning</t>
        </is>
      </c>
      <c r="D587" s="1" t="n">
        <v>44628</v>
      </c>
      <c r="E587" s="1" t="n">
        <v>46313</v>
      </c>
      <c r="F587" t="inlineStr">
        <is>
          <t>SÖDERMANLANDS LÄN</t>
        </is>
      </c>
      <c r="G587" t="inlineStr">
        <is>
          <t>KATRINEHOLM</t>
        </is>
      </c>
      <c r="I587" t="n">
        <v>0.4</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6145-2022</t>
        </is>
      </c>
      <c r="B588" t="inlineStr">
        <is>
          <t>avverkningsanmälan</t>
        </is>
      </c>
      <c r="C588" t="inlineStr">
        <is>
          <t>Föryngringsavverkning</t>
        </is>
      </c>
      <c r="D588" s="1" t="n">
        <v>44599</v>
      </c>
      <c r="E588" s="1" t="n">
        <v>46313</v>
      </c>
      <c r="F588" t="inlineStr">
        <is>
          <t>SÖDERMANLANDS LÄN</t>
        </is>
      </c>
      <c r="G588" t="inlineStr">
        <is>
          <t>KATRINEHOLM</t>
        </is>
      </c>
      <c r="I588" t="n">
        <v>2.3</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40818-2022</t>
        </is>
      </c>
      <c r="B589" t="inlineStr">
        <is>
          <t>avverkningsanmälan</t>
        </is>
      </c>
      <c r="C589" t="inlineStr">
        <is>
          <t>Föryngringsavverkning</t>
        </is>
      </c>
      <c r="D589" s="1" t="n">
        <v>44824</v>
      </c>
      <c r="E589" s="1" t="n">
        <v>46313</v>
      </c>
      <c r="F589" t="inlineStr">
        <is>
          <t>SÖDERMANLANDS LÄN</t>
        </is>
      </c>
      <c r="G589" t="inlineStr">
        <is>
          <t>KATRINEHOLM</t>
        </is>
      </c>
      <c r="I589" t="n">
        <v>0.2</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2982-2022</t>
        </is>
      </c>
      <c r="B590" t="inlineStr">
        <is>
          <t>avverkningsanmälan</t>
        </is>
      </c>
      <c r="C590" t="inlineStr">
        <is>
          <t>Föryngringsavverkning</t>
        </is>
      </c>
      <c r="D590" s="1" t="n">
        <v>44581</v>
      </c>
      <c r="E590" s="1" t="n">
        <v>46313</v>
      </c>
      <c r="F590" t="inlineStr">
        <is>
          <t>SÖDERMANLANDS LÄN</t>
        </is>
      </c>
      <c r="G590" t="inlineStr">
        <is>
          <t>GNESTA</t>
        </is>
      </c>
      <c r="I590" t="n">
        <v>1.2</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2983-2022</t>
        </is>
      </c>
      <c r="B591" t="inlineStr">
        <is>
          <t>avverkningsanmälan</t>
        </is>
      </c>
      <c r="C591" t="inlineStr">
        <is>
          <t>Föryngringsavverkning</t>
        </is>
      </c>
      <c r="D591" s="1" t="n">
        <v>44581</v>
      </c>
      <c r="E591" s="1" t="n">
        <v>46313</v>
      </c>
      <c r="F591" t="inlineStr">
        <is>
          <t>SÖDERMANLANDS LÄN</t>
        </is>
      </c>
      <c r="G591" t="inlineStr">
        <is>
          <t>GNESTA</t>
        </is>
      </c>
      <c r="I591" t="n">
        <v>3.4</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13542-2022</t>
        </is>
      </c>
      <c r="B592" t="inlineStr">
        <is>
          <t>avverkningsanmälan</t>
        </is>
      </c>
      <c r="C592" t="inlineStr">
        <is>
          <t>Föryngringsavverkning</t>
        </is>
      </c>
      <c r="D592" s="1" t="n">
        <v>44648</v>
      </c>
      <c r="E592" s="1" t="n">
        <v>46313</v>
      </c>
      <c r="F592" t="inlineStr">
        <is>
          <t>SÖDERMANLANDS LÄN</t>
        </is>
      </c>
      <c r="G592" t="inlineStr">
        <is>
          <t>NYKÖPING</t>
        </is>
      </c>
      <c r="I592" t="n">
        <v>3.5</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24354-2022</t>
        </is>
      </c>
      <c r="B593" t="inlineStr">
        <is>
          <t>avverkningsanmälan</t>
        </is>
      </c>
      <c r="C593" t="inlineStr">
        <is>
          <t>Föryngringsavverkning</t>
        </is>
      </c>
      <c r="D593" s="1" t="n">
        <v>44726</v>
      </c>
      <c r="E593" s="1" t="n">
        <v>46313</v>
      </c>
      <c r="F593" t="inlineStr">
        <is>
          <t>SÖDERMANLANDS LÄN</t>
        </is>
      </c>
      <c r="G593" t="inlineStr">
        <is>
          <t>GNESTA</t>
        </is>
      </c>
      <c r="I593" t="n">
        <v>2.2</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32401-2022</t>
        </is>
      </c>
      <c r="B594" t="inlineStr">
        <is>
          <t>avverkningsanmälan</t>
        </is>
      </c>
      <c r="C594" t="inlineStr">
        <is>
          <t>Föryngringsavverkning</t>
        </is>
      </c>
      <c r="D594" s="1" t="n">
        <v>44781</v>
      </c>
      <c r="E594" s="1" t="n">
        <v>46313</v>
      </c>
      <c r="F594" t="inlineStr">
        <is>
          <t>SÖDERMANLANDS LÄN</t>
        </is>
      </c>
      <c r="G594" t="inlineStr">
        <is>
          <t>ESKILSTUNA</t>
        </is>
      </c>
      <c r="I594" t="n">
        <v>2.7</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4331-2022</t>
        </is>
      </c>
      <c r="B595" t="inlineStr">
        <is>
          <t>avverkningsanmälan</t>
        </is>
      </c>
      <c r="C595" t="inlineStr">
        <is>
          <t>Föryngringsavverkning</t>
        </is>
      </c>
      <c r="D595" s="1" t="n">
        <v>44588</v>
      </c>
      <c r="E595" s="1" t="n">
        <v>46313</v>
      </c>
      <c r="F595" t="inlineStr">
        <is>
          <t>SÖDERMANLANDS LÄN</t>
        </is>
      </c>
      <c r="G595" t="inlineStr">
        <is>
          <t>ESKILSTUNA</t>
        </is>
      </c>
      <c r="H595" t="inlineStr">
        <is>
          <t>Allmännings- och besparingsskogar</t>
        </is>
      </c>
      <c r="I595" t="n">
        <v>0.8</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30865-2022</t>
        </is>
      </c>
      <c r="B596" t="inlineStr">
        <is>
          <t>avverkningsanmälan</t>
        </is>
      </c>
      <c r="C596" t="inlineStr">
        <is>
          <t>Föryngringsavverkning</t>
        </is>
      </c>
      <c r="D596" s="1" t="n">
        <v>44767</v>
      </c>
      <c r="E596" s="1" t="n">
        <v>46313</v>
      </c>
      <c r="F596" t="inlineStr">
        <is>
          <t>SÖDERMANLANDS LÄN</t>
        </is>
      </c>
      <c r="G596" t="inlineStr">
        <is>
          <t>NYKÖPING</t>
        </is>
      </c>
      <c r="H596" t="inlineStr">
        <is>
          <t>Holmen skog AB</t>
        </is>
      </c>
      <c r="I596" t="n">
        <v>1.5</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31538-2022</t>
        </is>
      </c>
      <c r="B597" t="inlineStr">
        <is>
          <t>avverkningsanmälan</t>
        </is>
      </c>
      <c r="C597" t="inlineStr">
        <is>
          <t>Föryngringsavverkning</t>
        </is>
      </c>
      <c r="D597" s="1" t="n">
        <v>44775</v>
      </c>
      <c r="E597" s="1" t="n">
        <v>46313</v>
      </c>
      <c r="F597" t="inlineStr">
        <is>
          <t>SÖDERMANLANDS LÄN</t>
        </is>
      </c>
      <c r="G597" t="inlineStr">
        <is>
          <t>NYKÖPING</t>
        </is>
      </c>
      <c r="I597" t="n">
        <v>1.3</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23609-2022</t>
        </is>
      </c>
      <c r="B598" t="inlineStr">
        <is>
          <t>avverkningsanmälan</t>
        </is>
      </c>
      <c r="C598" t="inlineStr">
        <is>
          <t>Föryngringsavverkning</t>
        </is>
      </c>
      <c r="D598" s="1" t="n">
        <v>44721</v>
      </c>
      <c r="E598" s="1" t="n">
        <v>46313</v>
      </c>
      <c r="F598" t="inlineStr">
        <is>
          <t>SÖDERMANLANDS LÄN</t>
        </is>
      </c>
      <c r="G598" t="inlineStr">
        <is>
          <t>TROSA</t>
        </is>
      </c>
      <c r="I598" t="n">
        <v>1.6</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30698-2022</t>
        </is>
      </c>
      <c r="B599" t="inlineStr">
        <is>
          <t>avverkningsanmälan</t>
        </is>
      </c>
      <c r="C599" t="inlineStr">
        <is>
          <t>Föryngringsavverkning</t>
        </is>
      </c>
      <c r="D599" s="1" t="n">
        <v>44763</v>
      </c>
      <c r="E599" s="1" t="n">
        <v>46313</v>
      </c>
      <c r="F599" t="inlineStr">
        <is>
          <t>SÖDERMANLANDS LÄN</t>
        </is>
      </c>
      <c r="G599" t="inlineStr">
        <is>
          <t>ESKILSTUNA</t>
        </is>
      </c>
      <c r="I599" t="n">
        <v>1.7</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16395-2022</t>
        </is>
      </c>
      <c r="B600" t="inlineStr">
        <is>
          <t>avverkningsanmälan</t>
        </is>
      </c>
      <c r="C600" t="inlineStr">
        <is>
          <t>Föryngringsavverkning</t>
        </is>
      </c>
      <c r="D600" s="1" t="n">
        <v>44671</v>
      </c>
      <c r="E600" s="1" t="n">
        <v>46313</v>
      </c>
      <c r="F600" t="inlineStr">
        <is>
          <t>SÖDERMANLANDS LÄN</t>
        </is>
      </c>
      <c r="G600" t="inlineStr">
        <is>
          <t>ESKILSTUNA</t>
        </is>
      </c>
      <c r="I600" t="n">
        <v>0.7</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23960-2022</t>
        </is>
      </c>
      <c r="B601" t="inlineStr">
        <is>
          <t>avverkningsanmälan</t>
        </is>
      </c>
      <c r="C601" t="inlineStr">
        <is>
          <t>Föryngringsavverkning</t>
        </is>
      </c>
      <c r="D601" s="1" t="n">
        <v>44722</v>
      </c>
      <c r="E601" s="1" t="n">
        <v>46313</v>
      </c>
      <c r="F601" t="inlineStr">
        <is>
          <t>SÖDERMANLANDS LÄN</t>
        </is>
      </c>
      <c r="G601" t="inlineStr">
        <is>
          <t>FLEN</t>
        </is>
      </c>
      <c r="H601" t="inlineStr">
        <is>
          <t>Kyrkan</t>
        </is>
      </c>
      <c r="I601" t="n">
        <v>3.5</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31306-2022</t>
        </is>
      </c>
      <c r="B602" t="inlineStr">
        <is>
          <t>avverkningsanmälan</t>
        </is>
      </c>
      <c r="C602" t="inlineStr">
        <is>
          <t>Föryngringsavverkning</t>
        </is>
      </c>
      <c r="D602" s="1" t="n">
        <v>44773</v>
      </c>
      <c r="E602" s="1" t="n">
        <v>46313</v>
      </c>
      <c r="F602" t="inlineStr">
        <is>
          <t>SÖDERMANLANDS LÄN</t>
        </is>
      </c>
      <c r="G602" t="inlineStr">
        <is>
          <t>GNESTA</t>
        </is>
      </c>
      <c r="I602" t="n">
        <v>0.7</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25714-2022</t>
        </is>
      </c>
      <c r="B603" t="inlineStr">
        <is>
          <t>avverkningsanmälan</t>
        </is>
      </c>
      <c r="C603" t="inlineStr">
        <is>
          <t>Föryngringsavverkning</t>
        </is>
      </c>
      <c r="D603" s="1" t="n">
        <v>44733</v>
      </c>
      <c r="E603" s="1" t="n">
        <v>46313</v>
      </c>
      <c r="F603" t="inlineStr">
        <is>
          <t>SÖDERMANLANDS LÄN</t>
        </is>
      </c>
      <c r="G603" t="inlineStr">
        <is>
          <t>NYKÖPING</t>
        </is>
      </c>
      <c r="I603" t="n">
        <v>0.9</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31398-2022</t>
        </is>
      </c>
      <c r="B604" t="inlineStr">
        <is>
          <t>avverkningsanmälan</t>
        </is>
      </c>
      <c r="C604" t="inlineStr">
        <is>
          <t>Föryngringsavverkning</t>
        </is>
      </c>
      <c r="D604" s="1" t="n">
        <v>44774</v>
      </c>
      <c r="E604" s="1" t="n">
        <v>46313</v>
      </c>
      <c r="F604" t="inlineStr">
        <is>
          <t>SÖDERMANLANDS LÄN</t>
        </is>
      </c>
      <c r="G604" t="inlineStr">
        <is>
          <t>NYKÖPING</t>
        </is>
      </c>
      <c r="I604" t="n">
        <v>0.7</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5270-2022</t>
        </is>
      </c>
      <c r="B605" t="inlineStr">
        <is>
          <t>avverkningsanmälan</t>
        </is>
      </c>
      <c r="C605" t="inlineStr">
        <is>
          <t>Föryngringsavverkning</t>
        </is>
      </c>
      <c r="D605" s="1" t="n">
        <v>44594</v>
      </c>
      <c r="E605" s="1" t="n">
        <v>46313</v>
      </c>
      <c r="F605" t="inlineStr">
        <is>
          <t>SÖDERMANLANDS LÄN</t>
        </is>
      </c>
      <c r="G605" t="inlineStr">
        <is>
          <t>GNESTA</t>
        </is>
      </c>
      <c r="I605" t="n">
        <v>0.8</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6695-2022</t>
        </is>
      </c>
      <c r="B606" t="inlineStr">
        <is>
          <t>avverkningsanmälan</t>
        </is>
      </c>
      <c r="C606" t="inlineStr">
        <is>
          <t>Föryngringsavverkning</t>
        </is>
      </c>
      <c r="D606" s="1" t="n">
        <v>44602</v>
      </c>
      <c r="E606" s="1" t="n">
        <v>46313</v>
      </c>
      <c r="F606" t="inlineStr">
        <is>
          <t>SÖDERMANLANDS LÄN</t>
        </is>
      </c>
      <c r="G606" t="inlineStr">
        <is>
          <t>KATRINEHOLM</t>
        </is>
      </c>
      <c r="I606" t="n">
        <v>3.4</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10413-2022</t>
        </is>
      </c>
      <c r="B607" t="inlineStr">
        <is>
          <t>avverkningsanmälan</t>
        </is>
      </c>
      <c r="C607" t="inlineStr">
        <is>
          <t>Föryngringsavverkning</t>
        </is>
      </c>
      <c r="D607" s="1" t="n">
        <v>44623</v>
      </c>
      <c r="E607" s="1" t="n">
        <v>46313</v>
      </c>
      <c r="F607" t="inlineStr">
        <is>
          <t>SÖDERMANLANDS LÄN</t>
        </is>
      </c>
      <c r="G607" t="inlineStr">
        <is>
          <t>STRÄNGNÄS</t>
        </is>
      </c>
      <c r="I607" t="n">
        <v>2.5</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52257-2022</t>
        </is>
      </c>
      <c r="B608" t="inlineStr">
        <is>
          <t>avverkningsanmälan</t>
        </is>
      </c>
      <c r="C608" t="inlineStr">
        <is>
          <t>Föryngringsavverkning</t>
        </is>
      </c>
      <c r="D608" s="1" t="n">
        <v>44869</v>
      </c>
      <c r="E608" s="1" t="n">
        <v>46313</v>
      </c>
      <c r="F608" t="inlineStr">
        <is>
          <t>SÖDERMANLANDS LÄN</t>
        </is>
      </c>
      <c r="G608" t="inlineStr">
        <is>
          <t>FLEN</t>
        </is>
      </c>
      <c r="H608" t="inlineStr">
        <is>
          <t>Övriga statliga verk och myndigheter</t>
        </is>
      </c>
      <c r="I608" t="n">
        <v>1</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70422-2021</t>
        </is>
      </c>
      <c r="B609" t="inlineStr">
        <is>
          <t>avverkningsanmälan</t>
        </is>
      </c>
      <c r="C609" t="inlineStr">
        <is>
          <t>Föryngringsavverkning</t>
        </is>
      </c>
      <c r="D609" s="1" t="n">
        <v>44536</v>
      </c>
      <c r="E609" s="1" t="n">
        <v>46313</v>
      </c>
      <c r="F609" t="inlineStr">
        <is>
          <t>SÖDERMANLANDS LÄN</t>
        </is>
      </c>
      <c r="G609" t="inlineStr">
        <is>
          <t>KATRINEHOLM</t>
        </is>
      </c>
      <c r="I609" t="n">
        <v>3.5</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23028-2022</t>
        </is>
      </c>
      <c r="B610" t="inlineStr">
        <is>
          <t>avverkningsanmälan</t>
        </is>
      </c>
      <c r="C610" t="inlineStr">
        <is>
          <t>Föryngringsavverkning</t>
        </is>
      </c>
      <c r="D610" s="1" t="n">
        <v>44719</v>
      </c>
      <c r="E610" s="1" t="n">
        <v>46313</v>
      </c>
      <c r="F610" t="inlineStr">
        <is>
          <t>SÖDERMANLANDS LÄN</t>
        </is>
      </c>
      <c r="G610" t="inlineStr">
        <is>
          <t>KATRINEHOLM</t>
        </is>
      </c>
      <c r="I610" t="n">
        <v>1.2</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29499-2022</t>
        </is>
      </c>
      <c r="B611" t="inlineStr">
        <is>
          <t>avverkningsanmälan</t>
        </is>
      </c>
      <c r="C611" t="inlineStr">
        <is>
          <t>Föryngringsavverkning</t>
        </is>
      </c>
      <c r="D611" s="1" t="n">
        <v>44753</v>
      </c>
      <c r="E611" s="1" t="n">
        <v>46313</v>
      </c>
      <c r="F611" t="inlineStr">
        <is>
          <t>SÖDERMANLANDS LÄN</t>
        </is>
      </c>
      <c r="G611" t="inlineStr">
        <is>
          <t>NYKÖPING</t>
        </is>
      </c>
      <c r="H611" t="inlineStr">
        <is>
          <t>Kyrkan</t>
        </is>
      </c>
      <c r="I611" t="n">
        <v>1.7</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70051-2021</t>
        </is>
      </c>
      <c r="B612" t="inlineStr">
        <is>
          <t>avverkningsanmälan</t>
        </is>
      </c>
      <c r="C612" t="inlineStr">
        <is>
          <t>Föryngringsavverkning</t>
        </is>
      </c>
      <c r="D612" s="1" t="n">
        <v>44533</v>
      </c>
      <c r="E612" s="1" t="n">
        <v>46313</v>
      </c>
      <c r="F612" t="inlineStr">
        <is>
          <t>SÖDERMANLANDS LÄN</t>
        </is>
      </c>
      <c r="G612" t="inlineStr">
        <is>
          <t>ESKILSTUNA</t>
        </is>
      </c>
      <c r="I612" t="n">
        <v>4.9</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44624-2022</t>
        </is>
      </c>
      <c r="B613" t="inlineStr">
        <is>
          <t>avverkningsanmälan</t>
        </is>
      </c>
      <c r="C613" t="inlineStr">
        <is>
          <t>Föryngringsavverkning</t>
        </is>
      </c>
      <c r="D613" s="1" t="n">
        <v>44839</v>
      </c>
      <c r="E613" s="1" t="n">
        <v>46313</v>
      </c>
      <c r="F613" t="inlineStr">
        <is>
          <t>SÖDERMANLANDS LÄN</t>
        </is>
      </c>
      <c r="G613" t="inlineStr">
        <is>
          <t>GNESTA</t>
        </is>
      </c>
      <c r="I613" t="n">
        <v>2.2</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52084-2022</t>
        </is>
      </c>
      <c r="B614" t="inlineStr">
        <is>
          <t>avverkningsanmälan</t>
        </is>
      </c>
      <c r="C614" t="inlineStr">
        <is>
          <t>Föryngringsavverkning</t>
        </is>
      </c>
      <c r="D614" s="1" t="n">
        <v>44873</v>
      </c>
      <c r="E614" s="1" t="n">
        <v>46313</v>
      </c>
      <c r="F614" t="inlineStr">
        <is>
          <t>SÖDERMANLANDS LÄN</t>
        </is>
      </c>
      <c r="G614" t="inlineStr">
        <is>
          <t>NYKÖPING</t>
        </is>
      </c>
      <c r="I614" t="n">
        <v>14.6</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14350-2022</t>
        </is>
      </c>
      <c r="B615" t="inlineStr">
        <is>
          <t>avverkningsanmälan</t>
        </is>
      </c>
      <c r="C615" t="inlineStr">
        <is>
          <t>Föryngringsavverkning</t>
        </is>
      </c>
      <c r="D615" s="1" t="n">
        <v>44652</v>
      </c>
      <c r="E615" s="1" t="n">
        <v>46313</v>
      </c>
      <c r="F615" t="inlineStr">
        <is>
          <t>SÖDERMANLANDS LÄN</t>
        </is>
      </c>
      <c r="G615" t="inlineStr">
        <is>
          <t>NYKÖPING</t>
        </is>
      </c>
      <c r="I615" t="n">
        <v>0.2</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65694-2021</t>
        </is>
      </c>
      <c r="B616" t="inlineStr">
        <is>
          <t>avverkningsanmälan</t>
        </is>
      </c>
      <c r="C616" t="inlineStr">
        <is>
          <t>Föryngringsavverkning</t>
        </is>
      </c>
      <c r="D616" s="1" t="n">
        <v>44516</v>
      </c>
      <c r="E616" s="1" t="n">
        <v>46313</v>
      </c>
      <c r="F616" t="inlineStr">
        <is>
          <t>SÖDERMANLANDS LÄN</t>
        </is>
      </c>
      <c r="G616" t="inlineStr">
        <is>
          <t>ESKILSTUNA</t>
        </is>
      </c>
      <c r="I616" t="n">
        <v>1.8</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15814-2022</t>
        </is>
      </c>
      <c r="B617" t="inlineStr">
        <is>
          <t>avverkningsanmälan</t>
        </is>
      </c>
      <c r="C617" t="inlineStr">
        <is>
          <t>Föryngringsavverkning</t>
        </is>
      </c>
      <c r="D617" s="1" t="n">
        <v>44664</v>
      </c>
      <c r="E617" s="1" t="n">
        <v>46313</v>
      </c>
      <c r="F617" t="inlineStr">
        <is>
          <t>SÖDERMANLANDS LÄN</t>
        </is>
      </c>
      <c r="G617" t="inlineStr">
        <is>
          <t>STRÄNGNÄS</t>
        </is>
      </c>
      <c r="I617" t="n">
        <v>0.9</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12277-2022</t>
        </is>
      </c>
      <c r="B618" t="inlineStr">
        <is>
          <t>avverkningsanmälan</t>
        </is>
      </c>
      <c r="C618" t="inlineStr">
        <is>
          <t>Föryngringsavverkning</t>
        </is>
      </c>
      <c r="D618" s="1" t="n">
        <v>44637</v>
      </c>
      <c r="E618" s="1" t="n">
        <v>46313</v>
      </c>
      <c r="F618" t="inlineStr">
        <is>
          <t>SÖDERMANLANDS LÄN</t>
        </is>
      </c>
      <c r="G618" t="inlineStr">
        <is>
          <t>STRÄNGNÄS</t>
        </is>
      </c>
      <c r="I618" t="n">
        <v>0.6</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15404-2022</t>
        </is>
      </c>
      <c r="B619" t="inlineStr">
        <is>
          <t>avverkningsanmälan</t>
        </is>
      </c>
      <c r="C619" t="inlineStr">
        <is>
          <t>Föryngringsavverkning</t>
        </is>
      </c>
      <c r="D619" s="1" t="n">
        <v>44659</v>
      </c>
      <c r="E619" s="1" t="n">
        <v>46313</v>
      </c>
      <c r="F619" t="inlineStr">
        <is>
          <t>SÖDERMANLANDS LÄN</t>
        </is>
      </c>
      <c r="G619" t="inlineStr">
        <is>
          <t>NYKÖPING</t>
        </is>
      </c>
      <c r="I619" t="n">
        <v>2.5</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29626-2022</t>
        </is>
      </c>
      <c r="B620" t="inlineStr">
        <is>
          <t>avverkningsanmälan</t>
        </is>
      </c>
      <c r="C620" t="inlineStr">
        <is>
          <t>Föryngringsavverkning</t>
        </is>
      </c>
      <c r="D620" s="1" t="n">
        <v>44754</v>
      </c>
      <c r="E620" s="1" t="n">
        <v>46313</v>
      </c>
      <c r="F620" t="inlineStr">
        <is>
          <t>SÖDERMANLANDS LÄN</t>
        </is>
      </c>
      <c r="G620" t="inlineStr">
        <is>
          <t>ESKILSTUNA</t>
        </is>
      </c>
      <c r="H620" t="inlineStr">
        <is>
          <t>Kommuner</t>
        </is>
      </c>
      <c r="I620" t="n">
        <v>1.7</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7739-2022</t>
        </is>
      </c>
      <c r="B621" t="inlineStr">
        <is>
          <t>avverkningsanmälan</t>
        </is>
      </c>
      <c r="C621" t="inlineStr">
        <is>
          <t>Föryngringsavverkning</t>
        </is>
      </c>
      <c r="D621" s="1" t="n">
        <v>44608</v>
      </c>
      <c r="E621" s="1" t="n">
        <v>46313</v>
      </c>
      <c r="F621" t="inlineStr">
        <is>
          <t>SÖDERMANLANDS LÄN</t>
        </is>
      </c>
      <c r="G621" t="inlineStr">
        <is>
          <t>VINGÅKER</t>
        </is>
      </c>
      <c r="I621" t="n">
        <v>2.4</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38166-2022</t>
        </is>
      </c>
      <c r="B622" t="inlineStr">
        <is>
          <t>avverkningsanmälan</t>
        </is>
      </c>
      <c r="C622" t="inlineStr">
        <is>
          <t>Föryngringsavverkning</t>
        </is>
      </c>
      <c r="D622" s="1" t="n">
        <v>44812</v>
      </c>
      <c r="E622" s="1" t="n">
        <v>46313</v>
      </c>
      <c r="F622" t="inlineStr">
        <is>
          <t>SÖDERMANLANDS LÄN</t>
        </is>
      </c>
      <c r="G622" t="inlineStr">
        <is>
          <t>NYKÖPING</t>
        </is>
      </c>
      <c r="I622" t="n">
        <v>4</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67835-2021</t>
        </is>
      </c>
      <c r="B623" t="inlineStr">
        <is>
          <t>avverkningsanmälan</t>
        </is>
      </c>
      <c r="C623" t="inlineStr">
        <is>
          <t>Föryngringsavverkning</t>
        </is>
      </c>
      <c r="D623" s="1" t="n">
        <v>44525</v>
      </c>
      <c r="E623" s="1" t="n">
        <v>46313</v>
      </c>
      <c r="F623" t="inlineStr">
        <is>
          <t>SÖDERMANLANDS LÄN</t>
        </is>
      </c>
      <c r="G623" t="inlineStr">
        <is>
          <t>VINGÅKER</t>
        </is>
      </c>
      <c r="I623" t="n">
        <v>3.1</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60919-2021</t>
        </is>
      </c>
      <c r="B624" t="inlineStr">
        <is>
          <t>avverkningsanmälan</t>
        </is>
      </c>
      <c r="C624" t="inlineStr">
        <is>
          <t>Föryngringsavverkning</t>
        </is>
      </c>
      <c r="D624" s="1" t="n">
        <v>44497</v>
      </c>
      <c r="E624" s="1" t="n">
        <v>46313</v>
      </c>
      <c r="F624" t="inlineStr">
        <is>
          <t>SÖDERMANLANDS LÄN</t>
        </is>
      </c>
      <c r="G624" t="inlineStr">
        <is>
          <t>GNESTA</t>
        </is>
      </c>
      <c r="I624" t="n">
        <v>1.7</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28071-2022</t>
        </is>
      </c>
      <c r="B625" t="inlineStr">
        <is>
          <t>avverkningsanmälan</t>
        </is>
      </c>
      <c r="C625" t="inlineStr">
        <is>
          <t>Föryngringsavverkning</t>
        </is>
      </c>
      <c r="D625" s="1" t="n">
        <v>44746</v>
      </c>
      <c r="E625" s="1" t="n">
        <v>46313</v>
      </c>
      <c r="F625" t="inlineStr">
        <is>
          <t>SÖDERMANLANDS LÄN</t>
        </is>
      </c>
      <c r="G625" t="inlineStr">
        <is>
          <t>ESKILSTUNA</t>
        </is>
      </c>
      <c r="I625" t="n">
        <v>2.2</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60515-2021</t>
        </is>
      </c>
      <c r="B626" t="inlineStr">
        <is>
          <t>avverkningsanmälan</t>
        </is>
      </c>
      <c r="C626" t="inlineStr">
        <is>
          <t>Föryngringsavverkning</t>
        </is>
      </c>
      <c r="D626" s="1" t="n">
        <v>44496</v>
      </c>
      <c r="E626" s="1" t="n">
        <v>46313</v>
      </c>
      <c r="F626" t="inlineStr">
        <is>
          <t>SÖDERMANLANDS LÄN</t>
        </is>
      </c>
      <c r="G626" t="inlineStr">
        <is>
          <t>KATRINEHOLM</t>
        </is>
      </c>
      <c r="I626" t="n">
        <v>1.8</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17841-2022</t>
        </is>
      </c>
      <c r="B627" t="inlineStr">
        <is>
          <t>avverkningsanmälan</t>
        </is>
      </c>
      <c r="C627" t="inlineStr">
        <is>
          <t>Föryngringsavverkning</t>
        </is>
      </c>
      <c r="D627" s="1" t="n">
        <v>44683</v>
      </c>
      <c r="E627" s="1" t="n">
        <v>46313</v>
      </c>
      <c r="F627" t="inlineStr">
        <is>
          <t>SÖDERMANLANDS LÄN</t>
        </is>
      </c>
      <c r="G627" t="inlineStr">
        <is>
          <t>ESKILSTUNA</t>
        </is>
      </c>
      <c r="H627" t="inlineStr">
        <is>
          <t>Allmännings- och besparingsskogar</t>
        </is>
      </c>
      <c r="I627" t="n">
        <v>2.2</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47453-2022</t>
        </is>
      </c>
      <c r="B628" t="inlineStr">
        <is>
          <t>avverkningsanmälan</t>
        </is>
      </c>
      <c r="C628" t="inlineStr">
        <is>
          <t>Föryngringsavverkning</t>
        </is>
      </c>
      <c r="D628" s="1" t="n">
        <v>44852</v>
      </c>
      <c r="E628" s="1" t="n">
        <v>46313</v>
      </c>
      <c r="F628" t="inlineStr">
        <is>
          <t>SÖDERMANLANDS LÄN</t>
        </is>
      </c>
      <c r="G628" t="inlineStr">
        <is>
          <t>STRÄNGNÄS</t>
        </is>
      </c>
      <c r="I628" t="n">
        <v>1.7</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7863-2022</t>
        </is>
      </c>
      <c r="B629" t="inlineStr">
        <is>
          <t>avverkningsanmälan</t>
        </is>
      </c>
      <c r="C629" t="inlineStr">
        <is>
          <t>Föryngringsavverkning</t>
        </is>
      </c>
      <c r="D629" s="1" t="n">
        <v>44608</v>
      </c>
      <c r="E629" s="1" t="n">
        <v>46313</v>
      </c>
      <c r="F629" t="inlineStr">
        <is>
          <t>SÖDERMANLANDS LÄN</t>
        </is>
      </c>
      <c r="G629" t="inlineStr">
        <is>
          <t>FLEN</t>
        </is>
      </c>
      <c r="H629" t="inlineStr">
        <is>
          <t>Övriga statliga verk och myndigheter</t>
        </is>
      </c>
      <c r="I629" t="n">
        <v>0.8</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43198-2022</t>
        </is>
      </c>
      <c r="B630" t="inlineStr">
        <is>
          <t>avverkningsanmälan</t>
        </is>
      </c>
      <c r="C630" t="inlineStr">
        <is>
          <t>Föryngringsavverkning</t>
        </is>
      </c>
      <c r="D630" s="1" t="n">
        <v>44833</v>
      </c>
      <c r="E630" s="1" t="n">
        <v>46313</v>
      </c>
      <c r="F630" t="inlineStr">
        <is>
          <t>SÖDERMANLANDS LÄN</t>
        </is>
      </c>
      <c r="G630" t="inlineStr">
        <is>
          <t>GNESTA</t>
        </is>
      </c>
      <c r="I630" t="n">
        <v>1</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60331-2021</t>
        </is>
      </c>
      <c r="B631" t="inlineStr">
        <is>
          <t>avverkningsanmälan</t>
        </is>
      </c>
      <c r="C631" t="inlineStr">
        <is>
          <t>Föryngringsavverkning</t>
        </is>
      </c>
      <c r="D631" s="1" t="n">
        <v>44495</v>
      </c>
      <c r="E631" s="1" t="n">
        <v>46313</v>
      </c>
      <c r="F631" t="inlineStr">
        <is>
          <t>SÖDERMANLANDS LÄN</t>
        </is>
      </c>
      <c r="G631" t="inlineStr">
        <is>
          <t>STRÄNGNÄS</t>
        </is>
      </c>
      <c r="H631" t="inlineStr">
        <is>
          <t>Allmännings- och besparingsskogar</t>
        </is>
      </c>
      <c r="I631" t="n">
        <v>0.6</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22185-2022</t>
        </is>
      </c>
      <c r="B632" t="inlineStr">
        <is>
          <t>avverkningsanmälan</t>
        </is>
      </c>
      <c r="C632" t="inlineStr">
        <is>
          <t>Föryngringsavverkning</t>
        </is>
      </c>
      <c r="D632" s="1" t="n">
        <v>44712</v>
      </c>
      <c r="E632" s="1" t="n">
        <v>46313</v>
      </c>
      <c r="F632" t="inlineStr">
        <is>
          <t>SÖDERMANLANDS LÄN</t>
        </is>
      </c>
      <c r="G632" t="inlineStr">
        <is>
          <t>ESKILSTUNA</t>
        </is>
      </c>
      <c r="I632" t="n">
        <v>2.1</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13559-2022</t>
        </is>
      </c>
      <c r="B633" t="inlineStr">
        <is>
          <t>avverkningsanmälan</t>
        </is>
      </c>
      <c r="C633" t="inlineStr">
        <is>
          <t>Föryngringsavverkning</t>
        </is>
      </c>
      <c r="D633" s="1" t="n">
        <v>44648</v>
      </c>
      <c r="E633" s="1" t="n">
        <v>46313</v>
      </c>
      <c r="F633" t="inlineStr">
        <is>
          <t>SÖDERMANLANDS LÄN</t>
        </is>
      </c>
      <c r="G633" t="inlineStr">
        <is>
          <t>NYKÖPING</t>
        </is>
      </c>
      <c r="I633" t="n">
        <v>1.9</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29367-2022</t>
        </is>
      </c>
      <c r="B634" t="inlineStr">
        <is>
          <t>avverkningsanmälan</t>
        </is>
      </c>
      <c r="C634" t="inlineStr">
        <is>
          <t>Föryngringsavverkning</t>
        </is>
      </c>
      <c r="D634" s="1" t="n">
        <v>44752</v>
      </c>
      <c r="E634" s="1" t="n">
        <v>46313</v>
      </c>
      <c r="F634" t="inlineStr">
        <is>
          <t>SÖDERMANLANDS LÄN</t>
        </is>
      </c>
      <c r="G634" t="inlineStr">
        <is>
          <t>FLEN</t>
        </is>
      </c>
      <c r="I634" t="n">
        <v>0.5</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23294-2022</t>
        </is>
      </c>
      <c r="B635" t="inlineStr">
        <is>
          <t>avverkningsanmälan</t>
        </is>
      </c>
      <c r="C635" t="inlineStr">
        <is>
          <t>Föryngringsavverkning</t>
        </is>
      </c>
      <c r="D635" s="1" t="n">
        <v>44720</v>
      </c>
      <c r="E635" s="1" t="n">
        <v>46313</v>
      </c>
      <c r="F635" t="inlineStr">
        <is>
          <t>SÖDERMANLANDS LÄN</t>
        </is>
      </c>
      <c r="G635" t="inlineStr">
        <is>
          <t>FLEN</t>
        </is>
      </c>
      <c r="H635" t="inlineStr">
        <is>
          <t>Kyrkan</t>
        </is>
      </c>
      <c r="I635" t="n">
        <v>3.1</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25493-2022</t>
        </is>
      </c>
      <c r="B636" t="inlineStr">
        <is>
          <t>avverkningsanmälan</t>
        </is>
      </c>
      <c r="C636" t="inlineStr">
        <is>
          <t>Föryngringsavverkning</t>
        </is>
      </c>
      <c r="D636" s="1" t="n">
        <v>44732</v>
      </c>
      <c r="E636" s="1" t="n">
        <v>46313</v>
      </c>
      <c r="F636" t="inlineStr">
        <is>
          <t>SÖDERMANLANDS LÄN</t>
        </is>
      </c>
      <c r="G636" t="inlineStr">
        <is>
          <t>NYKÖPING</t>
        </is>
      </c>
      <c r="H636" t="inlineStr">
        <is>
          <t>Övriga Aktiebolag</t>
        </is>
      </c>
      <c r="I636" t="n">
        <v>8.300000000000001</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2973-2022</t>
        </is>
      </c>
      <c r="B637" t="inlineStr">
        <is>
          <t>avverkningsanmälan</t>
        </is>
      </c>
      <c r="C637" t="inlineStr">
        <is>
          <t>Föryngringsavverkning</t>
        </is>
      </c>
      <c r="D637" s="1" t="n">
        <v>44581</v>
      </c>
      <c r="E637" s="1" t="n">
        <v>46313</v>
      </c>
      <c r="F637" t="inlineStr">
        <is>
          <t>SÖDERMANLANDS LÄN</t>
        </is>
      </c>
      <c r="G637" t="inlineStr">
        <is>
          <t>NYKÖPING</t>
        </is>
      </c>
      <c r="I637" t="n">
        <v>5.5</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33875-2022</t>
        </is>
      </c>
      <c r="B638" t="inlineStr">
        <is>
          <t>avverkningsanmälan</t>
        </is>
      </c>
      <c r="C638" t="inlineStr">
        <is>
          <t>Föryngringsavverkning</t>
        </is>
      </c>
      <c r="D638" s="1" t="n">
        <v>44790</v>
      </c>
      <c r="E638" s="1" t="n">
        <v>46313</v>
      </c>
      <c r="F638" t="inlineStr">
        <is>
          <t>SÖDERMANLANDS LÄN</t>
        </is>
      </c>
      <c r="G638" t="inlineStr">
        <is>
          <t>NYKÖPING</t>
        </is>
      </c>
      <c r="I638" t="n">
        <v>3</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11137-2022</t>
        </is>
      </c>
      <c r="B639" t="inlineStr">
        <is>
          <t>avverkningsanmälan</t>
        </is>
      </c>
      <c r="C639" t="inlineStr">
        <is>
          <t>Föryngringsavverkning</t>
        </is>
      </c>
      <c r="D639" s="1" t="n">
        <v>44628</v>
      </c>
      <c r="E639" s="1" t="n">
        <v>46313</v>
      </c>
      <c r="F639" t="inlineStr">
        <is>
          <t>SÖDERMANLANDS LÄN</t>
        </is>
      </c>
      <c r="G639" t="inlineStr">
        <is>
          <t>ESKILSTUNA</t>
        </is>
      </c>
      <c r="I639" t="n">
        <v>5.2</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35693-2022</t>
        </is>
      </c>
      <c r="B640" t="inlineStr">
        <is>
          <t>avverkningsanmälan</t>
        </is>
      </c>
      <c r="C640" t="inlineStr">
        <is>
          <t>Föryngringsavverkning</t>
        </is>
      </c>
      <c r="D640" s="1" t="n">
        <v>44799</v>
      </c>
      <c r="E640" s="1" t="n">
        <v>46313</v>
      </c>
      <c r="F640" t="inlineStr">
        <is>
          <t>SÖDERMANLANDS LÄN</t>
        </is>
      </c>
      <c r="G640" t="inlineStr">
        <is>
          <t>ESKILSTUNA</t>
        </is>
      </c>
      <c r="I640" t="n">
        <v>0.6</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3572-2022</t>
        </is>
      </c>
      <c r="B641" t="inlineStr">
        <is>
          <t>avverkningsanmälan</t>
        </is>
      </c>
      <c r="C641" t="inlineStr">
        <is>
          <t>Avverkning för annat ändamål</t>
        </is>
      </c>
      <c r="D641" s="1" t="n">
        <v>44585</v>
      </c>
      <c r="E641" s="1" t="n">
        <v>46313</v>
      </c>
      <c r="F641" t="inlineStr">
        <is>
          <t>SÖDERMANLANDS LÄN</t>
        </is>
      </c>
      <c r="G641" t="inlineStr">
        <is>
          <t>KATRINEHOLM</t>
        </is>
      </c>
      <c r="I641" t="n">
        <v>1.7</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52050-2022</t>
        </is>
      </c>
      <c r="B642" t="inlineStr">
        <is>
          <t>avverkningsanmälan</t>
        </is>
      </c>
      <c r="C642" t="inlineStr">
        <is>
          <t>Föryngringsavverkning</t>
        </is>
      </c>
      <c r="D642" s="1" t="n">
        <v>44873</v>
      </c>
      <c r="E642" s="1" t="n">
        <v>46313</v>
      </c>
      <c r="F642" t="inlineStr">
        <is>
          <t>SÖDERMANLANDS LÄN</t>
        </is>
      </c>
      <c r="G642" t="inlineStr">
        <is>
          <t>FLEN</t>
        </is>
      </c>
      <c r="I642" t="n">
        <v>6</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52090-2022</t>
        </is>
      </c>
      <c r="B643" t="inlineStr">
        <is>
          <t>avverkningsanmälan</t>
        </is>
      </c>
      <c r="C643" t="inlineStr">
        <is>
          <t>Föryngringsavverkning</t>
        </is>
      </c>
      <c r="D643" s="1" t="n">
        <v>44873</v>
      </c>
      <c r="E643" s="1" t="n">
        <v>46313</v>
      </c>
      <c r="F643" t="inlineStr">
        <is>
          <t>SÖDERMANLANDS LÄN</t>
        </is>
      </c>
      <c r="G643" t="inlineStr">
        <is>
          <t>NYKÖPING</t>
        </is>
      </c>
      <c r="I643" t="n">
        <v>1.1</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10357-2022</t>
        </is>
      </c>
      <c r="B644" t="inlineStr">
        <is>
          <t>avverkningsanmälan</t>
        </is>
      </c>
      <c r="C644" t="inlineStr">
        <is>
          <t>Föryngringsavverkning</t>
        </is>
      </c>
      <c r="D644" s="1" t="n">
        <v>44623</v>
      </c>
      <c r="E644" s="1" t="n">
        <v>46313</v>
      </c>
      <c r="F644" t="inlineStr">
        <is>
          <t>SÖDERMANLANDS LÄN</t>
        </is>
      </c>
      <c r="G644" t="inlineStr">
        <is>
          <t>NYKÖPING</t>
        </is>
      </c>
      <c r="I644" t="n">
        <v>1.2</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17816-2022</t>
        </is>
      </c>
      <c r="B645" t="inlineStr">
        <is>
          <t>avverkningsanmälan</t>
        </is>
      </c>
      <c r="C645" t="inlineStr">
        <is>
          <t>Föryngringsavverkning</t>
        </is>
      </c>
      <c r="D645" s="1" t="n">
        <v>44683</v>
      </c>
      <c r="E645" s="1" t="n">
        <v>46313</v>
      </c>
      <c r="F645" t="inlineStr">
        <is>
          <t>SÖDERMANLANDS LÄN</t>
        </is>
      </c>
      <c r="G645" t="inlineStr">
        <is>
          <t>ESKILSTUNA</t>
        </is>
      </c>
      <c r="I645" t="n">
        <v>2.8</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21364-2022</t>
        </is>
      </c>
      <c r="B646" t="inlineStr">
        <is>
          <t>avverkningsanmälan</t>
        </is>
      </c>
      <c r="C646" t="inlineStr">
        <is>
          <t>Föryngringsavverkning</t>
        </is>
      </c>
      <c r="D646" s="1" t="n">
        <v>44705</v>
      </c>
      <c r="E646" s="1" t="n">
        <v>46313</v>
      </c>
      <c r="F646" t="inlineStr">
        <is>
          <t>SÖDERMANLANDS LÄN</t>
        </is>
      </c>
      <c r="G646" t="inlineStr">
        <is>
          <t>NYKÖPING</t>
        </is>
      </c>
      <c r="I646" t="n">
        <v>0.6</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24207-2022</t>
        </is>
      </c>
      <c r="B647" t="inlineStr">
        <is>
          <t>avverkningsanmälan</t>
        </is>
      </c>
      <c r="C647" t="inlineStr">
        <is>
          <t>Föryngringsavverkning</t>
        </is>
      </c>
      <c r="D647" s="1" t="n">
        <v>44725</v>
      </c>
      <c r="E647" s="1" t="n">
        <v>46313</v>
      </c>
      <c r="F647" t="inlineStr">
        <is>
          <t>SÖDERMANLANDS LÄN</t>
        </is>
      </c>
      <c r="G647" t="inlineStr">
        <is>
          <t>KATRINEHOLM</t>
        </is>
      </c>
      <c r="I647" t="n">
        <v>0.7</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28060-2022</t>
        </is>
      </c>
      <c r="B648" t="inlineStr">
        <is>
          <t>avverkningsanmälan</t>
        </is>
      </c>
      <c r="C648" t="inlineStr">
        <is>
          <t>Föryngringsavverkning</t>
        </is>
      </c>
      <c r="D648" s="1" t="n">
        <v>44746</v>
      </c>
      <c r="E648" s="1" t="n">
        <v>46313</v>
      </c>
      <c r="F648" t="inlineStr">
        <is>
          <t>SÖDERMANLANDS LÄN</t>
        </is>
      </c>
      <c r="G648" t="inlineStr">
        <is>
          <t>ESKILSTUNA</t>
        </is>
      </c>
      <c r="I648" t="n">
        <v>1.1</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28066-2022</t>
        </is>
      </c>
      <c r="B649" t="inlineStr">
        <is>
          <t>avverkningsanmälan</t>
        </is>
      </c>
      <c r="C649" t="inlineStr">
        <is>
          <t>Föryngringsavverkning</t>
        </is>
      </c>
      <c r="D649" s="1" t="n">
        <v>44746</v>
      </c>
      <c r="E649" s="1" t="n">
        <v>46313</v>
      </c>
      <c r="F649" t="inlineStr">
        <is>
          <t>SÖDERMANLANDS LÄN</t>
        </is>
      </c>
      <c r="G649" t="inlineStr">
        <is>
          <t>ESKILSTUNA</t>
        </is>
      </c>
      <c r="I649" t="n">
        <v>1.5</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34070-2022</t>
        </is>
      </c>
      <c r="B650" t="inlineStr">
        <is>
          <t>avverkningsanmälan</t>
        </is>
      </c>
      <c r="C650" t="inlineStr">
        <is>
          <t>Föryngringsavverkning</t>
        </is>
      </c>
      <c r="D650" s="1" t="n">
        <v>44791</v>
      </c>
      <c r="E650" s="1" t="n">
        <v>46313</v>
      </c>
      <c r="F650" t="inlineStr">
        <is>
          <t>SÖDERMANLANDS LÄN</t>
        </is>
      </c>
      <c r="G650" t="inlineStr">
        <is>
          <t>KATRINEHOLM</t>
        </is>
      </c>
      <c r="I650" t="n">
        <v>1.8</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9786-2022</t>
        </is>
      </c>
      <c r="B651" t="inlineStr">
        <is>
          <t>avverkningsanmälan</t>
        </is>
      </c>
      <c r="C651" t="inlineStr">
        <is>
          <t>Föryngringsavverkning</t>
        </is>
      </c>
      <c r="D651" s="1" t="n">
        <v>44619</v>
      </c>
      <c r="E651" s="1" t="n">
        <v>46313</v>
      </c>
      <c r="F651" t="inlineStr">
        <is>
          <t>SÖDERMANLANDS LÄN</t>
        </is>
      </c>
      <c r="G651" t="inlineStr">
        <is>
          <t>KATRINEHOLM</t>
        </is>
      </c>
      <c r="I651" t="n">
        <v>1.4</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65589-2021</t>
        </is>
      </c>
      <c r="B652" t="inlineStr">
        <is>
          <t>avverkningsanmälan</t>
        </is>
      </c>
      <c r="C652" t="inlineStr">
        <is>
          <t>Föryngringsavverkning</t>
        </is>
      </c>
      <c r="D652" s="1" t="n">
        <v>44515</v>
      </c>
      <c r="E652" s="1" t="n">
        <v>46313</v>
      </c>
      <c r="F652" t="inlineStr">
        <is>
          <t>SÖDERMANLANDS LÄN</t>
        </is>
      </c>
      <c r="G652" t="inlineStr">
        <is>
          <t>KATRINEHOLM</t>
        </is>
      </c>
      <c r="I652" t="n">
        <v>2.6</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18824-2022</t>
        </is>
      </c>
      <c r="B653" t="inlineStr">
        <is>
          <t>avverkningsanmälan</t>
        </is>
      </c>
      <c r="C653" t="inlineStr">
        <is>
          <t>Föryngringsavverkning</t>
        </is>
      </c>
      <c r="D653" s="1" t="n">
        <v>44690</v>
      </c>
      <c r="E653" s="1" t="n">
        <v>46313</v>
      </c>
      <c r="F653" t="inlineStr">
        <is>
          <t>SÖDERMANLANDS LÄN</t>
        </is>
      </c>
      <c r="G653" t="inlineStr">
        <is>
          <t>NYKÖPING</t>
        </is>
      </c>
      <c r="I653" t="n">
        <v>1.2</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27992-2022</t>
        </is>
      </c>
      <c r="B654" t="inlineStr">
        <is>
          <t>avverkningsanmälan</t>
        </is>
      </c>
      <c r="C654" t="inlineStr">
        <is>
          <t>Föryngringsavverkning</t>
        </is>
      </c>
      <c r="D654" s="1" t="n">
        <v>44745</v>
      </c>
      <c r="E654" s="1" t="n">
        <v>46313</v>
      </c>
      <c r="F654" t="inlineStr">
        <is>
          <t>SÖDERMANLANDS LÄN</t>
        </is>
      </c>
      <c r="G654" t="inlineStr">
        <is>
          <t>FLEN</t>
        </is>
      </c>
      <c r="I654" t="n">
        <v>2.1</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31077-2022</t>
        </is>
      </c>
      <c r="B655" t="inlineStr">
        <is>
          <t>avverkningsanmälan</t>
        </is>
      </c>
      <c r="C655" t="inlineStr">
        <is>
          <t>Föryngringsavverkning</t>
        </is>
      </c>
      <c r="D655" s="1" t="n">
        <v>44769</v>
      </c>
      <c r="E655" s="1" t="n">
        <v>46313</v>
      </c>
      <c r="F655" t="inlineStr">
        <is>
          <t>SÖDERMANLANDS LÄN</t>
        </is>
      </c>
      <c r="G655" t="inlineStr">
        <is>
          <t>FLEN</t>
        </is>
      </c>
      <c r="I655" t="n">
        <v>1.6</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67516-2021</t>
        </is>
      </c>
      <c r="B656" t="inlineStr">
        <is>
          <t>avverkningsanmälan</t>
        </is>
      </c>
      <c r="C656" t="inlineStr">
        <is>
          <t>Föryngringsavverkning</t>
        </is>
      </c>
      <c r="D656" s="1" t="n">
        <v>44524</v>
      </c>
      <c r="E656" s="1" t="n">
        <v>46313</v>
      </c>
      <c r="F656" t="inlineStr">
        <is>
          <t>SÖDERMANLANDS LÄN</t>
        </is>
      </c>
      <c r="G656" t="inlineStr">
        <is>
          <t>ESKILSTUNA</t>
        </is>
      </c>
      <c r="I656" t="n">
        <v>1</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2884-2022</t>
        </is>
      </c>
      <c r="B657" t="inlineStr">
        <is>
          <t>avverkningsanmälan</t>
        </is>
      </c>
      <c r="C657" t="inlineStr">
        <is>
          <t>Föryngringsavverkning</t>
        </is>
      </c>
      <c r="D657" s="1" t="n">
        <v>44581</v>
      </c>
      <c r="E657" s="1" t="n">
        <v>46313</v>
      </c>
      <c r="F657" t="inlineStr">
        <is>
          <t>SÖDERMANLANDS LÄN</t>
        </is>
      </c>
      <c r="G657" t="inlineStr">
        <is>
          <t>KATRINEHOLM</t>
        </is>
      </c>
      <c r="I657" t="n">
        <v>0.8</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7923-2022</t>
        </is>
      </c>
      <c r="B658" t="inlineStr">
        <is>
          <t>avverkningsanmälan</t>
        </is>
      </c>
      <c r="C658" t="inlineStr">
        <is>
          <t>Föryngringsavverkning</t>
        </is>
      </c>
      <c r="D658" s="1" t="n">
        <v>44608</v>
      </c>
      <c r="E658" s="1" t="n">
        <v>46313</v>
      </c>
      <c r="F658" t="inlineStr">
        <is>
          <t>SÖDERMANLANDS LÄN</t>
        </is>
      </c>
      <c r="G658" t="inlineStr">
        <is>
          <t>STRÄNGNÄS</t>
        </is>
      </c>
      <c r="I658" t="n">
        <v>3.6</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71150-2021</t>
        </is>
      </c>
      <c r="B659" t="inlineStr">
        <is>
          <t>avverkningsanmälan</t>
        </is>
      </c>
      <c r="C659" t="inlineStr">
        <is>
          <t>Föryngringsavverkning</t>
        </is>
      </c>
      <c r="D659" s="1" t="n">
        <v>44539</v>
      </c>
      <c r="E659" s="1" t="n">
        <v>46313</v>
      </c>
      <c r="F659" t="inlineStr">
        <is>
          <t>SÖDERMANLANDS LÄN</t>
        </is>
      </c>
      <c r="G659" t="inlineStr">
        <is>
          <t>GNESTA</t>
        </is>
      </c>
      <c r="H659" t="inlineStr">
        <is>
          <t>Allmännings- och besparingsskogar</t>
        </is>
      </c>
      <c r="I659" t="n">
        <v>0.9</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70038-2021</t>
        </is>
      </c>
      <c r="B660" t="inlineStr">
        <is>
          <t>avverkningsanmälan</t>
        </is>
      </c>
      <c r="C660" t="inlineStr">
        <is>
          <t>Föryngringsavverkning</t>
        </is>
      </c>
      <c r="D660" s="1" t="n">
        <v>44533</v>
      </c>
      <c r="E660" s="1" t="n">
        <v>46313</v>
      </c>
      <c r="F660" t="inlineStr">
        <is>
          <t>SÖDERMANLANDS LÄN</t>
        </is>
      </c>
      <c r="G660" t="inlineStr">
        <is>
          <t>ESKILSTUNA</t>
        </is>
      </c>
      <c r="I660" t="n">
        <v>2.6</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73092-2021</t>
        </is>
      </c>
      <c r="B661" t="inlineStr">
        <is>
          <t>avverkningsanmälan</t>
        </is>
      </c>
      <c r="C661" t="inlineStr">
        <is>
          <t>Föryngringsavverkning</t>
        </is>
      </c>
      <c r="D661" s="1" t="n">
        <v>44550</v>
      </c>
      <c r="E661" s="1" t="n">
        <v>46313</v>
      </c>
      <c r="F661" t="inlineStr">
        <is>
          <t>SÖDERMANLANDS LÄN</t>
        </is>
      </c>
      <c r="G661" t="inlineStr">
        <is>
          <t>STRÄNGNÄS</t>
        </is>
      </c>
      <c r="I661" t="n">
        <v>0.3</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2636-2022</t>
        </is>
      </c>
      <c r="B662" t="inlineStr">
        <is>
          <t>avverkningsanmälan</t>
        </is>
      </c>
      <c r="C662" t="inlineStr">
        <is>
          <t>Föryngringsavverkning</t>
        </is>
      </c>
      <c r="D662" s="1" t="n">
        <v>44580</v>
      </c>
      <c r="E662" s="1" t="n">
        <v>46313</v>
      </c>
      <c r="F662" t="inlineStr">
        <is>
          <t>SÖDERMANLANDS LÄN</t>
        </is>
      </c>
      <c r="G662" t="inlineStr">
        <is>
          <t>KATRINEHOLM</t>
        </is>
      </c>
      <c r="H662" t="inlineStr">
        <is>
          <t>Övriga Aktiebolag</t>
        </is>
      </c>
      <c r="I662" t="n">
        <v>2.5</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64157-2021</t>
        </is>
      </c>
      <c r="B663" t="inlineStr">
        <is>
          <t>avverkningsanmälan</t>
        </is>
      </c>
      <c r="C663" t="inlineStr">
        <is>
          <t>Föryngringsavverkning</t>
        </is>
      </c>
      <c r="D663" s="1" t="n">
        <v>44510</v>
      </c>
      <c r="E663" s="1" t="n">
        <v>46313</v>
      </c>
      <c r="F663" t="inlineStr">
        <is>
          <t>SÖDERMANLANDS LÄN</t>
        </is>
      </c>
      <c r="G663" t="inlineStr">
        <is>
          <t>NYKÖPING</t>
        </is>
      </c>
      <c r="I663" t="n">
        <v>5.5</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12688-2022</t>
        </is>
      </c>
      <c r="B664" t="inlineStr">
        <is>
          <t>avverkningsanmälan</t>
        </is>
      </c>
      <c r="C664" t="inlineStr">
        <is>
          <t>Föryngringsavverkning</t>
        </is>
      </c>
      <c r="D664" s="1" t="n">
        <v>44641</v>
      </c>
      <c r="E664" s="1" t="n">
        <v>46313</v>
      </c>
      <c r="F664" t="inlineStr">
        <is>
          <t>SÖDERMANLANDS LÄN</t>
        </is>
      </c>
      <c r="G664" t="inlineStr">
        <is>
          <t>STRÄNGNÄS</t>
        </is>
      </c>
      <c r="I664" t="n">
        <v>0.6</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8783-2022</t>
        </is>
      </c>
      <c r="B665" t="inlineStr">
        <is>
          <t>avverkningsanmälan</t>
        </is>
      </c>
      <c r="C665" t="inlineStr">
        <is>
          <t>Föryngringsavverkning</t>
        </is>
      </c>
      <c r="D665" s="1" t="n">
        <v>44614</v>
      </c>
      <c r="E665" s="1" t="n">
        <v>46313</v>
      </c>
      <c r="F665" t="inlineStr">
        <is>
          <t>SÖDERMANLANDS LÄN</t>
        </is>
      </c>
      <c r="G665" t="inlineStr">
        <is>
          <t>NYKÖPING</t>
        </is>
      </c>
      <c r="I665" t="n">
        <v>4.9</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44172-2022</t>
        </is>
      </c>
      <c r="B666" t="inlineStr">
        <is>
          <t>avverkningsanmälan</t>
        </is>
      </c>
      <c r="C666" t="inlineStr">
        <is>
          <t>Föryngringsavverkning</t>
        </is>
      </c>
      <c r="D666" s="1" t="n">
        <v>44839</v>
      </c>
      <c r="E666" s="1" t="n">
        <v>46313</v>
      </c>
      <c r="F666" t="inlineStr">
        <is>
          <t>SÖDERMANLANDS LÄN</t>
        </is>
      </c>
      <c r="G666" t="inlineStr">
        <is>
          <t>FLEN</t>
        </is>
      </c>
      <c r="I666" t="n">
        <v>0.4</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8532-2022</t>
        </is>
      </c>
      <c r="B667" t="inlineStr">
        <is>
          <t>avverkningsanmälan</t>
        </is>
      </c>
      <c r="C667" t="inlineStr">
        <is>
          <t>Föryngringsavverkning</t>
        </is>
      </c>
      <c r="D667" s="1" t="n">
        <v>44613</v>
      </c>
      <c r="E667" s="1" t="n">
        <v>46313</v>
      </c>
      <c r="F667" t="inlineStr">
        <is>
          <t>SÖDERMANLANDS LÄN</t>
        </is>
      </c>
      <c r="G667" t="inlineStr">
        <is>
          <t>NYKÖPING</t>
        </is>
      </c>
      <c r="I667" t="n">
        <v>1.8</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15391-2022</t>
        </is>
      </c>
      <c r="B668" t="inlineStr">
        <is>
          <t>avverkningsanmälan</t>
        </is>
      </c>
      <c r="C668" t="inlineStr">
        <is>
          <t>Föryngringsavverkning</t>
        </is>
      </c>
      <c r="D668" s="1" t="n">
        <v>44659</v>
      </c>
      <c r="E668" s="1" t="n">
        <v>46313</v>
      </c>
      <c r="F668" t="inlineStr">
        <is>
          <t>SÖDERMANLANDS LÄN</t>
        </is>
      </c>
      <c r="G668" t="inlineStr">
        <is>
          <t>NYKÖPING</t>
        </is>
      </c>
      <c r="I668" t="n">
        <v>1</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52247-2022</t>
        </is>
      </c>
      <c r="B669" t="inlineStr">
        <is>
          <t>avverkningsanmälan</t>
        </is>
      </c>
      <c r="C669" t="inlineStr">
        <is>
          <t>Avverkning för annat ändamål</t>
        </is>
      </c>
      <c r="D669" s="1" t="n">
        <v>44873</v>
      </c>
      <c r="E669" s="1" t="n">
        <v>46313</v>
      </c>
      <c r="F669" t="inlineStr">
        <is>
          <t>SÖDERMANLANDS LÄN</t>
        </is>
      </c>
      <c r="G669" t="inlineStr">
        <is>
          <t>GNESTA</t>
        </is>
      </c>
      <c r="I669" t="n">
        <v>0.2</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45274-2022</t>
        </is>
      </c>
      <c r="B670" t="inlineStr">
        <is>
          <t>avverkningsanmälan</t>
        </is>
      </c>
      <c r="C670" t="inlineStr">
        <is>
          <t>Föryngringsavverkning</t>
        </is>
      </c>
      <c r="D670" s="1" t="n">
        <v>44844</v>
      </c>
      <c r="E670" s="1" t="n">
        <v>46313</v>
      </c>
      <c r="F670" t="inlineStr">
        <is>
          <t>SÖDERMANLANDS LÄN</t>
        </is>
      </c>
      <c r="G670" t="inlineStr">
        <is>
          <t>KATRINEHOLM</t>
        </is>
      </c>
      <c r="I670" t="n">
        <v>0.4</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61236-2021</t>
        </is>
      </c>
      <c r="B671" t="inlineStr">
        <is>
          <t>avverkningsanmälan</t>
        </is>
      </c>
      <c r="C671" t="inlineStr">
        <is>
          <t>Föryngringsavverkning</t>
        </is>
      </c>
      <c r="D671" s="1" t="n">
        <v>44498</v>
      </c>
      <c r="E671" s="1" t="n">
        <v>46313</v>
      </c>
      <c r="F671" t="inlineStr">
        <is>
          <t>SÖDERMANLANDS LÄN</t>
        </is>
      </c>
      <c r="G671" t="inlineStr">
        <is>
          <t>KATRINEHOLM</t>
        </is>
      </c>
      <c r="I671" t="n">
        <v>3.9</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69255-2021</t>
        </is>
      </c>
      <c r="B672" t="inlineStr">
        <is>
          <t>avverkningsanmälan</t>
        </is>
      </c>
      <c r="C672" t="inlineStr">
        <is>
          <t>Föryngringsavverkning</t>
        </is>
      </c>
      <c r="D672" s="1" t="n">
        <v>44530</v>
      </c>
      <c r="E672" s="1" t="n">
        <v>46313</v>
      </c>
      <c r="F672" t="inlineStr">
        <is>
          <t>SÖDERMANLANDS LÄN</t>
        </is>
      </c>
      <c r="G672" t="inlineStr">
        <is>
          <t>NYKÖPING</t>
        </is>
      </c>
      <c r="I672" t="n">
        <v>0.9</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2496-2022</t>
        </is>
      </c>
      <c r="B673" t="inlineStr">
        <is>
          <t>avverkningsanmälan</t>
        </is>
      </c>
      <c r="C673" t="inlineStr">
        <is>
          <t>Föryngringsavverkning</t>
        </is>
      </c>
      <c r="D673" s="1" t="n">
        <v>44579</v>
      </c>
      <c r="E673" s="1" t="n">
        <v>46313</v>
      </c>
      <c r="F673" t="inlineStr">
        <is>
          <t>SÖDERMANLANDS LÄN</t>
        </is>
      </c>
      <c r="G673" t="inlineStr">
        <is>
          <t>FLEN</t>
        </is>
      </c>
      <c r="I673" t="n">
        <v>1.8</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3280-2022</t>
        </is>
      </c>
      <c r="B674" t="inlineStr">
        <is>
          <t>avverkningsanmälan</t>
        </is>
      </c>
      <c r="C674" t="inlineStr">
        <is>
          <t>Föryngringsavverkning</t>
        </is>
      </c>
      <c r="D674" s="1" t="n">
        <v>44584</v>
      </c>
      <c r="E674" s="1" t="n">
        <v>46313</v>
      </c>
      <c r="F674" t="inlineStr">
        <is>
          <t>SÖDERMANLANDS LÄN</t>
        </is>
      </c>
      <c r="G674" t="inlineStr">
        <is>
          <t>GNESTA</t>
        </is>
      </c>
      <c r="I674" t="n">
        <v>0.6</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5397-2022</t>
        </is>
      </c>
      <c r="B675" t="inlineStr">
        <is>
          <t>avverkningsanmälan</t>
        </is>
      </c>
      <c r="C675" t="inlineStr">
        <is>
          <t>Föryngringsavverkning</t>
        </is>
      </c>
      <c r="D675" s="1" t="n">
        <v>44595</v>
      </c>
      <c r="E675" s="1" t="n">
        <v>46313</v>
      </c>
      <c r="F675" t="inlineStr">
        <is>
          <t>SÖDERMANLANDS LÄN</t>
        </is>
      </c>
      <c r="G675" t="inlineStr">
        <is>
          <t>GNESTA</t>
        </is>
      </c>
      <c r="H675" t="inlineStr">
        <is>
          <t>Kyrkan</t>
        </is>
      </c>
      <c r="I675" t="n">
        <v>1.3</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4469-2022</t>
        </is>
      </c>
      <c r="B676" t="inlineStr">
        <is>
          <t>avverkningsanmälan</t>
        </is>
      </c>
      <c r="C676" t="inlineStr">
        <is>
          <t>Föryngringsavverkning</t>
        </is>
      </c>
      <c r="D676" s="1" t="n">
        <v>44589</v>
      </c>
      <c r="E676" s="1" t="n">
        <v>46313</v>
      </c>
      <c r="F676" t="inlineStr">
        <is>
          <t>SÖDERMANLANDS LÄN</t>
        </is>
      </c>
      <c r="G676" t="inlineStr">
        <is>
          <t>GNESTA</t>
        </is>
      </c>
      <c r="I676" t="n">
        <v>0.6</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4474-2022</t>
        </is>
      </c>
      <c r="B677" t="inlineStr">
        <is>
          <t>avverkningsanmälan</t>
        </is>
      </c>
      <c r="C677" t="inlineStr">
        <is>
          <t>Föryngringsavverkning</t>
        </is>
      </c>
      <c r="D677" s="1" t="n">
        <v>44589</v>
      </c>
      <c r="E677" s="1" t="n">
        <v>46313</v>
      </c>
      <c r="F677" t="inlineStr">
        <is>
          <t>SÖDERMANLANDS LÄN</t>
        </is>
      </c>
      <c r="G677" t="inlineStr">
        <is>
          <t>GNESTA</t>
        </is>
      </c>
      <c r="I677" t="n">
        <v>3.1</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12685-2022</t>
        </is>
      </c>
      <c r="B678" t="inlineStr">
        <is>
          <t>avverkningsanmälan</t>
        </is>
      </c>
      <c r="C678" t="inlineStr">
        <is>
          <t>Föryngringsavverkning</t>
        </is>
      </c>
      <c r="D678" s="1" t="n">
        <v>44641</v>
      </c>
      <c r="E678" s="1" t="n">
        <v>46313</v>
      </c>
      <c r="F678" t="inlineStr">
        <is>
          <t>SÖDERMANLANDS LÄN</t>
        </is>
      </c>
      <c r="G678" t="inlineStr">
        <is>
          <t>STRÄNGNÄS</t>
        </is>
      </c>
      <c r="I678" t="n">
        <v>6.9</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10391-2022</t>
        </is>
      </c>
      <c r="B679" t="inlineStr">
        <is>
          <t>avverkningsanmälan</t>
        </is>
      </c>
      <c r="C679" t="inlineStr">
        <is>
          <t>Föryngringsavverkning</t>
        </is>
      </c>
      <c r="D679" s="1" t="n">
        <v>44623</v>
      </c>
      <c r="E679" s="1" t="n">
        <v>46313</v>
      </c>
      <c r="F679" t="inlineStr">
        <is>
          <t>SÖDERMANLANDS LÄN</t>
        </is>
      </c>
      <c r="G679" t="inlineStr">
        <is>
          <t>STRÄNGNÄS</t>
        </is>
      </c>
      <c r="I679" t="n">
        <v>1.2</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59592-2021</t>
        </is>
      </c>
      <c r="B680" t="inlineStr">
        <is>
          <t>avverkningsanmälan</t>
        </is>
      </c>
      <c r="C680" t="inlineStr">
        <is>
          <t>Föryngringsavverkning</t>
        </is>
      </c>
      <c r="D680" s="1" t="n">
        <v>44491</v>
      </c>
      <c r="E680" s="1" t="n">
        <v>46313</v>
      </c>
      <c r="F680" t="inlineStr">
        <is>
          <t>SÖDERMANLANDS LÄN</t>
        </is>
      </c>
      <c r="G680" t="inlineStr">
        <is>
          <t>NYKÖPING</t>
        </is>
      </c>
      <c r="H680" t="inlineStr">
        <is>
          <t>Kyrkan</t>
        </is>
      </c>
      <c r="I680" t="n">
        <v>3.3</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29943-2022</t>
        </is>
      </c>
      <c r="B681" t="inlineStr">
        <is>
          <t>avverkningsanmälan</t>
        </is>
      </c>
      <c r="C681" t="inlineStr">
        <is>
          <t>Avverkning för annat ändamål</t>
        </is>
      </c>
      <c r="D681" s="1" t="n">
        <v>44756</v>
      </c>
      <c r="E681" s="1" t="n">
        <v>46313</v>
      </c>
      <c r="F681" t="inlineStr">
        <is>
          <t>SÖDERMANLANDS LÄN</t>
        </is>
      </c>
      <c r="G681" t="inlineStr">
        <is>
          <t>TROSA</t>
        </is>
      </c>
      <c r="I681" t="n">
        <v>11.4</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25851-2022</t>
        </is>
      </c>
      <c r="B682" t="inlineStr">
        <is>
          <t>avverkningsanmälan</t>
        </is>
      </c>
      <c r="C682" t="inlineStr">
        <is>
          <t>Föryngringsavverkning</t>
        </is>
      </c>
      <c r="D682" s="1" t="n">
        <v>44733</v>
      </c>
      <c r="E682" s="1" t="n">
        <v>46313</v>
      </c>
      <c r="F682" t="inlineStr">
        <is>
          <t>SÖDERMANLANDS LÄN</t>
        </is>
      </c>
      <c r="G682" t="inlineStr">
        <is>
          <t>TROSA</t>
        </is>
      </c>
      <c r="I682" t="n">
        <v>1.6</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22197-2022</t>
        </is>
      </c>
      <c r="B683" t="inlineStr">
        <is>
          <t>avverkningsanmälan</t>
        </is>
      </c>
      <c r="C683" t="inlineStr">
        <is>
          <t>Föryngringsavverkning</t>
        </is>
      </c>
      <c r="D683" s="1" t="n">
        <v>44712</v>
      </c>
      <c r="E683" s="1" t="n">
        <v>46313</v>
      </c>
      <c r="F683" t="inlineStr">
        <is>
          <t>SÖDERMANLANDS LÄN</t>
        </is>
      </c>
      <c r="G683" t="inlineStr">
        <is>
          <t>KATRINEHOLM</t>
        </is>
      </c>
      <c r="I683" t="n">
        <v>1.8</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19370-2022</t>
        </is>
      </c>
      <c r="B684" t="inlineStr">
        <is>
          <t>avverkningsanmälan</t>
        </is>
      </c>
      <c r="C684" t="inlineStr">
        <is>
          <t>Föryngringsavverkning</t>
        </is>
      </c>
      <c r="D684" s="1" t="n">
        <v>44692</v>
      </c>
      <c r="E684" s="1" t="n">
        <v>46313</v>
      </c>
      <c r="F684" t="inlineStr">
        <is>
          <t>SÖDERMANLANDS LÄN</t>
        </is>
      </c>
      <c r="G684" t="inlineStr">
        <is>
          <t>VINGÅKER</t>
        </is>
      </c>
      <c r="I684" t="n">
        <v>1.6</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16957-2022</t>
        </is>
      </c>
      <c r="B685" t="inlineStr">
        <is>
          <t>avverkningsanmälan</t>
        </is>
      </c>
      <c r="C685" t="inlineStr">
        <is>
          <t>Föryngringsavverkning</t>
        </is>
      </c>
      <c r="D685" s="1" t="n">
        <v>44676</v>
      </c>
      <c r="E685" s="1" t="n">
        <v>46313</v>
      </c>
      <c r="F685" t="inlineStr">
        <is>
          <t>SÖDERMANLANDS LÄN</t>
        </is>
      </c>
      <c r="G685" t="inlineStr">
        <is>
          <t>NYKÖPING</t>
        </is>
      </c>
      <c r="I685" t="n">
        <v>0.5</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32632-2022</t>
        </is>
      </c>
      <c r="B686" t="inlineStr">
        <is>
          <t>avverkningsanmälan</t>
        </is>
      </c>
      <c r="C686" t="inlineStr">
        <is>
          <t>Föryngringsavverkning</t>
        </is>
      </c>
      <c r="D686" s="1" t="n">
        <v>44783</v>
      </c>
      <c r="E686" s="1" t="n">
        <v>46313</v>
      </c>
      <c r="F686" t="inlineStr">
        <is>
          <t>SÖDERMANLANDS LÄN</t>
        </is>
      </c>
      <c r="G686" t="inlineStr">
        <is>
          <t>KATRINEHOLM</t>
        </is>
      </c>
      <c r="I686" t="n">
        <v>0.9</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32639-2022</t>
        </is>
      </c>
      <c r="B687" t="inlineStr">
        <is>
          <t>avverkningsanmälan</t>
        </is>
      </c>
      <c r="C687" t="inlineStr">
        <is>
          <t>Föryngringsavverkning</t>
        </is>
      </c>
      <c r="D687" s="1" t="n">
        <v>44783</v>
      </c>
      <c r="E687" s="1" t="n">
        <v>46313</v>
      </c>
      <c r="F687" t="inlineStr">
        <is>
          <t>SÖDERMANLANDS LÄN</t>
        </is>
      </c>
      <c r="G687" t="inlineStr">
        <is>
          <t>KATRINEHOLM</t>
        </is>
      </c>
      <c r="I687" t="n">
        <v>1.8</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58922-2021</t>
        </is>
      </c>
      <c r="B688" t="inlineStr">
        <is>
          <t>avverkningsanmälan</t>
        </is>
      </c>
      <c r="C688" t="inlineStr">
        <is>
          <t>Föryngringsavverkning</t>
        </is>
      </c>
      <c r="D688" s="1" t="n">
        <v>44489</v>
      </c>
      <c r="E688" s="1" t="n">
        <v>46313</v>
      </c>
      <c r="F688" t="inlineStr">
        <is>
          <t>SÖDERMANLANDS LÄN</t>
        </is>
      </c>
      <c r="G688" t="inlineStr">
        <is>
          <t>TROSA</t>
        </is>
      </c>
      <c r="H688" t="inlineStr">
        <is>
          <t>Holmen skog AB</t>
        </is>
      </c>
      <c r="I688" t="n">
        <v>1.3</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38368-2022</t>
        </is>
      </c>
      <c r="B689" t="inlineStr">
        <is>
          <t>avverkningsanmälan</t>
        </is>
      </c>
      <c r="C689" t="inlineStr">
        <is>
          <t>Föryngringsavverkning</t>
        </is>
      </c>
      <c r="D689" s="1" t="n">
        <v>44812</v>
      </c>
      <c r="E689" s="1" t="n">
        <v>46313</v>
      </c>
      <c r="F689" t="inlineStr">
        <is>
          <t>SÖDERMANLANDS LÄN</t>
        </is>
      </c>
      <c r="G689" t="inlineStr">
        <is>
          <t>NYKÖPING</t>
        </is>
      </c>
      <c r="I689" t="n">
        <v>2.7</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32600-2022</t>
        </is>
      </c>
      <c r="B690" t="inlineStr">
        <is>
          <t>avverkningsanmälan</t>
        </is>
      </c>
      <c r="C690" t="inlineStr">
        <is>
          <t>Föryngringsavverkning</t>
        </is>
      </c>
      <c r="D690" s="1" t="n">
        <v>44783</v>
      </c>
      <c r="E690" s="1" t="n">
        <v>46313</v>
      </c>
      <c r="F690" t="inlineStr">
        <is>
          <t>SÖDERMANLANDS LÄN</t>
        </is>
      </c>
      <c r="G690" t="inlineStr">
        <is>
          <t>KATRINEHOLM</t>
        </is>
      </c>
      <c r="I690" t="n">
        <v>1.1</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37257-2022</t>
        </is>
      </c>
      <c r="B691" t="inlineStr">
        <is>
          <t>avverkningsanmälan</t>
        </is>
      </c>
      <c r="C691" t="inlineStr">
        <is>
          <t>Föryngringsavverkning</t>
        </is>
      </c>
      <c r="D691" s="1" t="n">
        <v>44807</v>
      </c>
      <c r="E691" s="1" t="n">
        <v>46313</v>
      </c>
      <c r="F691" t="inlineStr">
        <is>
          <t>SÖDERMANLANDS LÄN</t>
        </is>
      </c>
      <c r="G691" t="inlineStr">
        <is>
          <t>FLEN</t>
        </is>
      </c>
      <c r="I691" t="n">
        <v>1.4</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64261-2021</t>
        </is>
      </c>
      <c r="B692" t="inlineStr">
        <is>
          <t>avverkningsanmälan</t>
        </is>
      </c>
      <c r="C692" t="inlineStr">
        <is>
          <t>Föryngringsavverkning</t>
        </is>
      </c>
      <c r="D692" s="1" t="n">
        <v>44510</v>
      </c>
      <c r="E692" s="1" t="n">
        <v>46313</v>
      </c>
      <c r="F692" t="inlineStr">
        <is>
          <t>SÖDERMANLANDS LÄN</t>
        </is>
      </c>
      <c r="G692" t="inlineStr">
        <is>
          <t>KATRINEHOLM</t>
        </is>
      </c>
      <c r="H692" t="inlineStr">
        <is>
          <t>Holmen skog AB</t>
        </is>
      </c>
      <c r="I692" t="n">
        <v>1.4</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35173-2022</t>
        </is>
      </c>
      <c r="B693" t="inlineStr">
        <is>
          <t>avverkningsanmälan</t>
        </is>
      </c>
      <c r="C693" t="inlineStr">
        <is>
          <t>Föryngringsavverkning</t>
        </is>
      </c>
      <c r="D693" s="1" t="n">
        <v>44797</v>
      </c>
      <c r="E693" s="1" t="n">
        <v>46313</v>
      </c>
      <c r="F693" t="inlineStr">
        <is>
          <t>SÖDERMANLANDS LÄN</t>
        </is>
      </c>
      <c r="G693" t="inlineStr">
        <is>
          <t>GNESTA</t>
        </is>
      </c>
      <c r="I693" t="n">
        <v>4.6</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62076-2021</t>
        </is>
      </c>
      <c r="B694" t="inlineStr">
        <is>
          <t>avverkningsanmälan</t>
        </is>
      </c>
      <c r="C694" t="inlineStr">
        <is>
          <t>Föryngringsavverkning</t>
        </is>
      </c>
      <c r="D694" s="1" t="n">
        <v>44502</v>
      </c>
      <c r="E694" s="1" t="n">
        <v>46313</v>
      </c>
      <c r="F694" t="inlineStr">
        <is>
          <t>SÖDERMANLANDS LÄN</t>
        </is>
      </c>
      <c r="G694" t="inlineStr">
        <is>
          <t>NYKÖPING</t>
        </is>
      </c>
      <c r="I694" t="n">
        <v>0.7</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48791-2022</t>
        </is>
      </c>
      <c r="B695" t="inlineStr">
        <is>
          <t>avverkningsanmälan</t>
        </is>
      </c>
      <c r="C695" t="inlineStr">
        <is>
          <t>Föryngringsavverkning</t>
        </is>
      </c>
      <c r="D695" s="1" t="n">
        <v>44855</v>
      </c>
      <c r="E695" s="1" t="n">
        <v>46313</v>
      </c>
      <c r="F695" t="inlineStr">
        <is>
          <t>SÖDERMANLANDS LÄN</t>
        </is>
      </c>
      <c r="G695" t="inlineStr">
        <is>
          <t>FLEN</t>
        </is>
      </c>
      <c r="I695" t="n">
        <v>0.7</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62617-2021</t>
        </is>
      </c>
      <c r="B696" t="inlineStr">
        <is>
          <t>avverkningsanmälan</t>
        </is>
      </c>
      <c r="C696" t="inlineStr">
        <is>
          <t>Föryngringsavverkning</t>
        </is>
      </c>
      <c r="D696" s="1" t="n">
        <v>44503</v>
      </c>
      <c r="E696" s="1" t="n">
        <v>46313</v>
      </c>
      <c r="F696" t="inlineStr">
        <is>
          <t>SÖDERMANLANDS LÄN</t>
        </is>
      </c>
      <c r="G696" t="inlineStr">
        <is>
          <t>STRÄNGNÄS</t>
        </is>
      </c>
      <c r="I696" t="n">
        <v>1.5</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3863-2022</t>
        </is>
      </c>
      <c r="B697" t="inlineStr">
        <is>
          <t>avverkningsanmälan</t>
        </is>
      </c>
      <c r="C697" t="inlineStr">
        <is>
          <t>Föryngringsavverkning</t>
        </is>
      </c>
      <c r="D697" s="1" t="n">
        <v>44587</v>
      </c>
      <c r="E697" s="1" t="n">
        <v>46313</v>
      </c>
      <c r="F697" t="inlineStr">
        <is>
          <t>SÖDERMANLANDS LÄN</t>
        </is>
      </c>
      <c r="G697" t="inlineStr">
        <is>
          <t>GNESTA</t>
        </is>
      </c>
      <c r="I697" t="n">
        <v>1.4</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69247-2021</t>
        </is>
      </c>
      <c r="B698" t="inlineStr">
        <is>
          <t>avverkningsanmälan</t>
        </is>
      </c>
      <c r="C698" t="inlineStr">
        <is>
          <t>Föryngringsavverkning</t>
        </is>
      </c>
      <c r="D698" s="1" t="n">
        <v>44530</v>
      </c>
      <c r="E698" s="1" t="n">
        <v>46313</v>
      </c>
      <c r="F698" t="inlineStr">
        <is>
          <t>SÖDERMANLANDS LÄN</t>
        </is>
      </c>
      <c r="G698" t="inlineStr">
        <is>
          <t>NYKÖPING</t>
        </is>
      </c>
      <c r="I698" t="n">
        <v>1.3</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32925-2022</t>
        </is>
      </c>
      <c r="B699" t="inlineStr">
        <is>
          <t>avverkningsanmälan</t>
        </is>
      </c>
      <c r="C699" t="inlineStr">
        <is>
          <t>Föryngringsavverkning</t>
        </is>
      </c>
      <c r="D699" s="1" t="n">
        <v>44784</v>
      </c>
      <c r="E699" s="1" t="n">
        <v>46313</v>
      </c>
      <c r="F699" t="inlineStr">
        <is>
          <t>SÖDERMANLANDS LÄN</t>
        </is>
      </c>
      <c r="G699" t="inlineStr">
        <is>
          <t>ESKILSTUNA</t>
        </is>
      </c>
      <c r="I699" t="n">
        <v>0.6</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6826-2022</t>
        </is>
      </c>
      <c r="B700" t="inlineStr">
        <is>
          <t>avverkningsanmälan</t>
        </is>
      </c>
      <c r="C700" t="inlineStr">
        <is>
          <t>Föryngringsavverkning</t>
        </is>
      </c>
      <c r="D700" s="1" t="n">
        <v>44602</v>
      </c>
      <c r="E700" s="1" t="n">
        <v>46313</v>
      </c>
      <c r="F700" t="inlineStr">
        <is>
          <t>SÖDERMANLANDS LÄN</t>
        </is>
      </c>
      <c r="G700" t="inlineStr">
        <is>
          <t>KATRINEHOLM</t>
        </is>
      </c>
      <c r="I700" t="n">
        <v>0.5</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70082-2021</t>
        </is>
      </c>
      <c r="B701" t="inlineStr">
        <is>
          <t>avverkningsanmälan</t>
        </is>
      </c>
      <c r="C701" t="inlineStr">
        <is>
          <t>Föryngringsavverkning</t>
        </is>
      </c>
      <c r="D701" s="1" t="n">
        <v>44533</v>
      </c>
      <c r="E701" s="1" t="n">
        <v>46313</v>
      </c>
      <c r="F701" t="inlineStr">
        <is>
          <t>SÖDERMANLANDS LÄN</t>
        </is>
      </c>
      <c r="G701" t="inlineStr">
        <is>
          <t>ESKILSTUNA</t>
        </is>
      </c>
      <c r="I701" t="n">
        <v>0.7</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15105-2022</t>
        </is>
      </c>
      <c r="B702" t="inlineStr">
        <is>
          <t>avverkningsanmälan</t>
        </is>
      </c>
      <c r="C702" t="inlineStr">
        <is>
          <t>Föryngringsavverkning</t>
        </is>
      </c>
      <c r="D702" s="1" t="n">
        <v>44657</v>
      </c>
      <c r="E702" s="1" t="n">
        <v>46313</v>
      </c>
      <c r="F702" t="inlineStr">
        <is>
          <t>SÖDERMANLANDS LÄN</t>
        </is>
      </c>
      <c r="G702" t="inlineStr">
        <is>
          <t>GNESTA</t>
        </is>
      </c>
      <c r="I702" t="n">
        <v>0.9</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61248-2021</t>
        </is>
      </c>
      <c r="B703" t="inlineStr">
        <is>
          <t>avverkningsanmälan</t>
        </is>
      </c>
      <c r="C703" t="inlineStr">
        <is>
          <t>Föryngringsavverkning</t>
        </is>
      </c>
      <c r="D703" s="1" t="n">
        <v>44498</v>
      </c>
      <c r="E703" s="1" t="n">
        <v>46313</v>
      </c>
      <c r="F703" t="inlineStr">
        <is>
          <t>SÖDERMANLANDS LÄN</t>
        </is>
      </c>
      <c r="G703" t="inlineStr">
        <is>
          <t>NYKÖPING</t>
        </is>
      </c>
      <c r="H703" t="inlineStr">
        <is>
          <t>Holmen skog AB</t>
        </is>
      </c>
      <c r="I703" t="n">
        <v>2.8</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53371-2022</t>
        </is>
      </c>
      <c r="B704" t="inlineStr">
        <is>
          <t>avverkningsanmälan</t>
        </is>
      </c>
      <c r="C704" t="inlineStr">
        <is>
          <t>Föryngringsavverkning</t>
        </is>
      </c>
      <c r="D704" s="1" t="n">
        <v>44879</v>
      </c>
      <c r="E704" s="1" t="n">
        <v>46313</v>
      </c>
      <c r="F704" t="inlineStr">
        <is>
          <t>SÖDERMANLANDS LÄN</t>
        </is>
      </c>
      <c r="G704" t="inlineStr">
        <is>
          <t>FLEN</t>
        </is>
      </c>
      <c r="I704" t="n">
        <v>5.8</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60475-2021</t>
        </is>
      </c>
      <c r="B705" t="inlineStr">
        <is>
          <t>avverkningsanmälan</t>
        </is>
      </c>
      <c r="C705" t="inlineStr">
        <is>
          <t>Föryngringsavverkning</t>
        </is>
      </c>
      <c r="D705" s="1" t="n">
        <v>44495</v>
      </c>
      <c r="E705" s="1" t="n">
        <v>46313</v>
      </c>
      <c r="F705" t="inlineStr">
        <is>
          <t>SÖDERMANLANDS LÄN</t>
        </is>
      </c>
      <c r="G705" t="inlineStr">
        <is>
          <t>KATRINEHOLM</t>
        </is>
      </c>
      <c r="I705" t="n">
        <v>6.7</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60501-2021</t>
        </is>
      </c>
      <c r="B706" t="inlineStr">
        <is>
          <t>avverkningsanmälan</t>
        </is>
      </c>
      <c r="C706" t="inlineStr">
        <is>
          <t>Föryngringsavverkning</t>
        </is>
      </c>
      <c r="D706" s="1" t="n">
        <v>44496</v>
      </c>
      <c r="E706" s="1" t="n">
        <v>46313</v>
      </c>
      <c r="F706" t="inlineStr">
        <is>
          <t>SÖDERMANLANDS LÄN</t>
        </is>
      </c>
      <c r="G706" t="inlineStr">
        <is>
          <t>KATRINEHOLM</t>
        </is>
      </c>
      <c r="I706" t="n">
        <v>2.2</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63055-2021</t>
        </is>
      </c>
      <c r="B707" t="inlineStr">
        <is>
          <t>avverkningsanmälan</t>
        </is>
      </c>
      <c r="C707" t="inlineStr">
        <is>
          <t>Föryngringsavverkning</t>
        </is>
      </c>
      <c r="D707" s="1" t="n">
        <v>44505</v>
      </c>
      <c r="E707" s="1" t="n">
        <v>46313</v>
      </c>
      <c r="F707" t="inlineStr">
        <is>
          <t>SÖDERMANLANDS LÄN</t>
        </is>
      </c>
      <c r="G707" t="inlineStr">
        <is>
          <t>NYKÖPING</t>
        </is>
      </c>
      <c r="I707" t="n">
        <v>0.6</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21794-2022</t>
        </is>
      </c>
      <c r="B708" t="inlineStr">
        <is>
          <t>avverkningsanmälan</t>
        </is>
      </c>
      <c r="C708" t="inlineStr">
        <is>
          <t>Föryngringsavverkning</t>
        </is>
      </c>
      <c r="D708" s="1" t="n">
        <v>44708</v>
      </c>
      <c r="E708" s="1" t="n">
        <v>46313</v>
      </c>
      <c r="F708" t="inlineStr">
        <is>
          <t>SÖDERMANLANDS LÄN</t>
        </is>
      </c>
      <c r="G708" t="inlineStr">
        <is>
          <t>STRÄNGNÄS</t>
        </is>
      </c>
      <c r="I708" t="n">
        <v>0.9</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58031-2021</t>
        </is>
      </c>
      <c r="B709" t="inlineStr">
        <is>
          <t>avverkningsanmälan</t>
        </is>
      </c>
      <c r="C709" t="inlineStr">
        <is>
          <t>Föryngringsavverkning</t>
        </is>
      </c>
      <c r="D709" s="1" t="n">
        <v>44487</v>
      </c>
      <c r="E709" s="1" t="n">
        <v>46313</v>
      </c>
      <c r="F709" t="inlineStr">
        <is>
          <t>SÖDERMANLANDS LÄN</t>
        </is>
      </c>
      <c r="G709" t="inlineStr">
        <is>
          <t>VINGÅKER</t>
        </is>
      </c>
      <c r="I709" t="n">
        <v>2.8</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17800-2022</t>
        </is>
      </c>
      <c r="B710" t="inlineStr">
        <is>
          <t>avverkningsanmälan</t>
        </is>
      </c>
      <c r="C710" t="inlineStr">
        <is>
          <t>Föryngringsavverkning</t>
        </is>
      </c>
      <c r="D710" s="1" t="n">
        <v>44683</v>
      </c>
      <c r="E710" s="1" t="n">
        <v>46313</v>
      </c>
      <c r="F710" t="inlineStr">
        <is>
          <t>SÖDERMANLANDS LÄN</t>
        </is>
      </c>
      <c r="G710" t="inlineStr">
        <is>
          <t>KATRINEHOLM</t>
        </is>
      </c>
      <c r="I710" t="n">
        <v>8.1</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63049-2021</t>
        </is>
      </c>
      <c r="B711" t="inlineStr">
        <is>
          <t>avverkningsanmälan</t>
        </is>
      </c>
      <c r="C711" t="inlineStr">
        <is>
          <t>Föryngringsavverkning</t>
        </is>
      </c>
      <c r="D711" s="1" t="n">
        <v>44505</v>
      </c>
      <c r="E711" s="1" t="n">
        <v>46313</v>
      </c>
      <c r="F711" t="inlineStr">
        <is>
          <t>SÖDERMANLANDS LÄN</t>
        </is>
      </c>
      <c r="G711" t="inlineStr">
        <is>
          <t>TROSA</t>
        </is>
      </c>
      <c r="H711" t="inlineStr">
        <is>
          <t>Holmen skog AB</t>
        </is>
      </c>
      <c r="I711" t="n">
        <v>0.9</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63052-2021</t>
        </is>
      </c>
      <c r="B712" t="inlineStr">
        <is>
          <t>avverkningsanmälan</t>
        </is>
      </c>
      <c r="C712" t="inlineStr">
        <is>
          <t>Föryngringsavverkning</t>
        </is>
      </c>
      <c r="D712" s="1" t="n">
        <v>44505</v>
      </c>
      <c r="E712" s="1" t="n">
        <v>46313</v>
      </c>
      <c r="F712" t="inlineStr">
        <is>
          <t>SÖDERMANLANDS LÄN</t>
        </is>
      </c>
      <c r="G712" t="inlineStr">
        <is>
          <t>NYKÖPING</t>
        </is>
      </c>
      <c r="I712" t="n">
        <v>1.3</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20847-2022</t>
        </is>
      </c>
      <c r="B713" t="inlineStr">
        <is>
          <t>avverkningsanmälan</t>
        </is>
      </c>
      <c r="C713" t="inlineStr">
        <is>
          <t>Föryngringsavverkning</t>
        </is>
      </c>
      <c r="D713" s="1" t="n">
        <v>44701</v>
      </c>
      <c r="E713" s="1" t="n">
        <v>46313</v>
      </c>
      <c r="F713" t="inlineStr">
        <is>
          <t>SÖDERMANLANDS LÄN</t>
        </is>
      </c>
      <c r="G713" t="inlineStr">
        <is>
          <t>KATRINEHOLM</t>
        </is>
      </c>
      <c r="I713" t="n">
        <v>3.5</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26513-2022</t>
        </is>
      </c>
      <c r="B714" t="inlineStr">
        <is>
          <t>avverkningsanmälan</t>
        </is>
      </c>
      <c r="C714" t="inlineStr">
        <is>
          <t>Föryngringsavverkning</t>
        </is>
      </c>
      <c r="D714" s="1" t="n">
        <v>44739</v>
      </c>
      <c r="E714" s="1" t="n">
        <v>46313</v>
      </c>
      <c r="F714" t="inlineStr">
        <is>
          <t>SÖDERMANLANDS LÄN</t>
        </is>
      </c>
      <c r="G714" t="inlineStr">
        <is>
          <t>FLEN</t>
        </is>
      </c>
      <c r="I714" t="n">
        <v>1.4</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69178-2021</t>
        </is>
      </c>
      <c r="B715" t="inlineStr">
        <is>
          <t>avverkningsanmälan</t>
        </is>
      </c>
      <c r="C715" t="inlineStr">
        <is>
          <t>Föryngringsavverkning</t>
        </is>
      </c>
      <c r="D715" s="1" t="n">
        <v>44531</v>
      </c>
      <c r="E715" s="1" t="n">
        <v>46313</v>
      </c>
      <c r="F715" t="inlineStr">
        <is>
          <t>SÖDERMANLANDS LÄN</t>
        </is>
      </c>
      <c r="G715" t="inlineStr">
        <is>
          <t>STRÄNGNÄS</t>
        </is>
      </c>
      <c r="I715" t="n">
        <v>1.4</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68869-2021</t>
        </is>
      </c>
      <c r="B716" t="inlineStr">
        <is>
          <t>avverkningsanmälan</t>
        </is>
      </c>
      <c r="C716" t="inlineStr">
        <is>
          <t>Föryngringsavverkning</t>
        </is>
      </c>
      <c r="D716" s="1" t="n">
        <v>44529</v>
      </c>
      <c r="E716" s="1" t="n">
        <v>46313</v>
      </c>
      <c r="F716" t="inlineStr">
        <is>
          <t>SÖDERMANLANDS LÄN</t>
        </is>
      </c>
      <c r="G716" t="inlineStr">
        <is>
          <t>GNESTA</t>
        </is>
      </c>
      <c r="I716" t="n">
        <v>3.4</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8781-2022</t>
        </is>
      </c>
      <c r="B717" t="inlineStr">
        <is>
          <t>avverkningsanmälan</t>
        </is>
      </c>
      <c r="C717" t="inlineStr">
        <is>
          <t>Föryngringsavverkning</t>
        </is>
      </c>
      <c r="D717" s="1" t="n">
        <v>44614</v>
      </c>
      <c r="E717" s="1" t="n">
        <v>46313</v>
      </c>
      <c r="F717" t="inlineStr">
        <is>
          <t>SÖDERMANLANDS LÄN</t>
        </is>
      </c>
      <c r="G717" t="inlineStr">
        <is>
          <t>NYKÖPING</t>
        </is>
      </c>
      <c r="I717" t="n">
        <v>0.8</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13621-2022</t>
        </is>
      </c>
      <c r="B718" t="inlineStr">
        <is>
          <t>avverkningsanmälan</t>
        </is>
      </c>
      <c r="C718" t="inlineStr">
        <is>
          <t>Föryngringsavverkning</t>
        </is>
      </c>
      <c r="D718" s="1" t="n">
        <v>44648</v>
      </c>
      <c r="E718" s="1" t="n">
        <v>46313</v>
      </c>
      <c r="F718" t="inlineStr">
        <is>
          <t>SÖDERMANLANDS LÄN</t>
        </is>
      </c>
      <c r="G718" t="inlineStr">
        <is>
          <t>ESKILSTUNA</t>
        </is>
      </c>
      <c r="I718" t="n">
        <v>0.2</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4192-2022</t>
        </is>
      </c>
      <c r="B719" t="inlineStr">
        <is>
          <t>avverkningsanmälan</t>
        </is>
      </c>
      <c r="C719" t="inlineStr">
        <is>
          <t>Föryngringsavverkning</t>
        </is>
      </c>
      <c r="D719" s="1" t="n">
        <v>44588</v>
      </c>
      <c r="E719" s="1" t="n">
        <v>46313</v>
      </c>
      <c r="F719" t="inlineStr">
        <is>
          <t>SÖDERMANLANDS LÄN</t>
        </is>
      </c>
      <c r="G719" t="inlineStr">
        <is>
          <t>ESKILSTUNA</t>
        </is>
      </c>
      <c r="I719" t="n">
        <v>3</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3134-2022</t>
        </is>
      </c>
      <c r="B720" t="inlineStr">
        <is>
          <t>avverkningsanmälan</t>
        </is>
      </c>
      <c r="C720" t="inlineStr">
        <is>
          <t>Föryngringsavverkning</t>
        </is>
      </c>
      <c r="D720" s="1" t="n">
        <v>44582</v>
      </c>
      <c r="E720" s="1" t="n">
        <v>46313</v>
      </c>
      <c r="F720" t="inlineStr">
        <is>
          <t>SÖDERMANLANDS LÄN</t>
        </is>
      </c>
      <c r="G720" t="inlineStr">
        <is>
          <t>TROSA</t>
        </is>
      </c>
      <c r="H720" t="inlineStr">
        <is>
          <t>Övriga Aktiebolag</t>
        </is>
      </c>
      <c r="I720" t="n">
        <v>4.1</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71980-2021</t>
        </is>
      </c>
      <c r="B721" t="inlineStr">
        <is>
          <t>avverkningsanmälan</t>
        </is>
      </c>
      <c r="C721" t="inlineStr">
        <is>
          <t>Föryngringsavverkning</t>
        </is>
      </c>
      <c r="D721" s="1" t="n">
        <v>44544</v>
      </c>
      <c r="E721" s="1" t="n">
        <v>46313</v>
      </c>
      <c r="F721" t="inlineStr">
        <is>
          <t>SÖDERMANLANDS LÄN</t>
        </is>
      </c>
      <c r="G721" t="inlineStr">
        <is>
          <t>ESKILSTUNA</t>
        </is>
      </c>
      <c r="I721" t="n">
        <v>2.7</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912-2022</t>
        </is>
      </c>
      <c r="B722" t="inlineStr">
        <is>
          <t>avverkningsanmälan</t>
        </is>
      </c>
      <c r="C722" t="inlineStr">
        <is>
          <t>Föryngringsavverkning</t>
        </is>
      </c>
      <c r="D722" s="1" t="n">
        <v>44571</v>
      </c>
      <c r="E722" s="1" t="n">
        <v>46313</v>
      </c>
      <c r="F722" t="inlineStr">
        <is>
          <t>SÖDERMANLANDS LÄN</t>
        </is>
      </c>
      <c r="G722" t="inlineStr">
        <is>
          <t>KATRINEHOLM</t>
        </is>
      </c>
      <c r="I722" t="n">
        <v>0.5</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9648-2022</t>
        </is>
      </c>
      <c r="B723" t="inlineStr">
        <is>
          <t>avverkningsanmälan</t>
        </is>
      </c>
      <c r="C723" t="inlineStr">
        <is>
          <t>Föryngringsavverkning</t>
        </is>
      </c>
      <c r="D723" s="1" t="n">
        <v>44617</v>
      </c>
      <c r="E723" s="1" t="n">
        <v>46313</v>
      </c>
      <c r="F723" t="inlineStr">
        <is>
          <t>SÖDERMANLANDS LÄN</t>
        </is>
      </c>
      <c r="G723" t="inlineStr">
        <is>
          <t>VINGÅKER</t>
        </is>
      </c>
      <c r="I723" t="n">
        <v>2</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30859-2022</t>
        </is>
      </c>
      <c r="B724" t="inlineStr">
        <is>
          <t>avverkningsanmälan</t>
        </is>
      </c>
      <c r="C724" t="inlineStr">
        <is>
          <t>Föryngringsavverkning</t>
        </is>
      </c>
      <c r="D724" s="1" t="n">
        <v>44767</v>
      </c>
      <c r="E724" s="1" t="n">
        <v>46313</v>
      </c>
      <c r="F724" t="inlineStr">
        <is>
          <t>SÖDERMANLANDS LÄN</t>
        </is>
      </c>
      <c r="G724" t="inlineStr">
        <is>
          <t>NYKÖPING</t>
        </is>
      </c>
      <c r="H724" t="inlineStr">
        <is>
          <t>Holmen skog AB</t>
        </is>
      </c>
      <c r="I724" t="n">
        <v>2.2</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6533-2022</t>
        </is>
      </c>
      <c r="B725" t="inlineStr">
        <is>
          <t>avverkningsanmälan</t>
        </is>
      </c>
      <c r="C725" t="inlineStr">
        <is>
          <t>Avverkning för annat ändamål</t>
        </is>
      </c>
      <c r="D725" s="1" t="n">
        <v>44601</v>
      </c>
      <c r="E725" s="1" t="n">
        <v>46313</v>
      </c>
      <c r="F725" t="inlineStr">
        <is>
          <t>SÖDERMANLANDS LÄN</t>
        </is>
      </c>
      <c r="G725" t="inlineStr">
        <is>
          <t>KATRINEHOLM</t>
        </is>
      </c>
      <c r="I725" t="n">
        <v>0.4</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11108-2022</t>
        </is>
      </c>
      <c r="B726" t="inlineStr">
        <is>
          <t>avverkningsanmälan</t>
        </is>
      </c>
      <c r="C726" t="inlineStr">
        <is>
          <t>Föryngringsavverkning</t>
        </is>
      </c>
      <c r="D726" s="1" t="n">
        <v>44628</v>
      </c>
      <c r="E726" s="1" t="n">
        <v>46313</v>
      </c>
      <c r="F726" t="inlineStr">
        <is>
          <t>SÖDERMANLANDS LÄN</t>
        </is>
      </c>
      <c r="G726" t="inlineStr">
        <is>
          <t>ESKILSTUNA</t>
        </is>
      </c>
      <c r="I726" t="n">
        <v>0.6</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30677-2022</t>
        </is>
      </c>
      <c r="B727" t="inlineStr">
        <is>
          <t>avverkningsanmälan</t>
        </is>
      </c>
      <c r="C727" t="inlineStr">
        <is>
          <t>Föryngringsavverkning</t>
        </is>
      </c>
      <c r="D727" s="1" t="n">
        <v>44763</v>
      </c>
      <c r="E727" s="1" t="n">
        <v>46313</v>
      </c>
      <c r="F727" t="inlineStr">
        <is>
          <t>SÖDERMANLANDS LÄN</t>
        </is>
      </c>
      <c r="G727" t="inlineStr">
        <is>
          <t>STRÄNGNÄS</t>
        </is>
      </c>
      <c r="I727" t="n">
        <v>1.1</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15466-2022</t>
        </is>
      </c>
      <c r="B728" t="inlineStr">
        <is>
          <t>avverkningsanmälan</t>
        </is>
      </c>
      <c r="C728" t="inlineStr">
        <is>
          <t>Avverkning för annat ändamål</t>
        </is>
      </c>
      <c r="D728" s="1" t="n">
        <v>44662</v>
      </c>
      <c r="E728" s="1" t="n">
        <v>46313</v>
      </c>
      <c r="F728" t="inlineStr">
        <is>
          <t>SÖDERMANLANDS LÄN</t>
        </is>
      </c>
      <c r="G728" t="inlineStr">
        <is>
          <t>NYKÖPING</t>
        </is>
      </c>
      <c r="I728" t="n">
        <v>0.3</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17304-2022</t>
        </is>
      </c>
      <c r="B729" t="inlineStr">
        <is>
          <t>avverkningsanmälan</t>
        </is>
      </c>
      <c r="C729" t="inlineStr">
        <is>
          <t>Föryngringsavverkning</t>
        </is>
      </c>
      <c r="D729" s="1" t="n">
        <v>44678</v>
      </c>
      <c r="E729" s="1" t="n">
        <v>46313</v>
      </c>
      <c r="F729" t="inlineStr">
        <is>
          <t>SÖDERMANLANDS LÄN</t>
        </is>
      </c>
      <c r="G729" t="inlineStr">
        <is>
          <t>GNESTA</t>
        </is>
      </c>
      <c r="I729" t="n">
        <v>4.9</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70620-2021</t>
        </is>
      </c>
      <c r="B730" t="inlineStr">
        <is>
          <t>avverkningsanmälan</t>
        </is>
      </c>
      <c r="C730" t="inlineStr">
        <is>
          <t>Föryngringsavverkning</t>
        </is>
      </c>
      <c r="D730" s="1" t="n">
        <v>44536</v>
      </c>
      <c r="E730" s="1" t="n">
        <v>46313</v>
      </c>
      <c r="F730" t="inlineStr">
        <is>
          <t>SÖDERMANLANDS LÄN</t>
        </is>
      </c>
      <c r="G730" t="inlineStr">
        <is>
          <t>ESKILSTUNA</t>
        </is>
      </c>
      <c r="I730" t="n">
        <v>1.2</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2276-2022</t>
        </is>
      </c>
      <c r="B731" t="inlineStr">
        <is>
          <t>avverkningsanmälan</t>
        </is>
      </c>
      <c r="C731" t="inlineStr">
        <is>
          <t>Föryngringsavverkning</t>
        </is>
      </c>
      <c r="D731" s="1" t="n">
        <v>44578</v>
      </c>
      <c r="E731" s="1" t="n">
        <v>46313</v>
      </c>
      <c r="F731" t="inlineStr">
        <is>
          <t>SÖDERMANLANDS LÄN</t>
        </is>
      </c>
      <c r="G731" t="inlineStr">
        <is>
          <t>GNESTA</t>
        </is>
      </c>
      <c r="I731" t="n">
        <v>2.1</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70490-2021</t>
        </is>
      </c>
      <c r="B732" t="inlineStr">
        <is>
          <t>avverkningsanmälan</t>
        </is>
      </c>
      <c r="C732" t="inlineStr">
        <is>
          <t>Föryngringsavverkning</t>
        </is>
      </c>
      <c r="D732" s="1" t="n">
        <v>44536</v>
      </c>
      <c r="E732" s="1" t="n">
        <v>46313</v>
      </c>
      <c r="F732" t="inlineStr">
        <is>
          <t>SÖDERMANLANDS LÄN</t>
        </is>
      </c>
      <c r="G732" t="inlineStr">
        <is>
          <t>ESKILSTUNA</t>
        </is>
      </c>
      <c r="I732" t="n">
        <v>5.7</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59212-2021</t>
        </is>
      </c>
      <c r="B733" t="inlineStr">
        <is>
          <t>avverkningsanmälan</t>
        </is>
      </c>
      <c r="C733" t="inlineStr">
        <is>
          <t>Föryngringsavverkning</t>
        </is>
      </c>
      <c r="D733" s="1" t="n">
        <v>44490</v>
      </c>
      <c r="E733" s="1" t="n">
        <v>46313</v>
      </c>
      <c r="F733" t="inlineStr">
        <is>
          <t>SÖDERMANLANDS LÄN</t>
        </is>
      </c>
      <c r="G733" t="inlineStr">
        <is>
          <t>KATRINEHOLM</t>
        </is>
      </c>
      <c r="I733" t="n">
        <v>2.6</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31175-2022</t>
        </is>
      </c>
      <c r="B734" t="inlineStr">
        <is>
          <t>avverkningsanmälan</t>
        </is>
      </c>
      <c r="C734" t="inlineStr">
        <is>
          <t>Föryngringsavverkning</t>
        </is>
      </c>
      <c r="D734" s="1" t="n">
        <v>44770</v>
      </c>
      <c r="E734" s="1" t="n">
        <v>46313</v>
      </c>
      <c r="F734" t="inlineStr">
        <is>
          <t>SÖDERMANLANDS LÄN</t>
        </is>
      </c>
      <c r="G734" t="inlineStr">
        <is>
          <t>FLEN</t>
        </is>
      </c>
      <c r="H734" t="inlineStr">
        <is>
          <t>Övriga statliga verk och myndigheter</t>
        </is>
      </c>
      <c r="I734" t="n">
        <v>3</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7550-2022</t>
        </is>
      </c>
      <c r="B735" t="inlineStr">
        <is>
          <t>avverkningsanmälan</t>
        </is>
      </c>
      <c r="C735" t="inlineStr">
        <is>
          <t>Föryngringsavverkning</t>
        </is>
      </c>
      <c r="D735" s="1" t="n">
        <v>44607</v>
      </c>
      <c r="E735" s="1" t="n">
        <v>46313</v>
      </c>
      <c r="F735" t="inlineStr">
        <is>
          <t>SÖDERMANLANDS LÄN</t>
        </is>
      </c>
      <c r="G735" t="inlineStr">
        <is>
          <t>KATRINEHOLM</t>
        </is>
      </c>
      <c r="I735" t="n">
        <v>1.2</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31079-2022</t>
        </is>
      </c>
      <c r="B736" t="inlineStr">
        <is>
          <t>avverkningsanmälan</t>
        </is>
      </c>
      <c r="C736" t="inlineStr">
        <is>
          <t>Föryngringsavverkning</t>
        </is>
      </c>
      <c r="D736" s="1" t="n">
        <v>44769</v>
      </c>
      <c r="E736" s="1" t="n">
        <v>46313</v>
      </c>
      <c r="F736" t="inlineStr">
        <is>
          <t>SÖDERMANLANDS LÄN</t>
        </is>
      </c>
      <c r="G736" t="inlineStr">
        <is>
          <t>FLEN</t>
        </is>
      </c>
      <c r="I736" t="n">
        <v>0.5</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41139-2022</t>
        </is>
      </c>
      <c r="B737" t="inlineStr">
        <is>
          <t>avverkningsanmälan</t>
        </is>
      </c>
      <c r="C737" t="inlineStr">
        <is>
          <t>Föryngringsavverkning</t>
        </is>
      </c>
      <c r="D737" s="1" t="n">
        <v>44825</v>
      </c>
      <c r="E737" s="1" t="n">
        <v>46313</v>
      </c>
      <c r="F737" t="inlineStr">
        <is>
          <t>SÖDERMANLANDS LÄN</t>
        </is>
      </c>
      <c r="G737" t="inlineStr">
        <is>
          <t>NYKÖPING</t>
        </is>
      </c>
      <c r="I737" t="n">
        <v>1.1</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66541-2021</t>
        </is>
      </c>
      <c r="B738" t="inlineStr">
        <is>
          <t>avverkningsanmälan</t>
        </is>
      </c>
      <c r="C738" t="inlineStr">
        <is>
          <t>Föryngringsavverkning</t>
        </is>
      </c>
      <c r="D738" s="1" t="n">
        <v>44519</v>
      </c>
      <c r="E738" s="1" t="n">
        <v>46313</v>
      </c>
      <c r="F738" t="inlineStr">
        <is>
          <t>SÖDERMANLANDS LÄN</t>
        </is>
      </c>
      <c r="G738" t="inlineStr">
        <is>
          <t>STRÄNGNÄS</t>
        </is>
      </c>
      <c r="I738" t="n">
        <v>6.1</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51602-2022</t>
        </is>
      </c>
      <c r="B739" t="inlineStr">
        <is>
          <t>avverkningsanmälan</t>
        </is>
      </c>
      <c r="C739" t="inlineStr">
        <is>
          <t>Föryngringsavverkning</t>
        </is>
      </c>
      <c r="D739" s="1" t="n">
        <v>44871</v>
      </c>
      <c r="E739" s="1" t="n">
        <v>46313</v>
      </c>
      <c r="F739" t="inlineStr">
        <is>
          <t>SÖDERMANLANDS LÄN</t>
        </is>
      </c>
      <c r="G739" t="inlineStr">
        <is>
          <t>KATRINEHOLM</t>
        </is>
      </c>
      <c r="I739" t="n">
        <v>0.6</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55288-2022</t>
        </is>
      </c>
      <c r="B740" t="inlineStr">
        <is>
          <t>avverkningsanmälan</t>
        </is>
      </c>
      <c r="C740" t="inlineStr">
        <is>
          <t>Föryngringsavverkning</t>
        </is>
      </c>
      <c r="D740" s="1" t="n">
        <v>44887</v>
      </c>
      <c r="E740" s="1" t="n">
        <v>46313</v>
      </c>
      <c r="F740" t="inlineStr">
        <is>
          <t>SÖDERMANLANDS LÄN</t>
        </is>
      </c>
      <c r="G740" t="inlineStr">
        <is>
          <t>NYKÖPING</t>
        </is>
      </c>
      <c r="I740" t="n">
        <v>0.2</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12608-2022</t>
        </is>
      </c>
      <c r="B741" t="inlineStr">
        <is>
          <t>avverkningsanmälan</t>
        </is>
      </c>
      <c r="C741" t="inlineStr">
        <is>
          <t>Föryngringsavverkning</t>
        </is>
      </c>
      <c r="D741" s="1" t="n">
        <v>44640</v>
      </c>
      <c r="E741" s="1" t="n">
        <v>46313</v>
      </c>
      <c r="F741" t="inlineStr">
        <is>
          <t>SÖDERMANLANDS LÄN</t>
        </is>
      </c>
      <c r="G741" t="inlineStr">
        <is>
          <t>FLEN</t>
        </is>
      </c>
      <c r="I741" t="n">
        <v>1.9</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28503-2022</t>
        </is>
      </c>
      <c r="B742" t="inlineStr">
        <is>
          <t>avverkningsanmälan</t>
        </is>
      </c>
      <c r="C742" t="inlineStr">
        <is>
          <t>Föryngringsavverkning</t>
        </is>
      </c>
      <c r="D742" s="1" t="n">
        <v>44747</v>
      </c>
      <c r="E742" s="1" t="n">
        <v>46313</v>
      </c>
      <c r="F742" t="inlineStr">
        <is>
          <t>SÖDERMANLANDS LÄN</t>
        </is>
      </c>
      <c r="G742" t="inlineStr">
        <is>
          <t>NYKÖPING</t>
        </is>
      </c>
      <c r="I742" t="n">
        <v>1.7</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32841-2022</t>
        </is>
      </c>
      <c r="B743" t="inlineStr">
        <is>
          <t>avverkningsanmälan</t>
        </is>
      </c>
      <c r="C743" t="inlineStr">
        <is>
          <t>Föryngringsavverkning</t>
        </is>
      </c>
      <c r="D743" s="1" t="n">
        <v>44784</v>
      </c>
      <c r="E743" s="1" t="n">
        <v>46313</v>
      </c>
      <c r="F743" t="inlineStr">
        <is>
          <t>SÖDERMANLANDS LÄN</t>
        </is>
      </c>
      <c r="G743" t="inlineStr">
        <is>
          <t>NYKÖPING</t>
        </is>
      </c>
      <c r="I743" t="n">
        <v>0.8</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32406-2022</t>
        </is>
      </c>
      <c r="B744" t="inlineStr">
        <is>
          <t>avverkningsanmälan</t>
        </is>
      </c>
      <c r="C744" t="inlineStr">
        <is>
          <t>Föryngringsavverkning</t>
        </is>
      </c>
      <c r="D744" s="1" t="n">
        <v>44781</v>
      </c>
      <c r="E744" s="1" t="n">
        <v>46313</v>
      </c>
      <c r="F744" t="inlineStr">
        <is>
          <t>SÖDERMANLANDS LÄN</t>
        </is>
      </c>
      <c r="G744" t="inlineStr">
        <is>
          <t>ESKILSTUNA</t>
        </is>
      </c>
      <c r="I744" t="n">
        <v>0.7</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25893-2022</t>
        </is>
      </c>
      <c r="B745" t="inlineStr">
        <is>
          <t>avverkningsanmälan</t>
        </is>
      </c>
      <c r="C745" t="inlineStr">
        <is>
          <t>Föryngringsavverkning</t>
        </is>
      </c>
      <c r="D745" s="1" t="n">
        <v>44733</v>
      </c>
      <c r="E745" s="1" t="n">
        <v>46313</v>
      </c>
      <c r="F745" t="inlineStr">
        <is>
          <t>SÖDERMANLANDS LÄN</t>
        </is>
      </c>
      <c r="G745" t="inlineStr">
        <is>
          <t>KATRINEHOLM</t>
        </is>
      </c>
      <c r="I745" t="n">
        <v>0.5</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32671-2022</t>
        </is>
      </c>
      <c r="B746" t="inlineStr">
        <is>
          <t>avverkningsanmälan</t>
        </is>
      </c>
      <c r="C746" t="inlineStr">
        <is>
          <t>Föryngringsavverkning</t>
        </is>
      </c>
      <c r="D746" s="1" t="n">
        <v>44783</v>
      </c>
      <c r="E746" s="1" t="n">
        <v>46313</v>
      </c>
      <c r="F746" t="inlineStr">
        <is>
          <t>SÖDERMANLANDS LÄN</t>
        </is>
      </c>
      <c r="G746" t="inlineStr">
        <is>
          <t>NYKÖPING</t>
        </is>
      </c>
      <c r="H746" t="inlineStr">
        <is>
          <t>Holmen skog AB</t>
        </is>
      </c>
      <c r="I746" t="n">
        <v>2.7</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31830-2022</t>
        </is>
      </c>
      <c r="B747" t="inlineStr">
        <is>
          <t>avverkningsanmälan</t>
        </is>
      </c>
      <c r="C747" t="inlineStr">
        <is>
          <t>Föryngringsavverkning</t>
        </is>
      </c>
      <c r="D747" s="1" t="n">
        <v>44776</v>
      </c>
      <c r="E747" s="1" t="n">
        <v>46313</v>
      </c>
      <c r="F747" t="inlineStr">
        <is>
          <t>SÖDERMANLANDS LÄN</t>
        </is>
      </c>
      <c r="G747" t="inlineStr">
        <is>
          <t>GNESTA</t>
        </is>
      </c>
      <c r="I747" t="n">
        <v>0.6</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25705-2022</t>
        </is>
      </c>
      <c r="B748" t="inlineStr">
        <is>
          <t>avverkningsanmälan</t>
        </is>
      </c>
      <c r="C748" t="inlineStr">
        <is>
          <t>Föryngringsavverkning</t>
        </is>
      </c>
      <c r="D748" s="1" t="n">
        <v>44733</v>
      </c>
      <c r="E748" s="1" t="n">
        <v>46313</v>
      </c>
      <c r="F748" t="inlineStr">
        <is>
          <t>SÖDERMANLANDS LÄN</t>
        </is>
      </c>
      <c r="G748" t="inlineStr">
        <is>
          <t>NYKÖPING</t>
        </is>
      </c>
      <c r="I748" t="n">
        <v>3.1</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25709-2022</t>
        </is>
      </c>
      <c r="B749" t="inlineStr">
        <is>
          <t>avverkningsanmälan</t>
        </is>
      </c>
      <c r="C749" t="inlineStr">
        <is>
          <t>Föryngringsavverkning</t>
        </is>
      </c>
      <c r="D749" s="1" t="n">
        <v>44733</v>
      </c>
      <c r="E749" s="1" t="n">
        <v>46313</v>
      </c>
      <c r="F749" t="inlineStr">
        <is>
          <t>SÖDERMANLANDS LÄN</t>
        </is>
      </c>
      <c r="G749" t="inlineStr">
        <is>
          <t>NYKÖPING</t>
        </is>
      </c>
      <c r="I749" t="n">
        <v>2.6</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36553-2022</t>
        </is>
      </c>
      <c r="B750" t="inlineStr">
        <is>
          <t>avverkningsanmälan</t>
        </is>
      </c>
      <c r="C750" t="inlineStr">
        <is>
          <t>Föryngringsavverkning</t>
        </is>
      </c>
      <c r="D750" s="1" t="n">
        <v>44804</v>
      </c>
      <c r="E750" s="1" t="n">
        <v>46313</v>
      </c>
      <c r="F750" t="inlineStr">
        <is>
          <t>SÖDERMANLANDS LÄN</t>
        </is>
      </c>
      <c r="G750" t="inlineStr">
        <is>
          <t>ESKILSTUNA</t>
        </is>
      </c>
      <c r="I750" t="n">
        <v>9.9</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24199-2022</t>
        </is>
      </c>
      <c r="B751" t="inlineStr">
        <is>
          <t>avverkningsanmälan</t>
        </is>
      </c>
      <c r="C751" t="inlineStr">
        <is>
          <t>Föryngringsavverkning</t>
        </is>
      </c>
      <c r="D751" s="1" t="n">
        <v>44725</v>
      </c>
      <c r="E751" s="1" t="n">
        <v>46313</v>
      </c>
      <c r="F751" t="inlineStr">
        <is>
          <t>SÖDERMANLANDS LÄN</t>
        </is>
      </c>
      <c r="G751" t="inlineStr">
        <is>
          <t>KATRINEHOLM</t>
        </is>
      </c>
      <c r="I751" t="n">
        <v>1.8</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24212-2022</t>
        </is>
      </c>
      <c r="B752" t="inlineStr">
        <is>
          <t>avverkningsanmälan</t>
        </is>
      </c>
      <c r="C752" t="inlineStr">
        <is>
          <t>Föryngringsavverkning</t>
        </is>
      </c>
      <c r="D752" s="1" t="n">
        <v>44725</v>
      </c>
      <c r="E752" s="1" t="n">
        <v>46313</v>
      </c>
      <c r="F752" t="inlineStr">
        <is>
          <t>SÖDERMANLANDS LÄN</t>
        </is>
      </c>
      <c r="G752" t="inlineStr">
        <is>
          <t>FLEN</t>
        </is>
      </c>
      <c r="I752" t="n">
        <v>0.5</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36634-2022</t>
        </is>
      </c>
      <c r="B753" t="inlineStr">
        <is>
          <t>avverkningsanmälan</t>
        </is>
      </c>
      <c r="C753" t="inlineStr">
        <is>
          <t>Föryngringsavverkning</t>
        </is>
      </c>
      <c r="D753" s="1" t="n">
        <v>44804</v>
      </c>
      <c r="E753" s="1" t="n">
        <v>46313</v>
      </c>
      <c r="F753" t="inlineStr">
        <is>
          <t>SÖDERMANLANDS LÄN</t>
        </is>
      </c>
      <c r="G753" t="inlineStr">
        <is>
          <t>NYKÖPING</t>
        </is>
      </c>
      <c r="I753" t="n">
        <v>1.5</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42177-2022</t>
        </is>
      </c>
      <c r="B754" t="inlineStr">
        <is>
          <t>avverkningsanmälan</t>
        </is>
      </c>
      <c r="C754" t="inlineStr">
        <is>
          <t>Föryngringsavverkning</t>
        </is>
      </c>
      <c r="D754" s="1" t="n">
        <v>44830</v>
      </c>
      <c r="E754" s="1" t="n">
        <v>46313</v>
      </c>
      <c r="F754" t="inlineStr">
        <is>
          <t>SÖDERMANLANDS LÄN</t>
        </is>
      </c>
      <c r="G754" t="inlineStr">
        <is>
          <t>FLEN</t>
        </is>
      </c>
      <c r="I754" t="n">
        <v>1.3</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42226-2022</t>
        </is>
      </c>
      <c r="B755" t="inlineStr">
        <is>
          <t>avverkningsanmälan</t>
        </is>
      </c>
      <c r="C755" t="inlineStr">
        <is>
          <t>Föryngringsavverkning</t>
        </is>
      </c>
      <c r="D755" s="1" t="n">
        <v>44830</v>
      </c>
      <c r="E755" s="1" t="n">
        <v>46313</v>
      </c>
      <c r="F755" t="inlineStr">
        <is>
          <t>SÖDERMANLANDS LÄN</t>
        </is>
      </c>
      <c r="G755" t="inlineStr">
        <is>
          <t>GNESTA</t>
        </is>
      </c>
      <c r="I755" t="n">
        <v>2.3</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47763-2022</t>
        </is>
      </c>
      <c r="B756" t="inlineStr">
        <is>
          <t>avverkningsanmälan</t>
        </is>
      </c>
      <c r="C756" t="inlineStr">
        <is>
          <t>Föryngringsavverkning</t>
        </is>
      </c>
      <c r="D756" s="1" t="n">
        <v>44854</v>
      </c>
      <c r="E756" s="1" t="n">
        <v>46313</v>
      </c>
      <c r="F756" t="inlineStr">
        <is>
          <t>SÖDERMANLANDS LÄN</t>
        </is>
      </c>
      <c r="G756" t="inlineStr">
        <is>
          <t>STRÄNGNÄS</t>
        </is>
      </c>
      <c r="I756" t="n">
        <v>1.4</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25961-2022</t>
        </is>
      </c>
      <c r="B757" t="inlineStr">
        <is>
          <t>avverkningsanmälan</t>
        </is>
      </c>
      <c r="C757" t="inlineStr">
        <is>
          <t>Föryngringsavverkning</t>
        </is>
      </c>
      <c r="D757" s="1" t="n">
        <v>44734</v>
      </c>
      <c r="E757" s="1" t="n">
        <v>46313</v>
      </c>
      <c r="F757" t="inlineStr">
        <is>
          <t>SÖDERMANLANDS LÄN</t>
        </is>
      </c>
      <c r="G757" t="inlineStr">
        <is>
          <t>ESKILSTUNA</t>
        </is>
      </c>
      <c r="I757" t="n">
        <v>0.6</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68206-2021</t>
        </is>
      </c>
      <c r="B758" t="inlineStr">
        <is>
          <t>avverkningsanmälan</t>
        </is>
      </c>
      <c r="C758" t="inlineStr">
        <is>
          <t>Föryngringsavverkning</t>
        </is>
      </c>
      <c r="D758" s="1" t="n">
        <v>44526</v>
      </c>
      <c r="E758" s="1" t="n">
        <v>46313</v>
      </c>
      <c r="F758" t="inlineStr">
        <is>
          <t>SÖDERMANLANDS LÄN</t>
        </is>
      </c>
      <c r="G758" t="inlineStr">
        <is>
          <t>KATRINEHOLM</t>
        </is>
      </c>
      <c r="I758" t="n">
        <v>2.9</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69429-2021</t>
        </is>
      </c>
      <c r="B759" t="inlineStr">
        <is>
          <t>avverkningsanmälan</t>
        </is>
      </c>
      <c r="C759" t="inlineStr">
        <is>
          <t>Föryngringsavverkning</t>
        </is>
      </c>
      <c r="D759" s="1" t="n">
        <v>44531</v>
      </c>
      <c r="E759" s="1" t="n">
        <v>46313</v>
      </c>
      <c r="F759" t="inlineStr">
        <is>
          <t>SÖDERMANLANDS LÄN</t>
        </is>
      </c>
      <c r="G759" t="inlineStr">
        <is>
          <t>KATRINEHOLM</t>
        </is>
      </c>
      <c r="I759" t="n">
        <v>1.2</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4220-2022</t>
        </is>
      </c>
      <c r="B760" t="inlineStr">
        <is>
          <t>avverkningsanmälan</t>
        </is>
      </c>
      <c r="C760" t="inlineStr">
        <is>
          <t>Föryngringsavverkning</t>
        </is>
      </c>
      <c r="D760" s="1" t="n">
        <v>44588</v>
      </c>
      <c r="E760" s="1" t="n">
        <v>46313</v>
      </c>
      <c r="F760" t="inlineStr">
        <is>
          <t>SÖDERMANLANDS LÄN</t>
        </is>
      </c>
      <c r="G760" t="inlineStr">
        <is>
          <t>ESKILSTUNA</t>
        </is>
      </c>
      <c r="I760" t="n">
        <v>1.4</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25718-2022</t>
        </is>
      </c>
      <c r="B761" t="inlineStr">
        <is>
          <t>avverkningsanmälan</t>
        </is>
      </c>
      <c r="C761" t="inlineStr">
        <is>
          <t>Föryngringsavverkning</t>
        </is>
      </c>
      <c r="D761" s="1" t="n">
        <v>44733</v>
      </c>
      <c r="E761" s="1" t="n">
        <v>46313</v>
      </c>
      <c r="F761" t="inlineStr">
        <is>
          <t>SÖDERMANLANDS LÄN</t>
        </is>
      </c>
      <c r="G761" t="inlineStr">
        <is>
          <t>NYKÖPING</t>
        </is>
      </c>
      <c r="I761" t="n">
        <v>1.3</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8523-2022</t>
        </is>
      </c>
      <c r="B762" t="inlineStr">
        <is>
          <t>avverkningsanmälan</t>
        </is>
      </c>
      <c r="C762" t="inlineStr">
        <is>
          <t>Föryngringsavverkning</t>
        </is>
      </c>
      <c r="D762" s="1" t="n">
        <v>44613</v>
      </c>
      <c r="E762" s="1" t="n">
        <v>46313</v>
      </c>
      <c r="F762" t="inlineStr">
        <is>
          <t>SÖDERMANLANDS LÄN</t>
        </is>
      </c>
      <c r="G762" t="inlineStr">
        <is>
          <t>NYKÖPING</t>
        </is>
      </c>
      <c r="I762" t="n">
        <v>1.1</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34625-2022</t>
        </is>
      </c>
      <c r="B763" t="inlineStr">
        <is>
          <t>avverkningsanmälan</t>
        </is>
      </c>
      <c r="C763" t="inlineStr">
        <is>
          <t>Föryngringsavverkning</t>
        </is>
      </c>
      <c r="D763" s="1" t="n">
        <v>44795</v>
      </c>
      <c r="E763" s="1" t="n">
        <v>46313</v>
      </c>
      <c r="F763" t="inlineStr">
        <is>
          <t>SÖDERMANLANDS LÄN</t>
        </is>
      </c>
      <c r="G763" t="inlineStr">
        <is>
          <t>KATRINEHOLM</t>
        </is>
      </c>
      <c r="I763" t="n">
        <v>0.5</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53139-2022</t>
        </is>
      </c>
      <c r="B764" t="inlineStr">
        <is>
          <t>avverkningsanmälan</t>
        </is>
      </c>
      <c r="C764" t="inlineStr">
        <is>
          <t>Föryngringsavverkning</t>
        </is>
      </c>
      <c r="D764" s="1" t="n">
        <v>44873</v>
      </c>
      <c r="E764" s="1" t="n">
        <v>46313</v>
      </c>
      <c r="F764" t="inlineStr">
        <is>
          <t>SÖDERMANLANDS LÄN</t>
        </is>
      </c>
      <c r="G764" t="inlineStr">
        <is>
          <t>STRÄNGNÄS</t>
        </is>
      </c>
      <c r="I764" t="n">
        <v>6.2</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13529-2022</t>
        </is>
      </c>
      <c r="B765" t="inlineStr">
        <is>
          <t>avverkningsanmälan</t>
        </is>
      </c>
      <c r="C765" t="inlineStr">
        <is>
          <t>Föryngringsavverkning</t>
        </is>
      </c>
      <c r="D765" s="1" t="n">
        <v>44643</v>
      </c>
      <c r="E765" s="1" t="n">
        <v>46313</v>
      </c>
      <c r="F765" t="inlineStr">
        <is>
          <t>SÖDERMANLANDS LÄN</t>
        </is>
      </c>
      <c r="G765" t="inlineStr">
        <is>
          <t>FLEN</t>
        </is>
      </c>
      <c r="I765" t="n">
        <v>1.5</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8778-2022</t>
        </is>
      </c>
      <c r="B766" t="inlineStr">
        <is>
          <t>avverkningsanmälan</t>
        </is>
      </c>
      <c r="C766" t="inlineStr">
        <is>
          <t>Föryngringsavverkning</t>
        </is>
      </c>
      <c r="D766" s="1" t="n">
        <v>44614</v>
      </c>
      <c r="E766" s="1" t="n">
        <v>46313</v>
      </c>
      <c r="F766" t="inlineStr">
        <is>
          <t>SÖDERMANLANDS LÄN</t>
        </is>
      </c>
      <c r="G766" t="inlineStr">
        <is>
          <t>NYKÖPING</t>
        </is>
      </c>
      <c r="I766" t="n">
        <v>1</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41642-2022</t>
        </is>
      </c>
      <c r="B767" t="inlineStr">
        <is>
          <t>avverkningsanmälan</t>
        </is>
      </c>
      <c r="C767" t="inlineStr">
        <is>
          <t>Föryngringsavverkning</t>
        </is>
      </c>
      <c r="D767" s="1" t="n">
        <v>44827</v>
      </c>
      <c r="E767" s="1" t="n">
        <v>46313</v>
      </c>
      <c r="F767" t="inlineStr">
        <is>
          <t>SÖDERMANLANDS LÄN</t>
        </is>
      </c>
      <c r="G767" t="inlineStr">
        <is>
          <t>KATRINEHOLM</t>
        </is>
      </c>
      <c r="I767" t="n">
        <v>2.4</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2218-2022</t>
        </is>
      </c>
      <c r="B768" t="inlineStr">
        <is>
          <t>avverkningsanmälan</t>
        </is>
      </c>
      <c r="C768" t="inlineStr">
        <is>
          <t>Föryngringsavverkning</t>
        </is>
      </c>
      <c r="D768" s="1" t="n">
        <v>44578</v>
      </c>
      <c r="E768" s="1" t="n">
        <v>46313</v>
      </c>
      <c r="F768" t="inlineStr">
        <is>
          <t>SÖDERMANLANDS LÄN</t>
        </is>
      </c>
      <c r="G768" t="inlineStr">
        <is>
          <t>ESKILSTUNA</t>
        </is>
      </c>
      <c r="I768" t="n">
        <v>1</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67639-2021</t>
        </is>
      </c>
      <c r="B769" t="inlineStr">
        <is>
          <t>avverkningsanmälan</t>
        </is>
      </c>
      <c r="C769" t="inlineStr">
        <is>
          <t>Föryngringsavverkning</t>
        </is>
      </c>
      <c r="D769" s="1" t="n">
        <v>44524</v>
      </c>
      <c r="E769" s="1" t="n">
        <v>46313</v>
      </c>
      <c r="F769" t="inlineStr">
        <is>
          <t>SÖDERMANLANDS LÄN</t>
        </is>
      </c>
      <c r="G769" t="inlineStr">
        <is>
          <t>STRÄNGNÄS</t>
        </is>
      </c>
      <c r="I769" t="n">
        <v>0.1</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22069-2022</t>
        </is>
      </c>
      <c r="B770" t="inlineStr">
        <is>
          <t>avverkningsanmälan</t>
        </is>
      </c>
      <c r="C770" t="inlineStr">
        <is>
          <t>Avverkning för annat ändamål</t>
        </is>
      </c>
      <c r="D770" s="1" t="n">
        <v>44711</v>
      </c>
      <c r="E770" s="1" t="n">
        <v>46313</v>
      </c>
      <c r="F770" t="inlineStr">
        <is>
          <t>SÖDERMANLANDS LÄN</t>
        </is>
      </c>
      <c r="G770" t="inlineStr">
        <is>
          <t>STRÄNGNÄS</t>
        </is>
      </c>
      <c r="I770" t="n">
        <v>0.9</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50709-2022</t>
        </is>
      </c>
      <c r="B771" t="inlineStr">
        <is>
          <t>avverkningsanmälan</t>
        </is>
      </c>
      <c r="C771" t="inlineStr">
        <is>
          <t>Föryngringsavverkning</t>
        </is>
      </c>
      <c r="D771" s="1" t="n">
        <v>44867</v>
      </c>
      <c r="E771" s="1" t="n">
        <v>46313</v>
      </c>
      <c r="F771" t="inlineStr">
        <is>
          <t>SÖDERMANLANDS LÄN</t>
        </is>
      </c>
      <c r="G771" t="inlineStr">
        <is>
          <t>STRÄNGNÄS</t>
        </is>
      </c>
      <c r="I771" t="n">
        <v>8</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54029-2022</t>
        </is>
      </c>
      <c r="B772" t="inlineStr">
        <is>
          <t>avverkningsanmälan</t>
        </is>
      </c>
      <c r="C772" t="inlineStr">
        <is>
          <t>Föryngringsavverkning</t>
        </is>
      </c>
      <c r="D772" s="1" t="n">
        <v>44881</v>
      </c>
      <c r="E772" s="1" t="n">
        <v>46313</v>
      </c>
      <c r="F772" t="inlineStr">
        <is>
          <t>SÖDERMANLANDS LÄN</t>
        </is>
      </c>
      <c r="G772" t="inlineStr">
        <is>
          <t>NYKÖPING</t>
        </is>
      </c>
      <c r="I772" t="n">
        <v>1.3</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32098-2022</t>
        </is>
      </c>
      <c r="B773" t="inlineStr">
        <is>
          <t>avverkningsanmälan</t>
        </is>
      </c>
      <c r="C773" t="inlineStr">
        <is>
          <t>Föryngringsavverkning</t>
        </is>
      </c>
      <c r="D773" s="1" t="n">
        <v>44778</v>
      </c>
      <c r="E773" s="1" t="n">
        <v>46313</v>
      </c>
      <c r="F773" t="inlineStr">
        <is>
          <t>SÖDERMANLANDS LÄN</t>
        </is>
      </c>
      <c r="G773" t="inlineStr">
        <is>
          <t>FLEN</t>
        </is>
      </c>
      <c r="I773" t="n">
        <v>0.8</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38372-2022</t>
        </is>
      </c>
      <c r="B774" t="inlineStr">
        <is>
          <t>avverkningsanmälan</t>
        </is>
      </c>
      <c r="C774" t="inlineStr">
        <is>
          <t>Föryngringsavverkning</t>
        </is>
      </c>
      <c r="D774" s="1" t="n">
        <v>44812</v>
      </c>
      <c r="E774" s="1" t="n">
        <v>46313</v>
      </c>
      <c r="F774" t="inlineStr">
        <is>
          <t>SÖDERMANLANDS LÄN</t>
        </is>
      </c>
      <c r="G774" t="inlineStr">
        <is>
          <t>NYKÖPING</t>
        </is>
      </c>
      <c r="I774" t="n">
        <v>2.5</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7742-2022</t>
        </is>
      </c>
      <c r="B775" t="inlineStr">
        <is>
          <t>avverkningsanmälan</t>
        </is>
      </c>
      <c r="C775" t="inlineStr">
        <is>
          <t>Föryngringsavverkning</t>
        </is>
      </c>
      <c r="D775" s="1" t="n">
        <v>44608</v>
      </c>
      <c r="E775" s="1" t="n">
        <v>46313</v>
      </c>
      <c r="F775" t="inlineStr">
        <is>
          <t>SÖDERMANLANDS LÄN</t>
        </is>
      </c>
      <c r="G775" t="inlineStr">
        <is>
          <t>VINGÅKER</t>
        </is>
      </c>
      <c r="I775" t="n">
        <v>2.5</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4065-2022</t>
        </is>
      </c>
      <c r="B776" t="inlineStr">
        <is>
          <t>avverkningsanmälan</t>
        </is>
      </c>
      <c r="C776" t="inlineStr">
        <is>
          <t>Föryngringsavverkning</t>
        </is>
      </c>
      <c r="D776" s="1" t="n">
        <v>44588</v>
      </c>
      <c r="E776" s="1" t="n">
        <v>46313</v>
      </c>
      <c r="F776" t="inlineStr">
        <is>
          <t>SÖDERMANLANDS LÄN</t>
        </is>
      </c>
      <c r="G776" t="inlineStr">
        <is>
          <t>FLEN</t>
        </is>
      </c>
      <c r="I776" t="n">
        <v>2.7</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64406-2021</t>
        </is>
      </c>
      <c r="B777" t="inlineStr">
        <is>
          <t>avverkningsanmälan</t>
        </is>
      </c>
      <c r="C777" t="inlineStr">
        <is>
          <t>Föryngringsavverkning</t>
        </is>
      </c>
      <c r="D777" s="1" t="n">
        <v>44511</v>
      </c>
      <c r="E777" s="1" t="n">
        <v>46313</v>
      </c>
      <c r="F777" t="inlineStr">
        <is>
          <t>SÖDERMANLANDS LÄN</t>
        </is>
      </c>
      <c r="G777" t="inlineStr">
        <is>
          <t>VINGÅKER</t>
        </is>
      </c>
      <c r="I777" t="n">
        <v>3.5</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53822-2023</t>
        </is>
      </c>
      <c r="B778" t="inlineStr">
        <is>
          <t>avverkningsanmälan</t>
        </is>
      </c>
      <c r="C778" t="inlineStr">
        <is>
          <t>Föryngringsavverkning</t>
        </is>
      </c>
      <c r="D778" s="1" t="n">
        <v>45231</v>
      </c>
      <c r="E778" s="1" t="n">
        <v>46313</v>
      </c>
      <c r="F778" t="inlineStr">
        <is>
          <t>SÖDERMANLANDS LÄN</t>
        </is>
      </c>
      <c r="G778" t="inlineStr">
        <is>
          <t>KATRINEHOLM</t>
        </is>
      </c>
      <c r="I778" t="n">
        <v>0.6</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30981-2022</t>
        </is>
      </c>
      <c r="B779" t="inlineStr">
        <is>
          <t>avverkningsanmälan</t>
        </is>
      </c>
      <c r="C779" t="inlineStr">
        <is>
          <t>Föryngringsavverkning</t>
        </is>
      </c>
      <c r="D779" s="1" t="n">
        <v>44768</v>
      </c>
      <c r="E779" s="1" t="n">
        <v>46313</v>
      </c>
      <c r="F779" t="inlineStr">
        <is>
          <t>SÖDERMANLANDS LÄN</t>
        </is>
      </c>
      <c r="G779" t="inlineStr">
        <is>
          <t>KATRINEHOLM</t>
        </is>
      </c>
      <c r="I779" t="n">
        <v>1.4</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42092-2022</t>
        </is>
      </c>
      <c r="B780" t="inlineStr">
        <is>
          <t>avverkningsanmälan</t>
        </is>
      </c>
      <c r="C780" t="inlineStr">
        <is>
          <t>Föryngringsavverkning</t>
        </is>
      </c>
      <c r="D780" s="1" t="n">
        <v>44830</v>
      </c>
      <c r="E780" s="1" t="n">
        <v>46313</v>
      </c>
      <c r="F780" t="inlineStr">
        <is>
          <t>SÖDERMANLANDS LÄN</t>
        </is>
      </c>
      <c r="G780" t="inlineStr">
        <is>
          <t>NYKÖPING</t>
        </is>
      </c>
      <c r="I780" t="n">
        <v>2.5</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42103-2022</t>
        </is>
      </c>
      <c r="B781" t="inlineStr">
        <is>
          <t>avverkningsanmälan</t>
        </is>
      </c>
      <c r="C781" t="inlineStr">
        <is>
          <t>Föryngringsavverkning</t>
        </is>
      </c>
      <c r="D781" s="1" t="n">
        <v>44830</v>
      </c>
      <c r="E781" s="1" t="n">
        <v>46313</v>
      </c>
      <c r="F781" t="inlineStr">
        <is>
          <t>SÖDERMANLANDS LÄN</t>
        </is>
      </c>
      <c r="G781" t="inlineStr">
        <is>
          <t>STRÄNGNÄS</t>
        </is>
      </c>
      <c r="H781" t="inlineStr">
        <is>
          <t>Allmännings- och besparingsskogar</t>
        </is>
      </c>
      <c r="I781" t="n">
        <v>1.7</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42161-2022</t>
        </is>
      </c>
      <c r="B782" t="inlineStr">
        <is>
          <t>avverkningsanmälan</t>
        </is>
      </c>
      <c r="C782" t="inlineStr">
        <is>
          <t>Föryngringsavverkning</t>
        </is>
      </c>
      <c r="D782" s="1" t="n">
        <v>44830</v>
      </c>
      <c r="E782" s="1" t="n">
        <v>46313</v>
      </c>
      <c r="F782" t="inlineStr">
        <is>
          <t>SÖDERMANLANDS LÄN</t>
        </is>
      </c>
      <c r="G782" t="inlineStr">
        <is>
          <t>VINGÅKER</t>
        </is>
      </c>
      <c r="I782" t="n">
        <v>6.8</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31068-2022</t>
        </is>
      </c>
      <c r="B783" t="inlineStr">
        <is>
          <t>avverkningsanmälan</t>
        </is>
      </c>
      <c r="C783" t="inlineStr">
        <is>
          <t>Föryngringsavverkning</t>
        </is>
      </c>
      <c r="D783" s="1" t="n">
        <v>44769</v>
      </c>
      <c r="E783" s="1" t="n">
        <v>46313</v>
      </c>
      <c r="F783" t="inlineStr">
        <is>
          <t>SÖDERMANLANDS LÄN</t>
        </is>
      </c>
      <c r="G783" t="inlineStr">
        <is>
          <t>FLEN</t>
        </is>
      </c>
      <c r="I783" t="n">
        <v>0.9</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35814-2022</t>
        </is>
      </c>
      <c r="B784" t="inlineStr">
        <is>
          <t>avverkningsanmälan</t>
        </is>
      </c>
      <c r="C784" t="inlineStr">
        <is>
          <t>Föryngringsavverkning</t>
        </is>
      </c>
      <c r="D784" s="1" t="n">
        <v>44799</v>
      </c>
      <c r="E784" s="1" t="n">
        <v>46313</v>
      </c>
      <c r="F784" t="inlineStr">
        <is>
          <t>SÖDERMANLANDS LÄN</t>
        </is>
      </c>
      <c r="G784" t="inlineStr">
        <is>
          <t>STRÄNGNÄS</t>
        </is>
      </c>
      <c r="I784" t="n">
        <v>1</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70791-2021</t>
        </is>
      </c>
      <c r="B785" t="inlineStr">
        <is>
          <t>avverkningsanmälan</t>
        </is>
      </c>
      <c r="C785" t="inlineStr">
        <is>
          <t>Föryngringsavverkning</t>
        </is>
      </c>
      <c r="D785" s="1" t="n">
        <v>44536</v>
      </c>
      <c r="E785" s="1" t="n">
        <v>46313</v>
      </c>
      <c r="F785" t="inlineStr">
        <is>
          <t>SÖDERMANLANDS LÄN</t>
        </is>
      </c>
      <c r="G785" t="inlineStr">
        <is>
          <t>NYKÖPING</t>
        </is>
      </c>
      <c r="I785" t="n">
        <v>1.4</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38468-2022</t>
        </is>
      </c>
      <c r="B786" t="inlineStr">
        <is>
          <t>avverkningsanmälan</t>
        </is>
      </c>
      <c r="C786" t="inlineStr">
        <is>
          <t>Föryngringsavverkning</t>
        </is>
      </c>
      <c r="D786" s="1" t="n">
        <v>44813</v>
      </c>
      <c r="E786" s="1" t="n">
        <v>46313</v>
      </c>
      <c r="F786" t="inlineStr">
        <is>
          <t>SÖDERMANLANDS LÄN</t>
        </is>
      </c>
      <c r="G786" t="inlineStr">
        <is>
          <t>NYKÖPING</t>
        </is>
      </c>
      <c r="I786" t="n">
        <v>1.1</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17541-2022</t>
        </is>
      </c>
      <c r="B787" t="inlineStr">
        <is>
          <t>avverkningsanmälan</t>
        </is>
      </c>
      <c r="C787" t="inlineStr">
        <is>
          <t>Avverkning för annat ändamål</t>
        </is>
      </c>
      <c r="D787" s="1" t="n">
        <v>44679</v>
      </c>
      <c r="E787" s="1" t="n">
        <v>46313</v>
      </c>
      <c r="F787" t="inlineStr">
        <is>
          <t>SÖDERMANLANDS LÄN</t>
        </is>
      </c>
      <c r="G787" t="inlineStr">
        <is>
          <t>NYKÖPING</t>
        </is>
      </c>
      <c r="I787" t="n">
        <v>0.4</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6789-2022</t>
        </is>
      </c>
      <c r="B788" t="inlineStr">
        <is>
          <t>avverkningsanmälan</t>
        </is>
      </c>
      <c r="C788" t="inlineStr">
        <is>
          <t>Föryngringsavverkning</t>
        </is>
      </c>
      <c r="D788" s="1" t="n">
        <v>44602</v>
      </c>
      <c r="E788" s="1" t="n">
        <v>46313</v>
      </c>
      <c r="F788" t="inlineStr">
        <is>
          <t>SÖDERMANLANDS LÄN</t>
        </is>
      </c>
      <c r="G788" t="inlineStr">
        <is>
          <t>KATRINEHOLM</t>
        </is>
      </c>
      <c r="I788" t="n">
        <v>4.6</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21576-2022</t>
        </is>
      </c>
      <c r="B789" t="inlineStr">
        <is>
          <t>avverkningsanmälan</t>
        </is>
      </c>
      <c r="C789" t="inlineStr">
        <is>
          <t>Föryngringsavverkning</t>
        </is>
      </c>
      <c r="D789" s="1" t="n">
        <v>44706</v>
      </c>
      <c r="E789" s="1" t="n">
        <v>46313</v>
      </c>
      <c r="F789" t="inlineStr">
        <is>
          <t>SÖDERMANLANDS LÄN</t>
        </is>
      </c>
      <c r="G789" t="inlineStr">
        <is>
          <t>KATRINEHOLM</t>
        </is>
      </c>
      <c r="I789" t="n">
        <v>4.2</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43967-2022</t>
        </is>
      </c>
      <c r="B790" t="inlineStr">
        <is>
          <t>avverkningsanmälan</t>
        </is>
      </c>
      <c r="C790" t="inlineStr">
        <is>
          <t>Föryngringsavverkning</t>
        </is>
      </c>
      <c r="D790" s="1" t="n">
        <v>44837</v>
      </c>
      <c r="E790" s="1" t="n">
        <v>46313</v>
      </c>
      <c r="F790" t="inlineStr">
        <is>
          <t>SÖDERMANLANDS LÄN</t>
        </is>
      </c>
      <c r="G790" t="inlineStr">
        <is>
          <t>KATRINEHOLM</t>
        </is>
      </c>
      <c r="I790" t="n">
        <v>6.2</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44161-2022</t>
        </is>
      </c>
      <c r="B791" t="inlineStr">
        <is>
          <t>avverkningsanmälan</t>
        </is>
      </c>
      <c r="C791" t="inlineStr">
        <is>
          <t>Föryngringsavverkning</t>
        </is>
      </c>
      <c r="D791" s="1" t="n">
        <v>44839</v>
      </c>
      <c r="E791" s="1" t="n">
        <v>46313</v>
      </c>
      <c r="F791" t="inlineStr">
        <is>
          <t>SÖDERMANLANDS LÄN</t>
        </is>
      </c>
      <c r="G791" t="inlineStr">
        <is>
          <t>FLEN</t>
        </is>
      </c>
      <c r="I791" t="n">
        <v>0.5</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44012-2022</t>
        </is>
      </c>
      <c r="B792" t="inlineStr">
        <is>
          <t>avverkningsanmälan</t>
        </is>
      </c>
      <c r="C792" t="inlineStr">
        <is>
          <t>Föryngringsavverkning</t>
        </is>
      </c>
      <c r="D792" s="1" t="n">
        <v>44838</v>
      </c>
      <c r="E792" s="1" t="n">
        <v>46313</v>
      </c>
      <c r="F792" t="inlineStr">
        <is>
          <t>SÖDERMANLANDS LÄN</t>
        </is>
      </c>
      <c r="G792" t="inlineStr">
        <is>
          <t>KATRINEHOLM</t>
        </is>
      </c>
      <c r="I792" t="n">
        <v>0.4</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20376-2022</t>
        </is>
      </c>
      <c r="B793" t="inlineStr">
        <is>
          <t>avverkningsanmälan</t>
        </is>
      </c>
      <c r="C793" t="inlineStr">
        <is>
          <t>Föryngringsavverkning</t>
        </is>
      </c>
      <c r="D793" s="1" t="n">
        <v>44699</v>
      </c>
      <c r="E793" s="1" t="n">
        <v>46313</v>
      </c>
      <c r="F793" t="inlineStr">
        <is>
          <t>SÖDERMANLANDS LÄN</t>
        </is>
      </c>
      <c r="G793" t="inlineStr">
        <is>
          <t>ESKILSTUNA</t>
        </is>
      </c>
      <c r="H793" t="inlineStr">
        <is>
          <t>Naturvårdsverket</t>
        </is>
      </c>
      <c r="I793" t="n">
        <v>1.9</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47372-2022</t>
        </is>
      </c>
      <c r="B794" t="inlineStr">
        <is>
          <t>avverkningsanmälan</t>
        </is>
      </c>
      <c r="C794" t="inlineStr">
        <is>
          <t>Föryngringsavverkning</t>
        </is>
      </c>
      <c r="D794" s="1" t="n">
        <v>44853</v>
      </c>
      <c r="E794" s="1" t="n">
        <v>46313</v>
      </c>
      <c r="F794" t="inlineStr">
        <is>
          <t>SÖDERMANLANDS LÄN</t>
        </is>
      </c>
      <c r="G794" t="inlineStr">
        <is>
          <t>NYKÖPING</t>
        </is>
      </c>
      <c r="I794" t="n">
        <v>1.9</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55081-2022</t>
        </is>
      </c>
      <c r="B795" t="inlineStr">
        <is>
          <t>avverkningsanmälan</t>
        </is>
      </c>
      <c r="C795" t="inlineStr">
        <is>
          <t>Föryngringsavverkning</t>
        </is>
      </c>
      <c r="D795" s="1" t="n">
        <v>44886</v>
      </c>
      <c r="E795" s="1" t="n">
        <v>46313</v>
      </c>
      <c r="F795" t="inlineStr">
        <is>
          <t>SÖDERMANLANDS LÄN</t>
        </is>
      </c>
      <c r="G795" t="inlineStr">
        <is>
          <t>FLEN</t>
        </is>
      </c>
      <c r="I795" t="n">
        <v>6.8</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51835-2022</t>
        </is>
      </c>
      <c r="B796" t="inlineStr">
        <is>
          <t>avverkningsanmälan</t>
        </is>
      </c>
      <c r="C796" t="inlineStr">
        <is>
          <t>Föryngringsavverkning</t>
        </is>
      </c>
      <c r="D796" s="1" t="n">
        <v>44872</v>
      </c>
      <c r="E796" s="1" t="n">
        <v>46313</v>
      </c>
      <c r="F796" t="inlineStr">
        <is>
          <t>SÖDERMANLANDS LÄN</t>
        </is>
      </c>
      <c r="G796" t="inlineStr">
        <is>
          <t>KATRINEHOLM</t>
        </is>
      </c>
      <c r="I796" t="n">
        <v>0.9</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51891-2022</t>
        </is>
      </c>
      <c r="B797" t="inlineStr">
        <is>
          <t>avverkningsanmälan</t>
        </is>
      </c>
      <c r="C797" t="inlineStr">
        <is>
          <t>Föryngringsavverkning</t>
        </is>
      </c>
      <c r="D797" s="1" t="n">
        <v>44867</v>
      </c>
      <c r="E797" s="1" t="n">
        <v>46313</v>
      </c>
      <c r="F797" t="inlineStr">
        <is>
          <t>SÖDERMANLANDS LÄN</t>
        </is>
      </c>
      <c r="G797" t="inlineStr">
        <is>
          <t>VINGÅKER</t>
        </is>
      </c>
      <c r="I797" t="n">
        <v>1</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20775-2022</t>
        </is>
      </c>
      <c r="B798" t="inlineStr">
        <is>
          <t>avverkningsanmälan</t>
        </is>
      </c>
      <c r="C798" t="inlineStr">
        <is>
          <t>Föryngringsavverkning</t>
        </is>
      </c>
      <c r="D798" s="1" t="n">
        <v>44701</v>
      </c>
      <c r="E798" s="1" t="n">
        <v>46313</v>
      </c>
      <c r="F798" t="inlineStr">
        <is>
          <t>SÖDERMANLANDS LÄN</t>
        </is>
      </c>
      <c r="G798" t="inlineStr">
        <is>
          <t>NYKÖPING</t>
        </is>
      </c>
      <c r="I798" t="n">
        <v>0.5</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21088-2022</t>
        </is>
      </c>
      <c r="B799" t="inlineStr">
        <is>
          <t>avverkningsanmälan</t>
        </is>
      </c>
      <c r="C799" t="inlineStr">
        <is>
          <t>Föryngringsavverkning</t>
        </is>
      </c>
      <c r="D799" s="1" t="n">
        <v>44704</v>
      </c>
      <c r="E799" s="1" t="n">
        <v>46313</v>
      </c>
      <c r="F799" t="inlineStr">
        <is>
          <t>SÖDERMANLANDS LÄN</t>
        </is>
      </c>
      <c r="G799" t="inlineStr">
        <is>
          <t>NYKÖPING</t>
        </is>
      </c>
      <c r="I799" t="n">
        <v>0.4</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2256-2022</t>
        </is>
      </c>
      <c r="B800" t="inlineStr">
        <is>
          <t>avverkningsanmälan</t>
        </is>
      </c>
      <c r="C800" t="inlineStr">
        <is>
          <t>Föryngringsavverkning</t>
        </is>
      </c>
      <c r="D800" s="1" t="n">
        <v>44578</v>
      </c>
      <c r="E800" s="1" t="n">
        <v>46313</v>
      </c>
      <c r="F800" t="inlineStr">
        <is>
          <t>SÖDERMANLANDS LÄN</t>
        </is>
      </c>
      <c r="G800" t="inlineStr">
        <is>
          <t>NYKÖPING</t>
        </is>
      </c>
      <c r="I800" t="n">
        <v>5</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42524-2022</t>
        </is>
      </c>
      <c r="B801" t="inlineStr">
        <is>
          <t>avverkningsanmälan</t>
        </is>
      </c>
      <c r="C801" t="inlineStr">
        <is>
          <t>Föryngringsavverkning</t>
        </is>
      </c>
      <c r="D801" s="1" t="n">
        <v>44831</v>
      </c>
      <c r="E801" s="1" t="n">
        <v>46313</v>
      </c>
      <c r="F801" t="inlineStr">
        <is>
          <t>SÖDERMANLANDS LÄN</t>
        </is>
      </c>
      <c r="G801" t="inlineStr">
        <is>
          <t>GNESTA</t>
        </is>
      </c>
      <c r="I801" t="n">
        <v>14.8</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20792-2022</t>
        </is>
      </c>
      <c r="B802" t="inlineStr">
        <is>
          <t>avverkningsanmälan</t>
        </is>
      </c>
      <c r="C802" t="inlineStr">
        <is>
          <t>Föryngringsavverkning</t>
        </is>
      </c>
      <c r="D802" s="1" t="n">
        <v>44701</v>
      </c>
      <c r="E802" s="1" t="n">
        <v>46313</v>
      </c>
      <c r="F802" t="inlineStr">
        <is>
          <t>SÖDERMANLANDS LÄN</t>
        </is>
      </c>
      <c r="G802" t="inlineStr">
        <is>
          <t>GNESTA</t>
        </is>
      </c>
      <c r="H802" t="inlineStr">
        <is>
          <t>Övriga Aktiebolag</t>
        </is>
      </c>
      <c r="I802" t="n">
        <v>0.6</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47759-2022</t>
        </is>
      </c>
      <c r="B803" t="inlineStr">
        <is>
          <t>avverkningsanmälan</t>
        </is>
      </c>
      <c r="C803" t="inlineStr">
        <is>
          <t>Föryngringsavverkning</t>
        </is>
      </c>
      <c r="D803" s="1" t="n">
        <v>44854</v>
      </c>
      <c r="E803" s="1" t="n">
        <v>46313</v>
      </c>
      <c r="F803" t="inlineStr">
        <is>
          <t>SÖDERMANLANDS LÄN</t>
        </is>
      </c>
      <c r="G803" t="inlineStr">
        <is>
          <t>FLEN</t>
        </is>
      </c>
      <c r="I803" t="n">
        <v>1.4</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65406-2021</t>
        </is>
      </c>
      <c r="B804" t="inlineStr">
        <is>
          <t>avverkningsanmälan</t>
        </is>
      </c>
      <c r="C804" t="inlineStr">
        <is>
          <t>Föryngringsavverkning</t>
        </is>
      </c>
      <c r="D804" s="1" t="n">
        <v>44515</v>
      </c>
      <c r="E804" s="1" t="n">
        <v>46313</v>
      </c>
      <c r="F804" t="inlineStr">
        <is>
          <t>SÖDERMANLANDS LÄN</t>
        </is>
      </c>
      <c r="G804" t="inlineStr">
        <is>
          <t>ESKILSTUNA</t>
        </is>
      </c>
      <c r="H804" t="inlineStr">
        <is>
          <t>Kyrkan</t>
        </is>
      </c>
      <c r="I804" t="n">
        <v>3.4</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35088-2022</t>
        </is>
      </c>
      <c r="B805" t="inlineStr">
        <is>
          <t>avverkningsanmälan</t>
        </is>
      </c>
      <c r="C805" t="inlineStr">
        <is>
          <t>Föryngringsavverkning</t>
        </is>
      </c>
      <c r="D805" s="1" t="n">
        <v>44797</v>
      </c>
      <c r="E805" s="1" t="n">
        <v>46313</v>
      </c>
      <c r="F805" t="inlineStr">
        <is>
          <t>SÖDERMANLANDS LÄN</t>
        </is>
      </c>
      <c r="G805" t="inlineStr">
        <is>
          <t>KATRINEHOLM</t>
        </is>
      </c>
      <c r="I805" t="n">
        <v>2.8</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24099-2022</t>
        </is>
      </c>
      <c r="B806" t="inlineStr">
        <is>
          <t>avverkningsanmälan</t>
        </is>
      </c>
      <c r="C806" t="inlineStr">
        <is>
          <t>Avverkning för annat ändamål</t>
        </is>
      </c>
      <c r="D806" s="1" t="n">
        <v>44725</v>
      </c>
      <c r="E806" s="1" t="n">
        <v>46313</v>
      </c>
      <c r="F806" t="inlineStr">
        <is>
          <t>SÖDERMANLANDS LÄN</t>
        </is>
      </c>
      <c r="G806" t="inlineStr">
        <is>
          <t>KATRINEHOLM</t>
        </is>
      </c>
      <c r="I806" t="n">
        <v>1.5</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73480-2021</t>
        </is>
      </c>
      <c r="B807" t="inlineStr">
        <is>
          <t>avverkningsanmälan</t>
        </is>
      </c>
      <c r="C807" t="inlineStr">
        <is>
          <t>Föryngringsavverkning</t>
        </is>
      </c>
      <c r="D807" s="1" t="n">
        <v>44550</v>
      </c>
      <c r="E807" s="1" t="n">
        <v>46313</v>
      </c>
      <c r="F807" t="inlineStr">
        <is>
          <t>SÖDERMANLANDS LÄN</t>
        </is>
      </c>
      <c r="G807" t="inlineStr">
        <is>
          <t>ESKILSTUNA</t>
        </is>
      </c>
      <c r="I807" t="n">
        <v>1.8</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20013-2022</t>
        </is>
      </c>
      <c r="B808" t="inlineStr">
        <is>
          <t>avverkningsanmälan</t>
        </is>
      </c>
      <c r="C808" t="inlineStr">
        <is>
          <t>Föryngringsavverkning</t>
        </is>
      </c>
      <c r="D808" s="1" t="n">
        <v>44697</v>
      </c>
      <c r="E808" s="1" t="n">
        <v>46313</v>
      </c>
      <c r="F808" t="inlineStr">
        <is>
          <t>SÖDERMANLANDS LÄN</t>
        </is>
      </c>
      <c r="G808" t="inlineStr">
        <is>
          <t>FLEN</t>
        </is>
      </c>
      <c r="I808" t="n">
        <v>0.9</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47969-2022</t>
        </is>
      </c>
      <c r="B809" t="inlineStr">
        <is>
          <t>avverkningsanmälan</t>
        </is>
      </c>
      <c r="C809" t="inlineStr">
        <is>
          <t>Föryngringsavverkning</t>
        </is>
      </c>
      <c r="D809" s="1" t="n">
        <v>44853</v>
      </c>
      <c r="E809" s="1" t="n">
        <v>46313</v>
      </c>
      <c r="F809" t="inlineStr">
        <is>
          <t>SÖDERMANLANDS LÄN</t>
        </is>
      </c>
      <c r="G809" t="inlineStr">
        <is>
          <t>GNESTA</t>
        </is>
      </c>
      <c r="I809" t="n">
        <v>0.6</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23870-2022</t>
        </is>
      </c>
      <c r="B810" t="inlineStr">
        <is>
          <t>avverkningsanmälan</t>
        </is>
      </c>
      <c r="C810" t="inlineStr">
        <is>
          <t>Föryngringsavverkning</t>
        </is>
      </c>
      <c r="D810" s="1" t="n">
        <v>44722</v>
      </c>
      <c r="E810" s="1" t="n">
        <v>46313</v>
      </c>
      <c r="F810" t="inlineStr">
        <is>
          <t>SÖDERMANLANDS LÄN</t>
        </is>
      </c>
      <c r="G810" t="inlineStr">
        <is>
          <t>ESKILSTUNA</t>
        </is>
      </c>
      <c r="H810" t="inlineStr">
        <is>
          <t>Sveaskog</t>
        </is>
      </c>
      <c r="I810" t="n">
        <v>0.6</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23922-2022</t>
        </is>
      </c>
      <c r="B811" t="inlineStr">
        <is>
          <t>avverkningsanmälan</t>
        </is>
      </c>
      <c r="C811" t="inlineStr">
        <is>
          <t>Föryngringsavverkning</t>
        </is>
      </c>
      <c r="D811" s="1" t="n">
        <v>44722</v>
      </c>
      <c r="E811" s="1" t="n">
        <v>46313</v>
      </c>
      <c r="F811" t="inlineStr">
        <is>
          <t>SÖDERMANLANDS LÄN</t>
        </is>
      </c>
      <c r="G811" t="inlineStr">
        <is>
          <t>NYKÖPING</t>
        </is>
      </c>
      <c r="I811" t="n">
        <v>0.6</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71175-2021</t>
        </is>
      </c>
      <c r="B812" t="inlineStr">
        <is>
          <t>avverkningsanmälan</t>
        </is>
      </c>
      <c r="C812" t="inlineStr">
        <is>
          <t>Föryngringsavverkning</t>
        </is>
      </c>
      <c r="D812" s="1" t="n">
        <v>44539</v>
      </c>
      <c r="E812" s="1" t="n">
        <v>46313</v>
      </c>
      <c r="F812" t="inlineStr">
        <is>
          <t>SÖDERMANLANDS LÄN</t>
        </is>
      </c>
      <c r="G812" t="inlineStr">
        <is>
          <t>NYKÖPING</t>
        </is>
      </c>
      <c r="I812" t="n">
        <v>2.5</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33703-2022</t>
        </is>
      </c>
      <c r="B813" t="inlineStr">
        <is>
          <t>avverkningsanmälan</t>
        </is>
      </c>
      <c r="C813" t="inlineStr">
        <is>
          <t>Föryngringsavverkning</t>
        </is>
      </c>
      <c r="D813" s="1" t="n">
        <v>44789</v>
      </c>
      <c r="E813" s="1" t="n">
        <v>46313</v>
      </c>
      <c r="F813" t="inlineStr">
        <is>
          <t>SÖDERMANLANDS LÄN</t>
        </is>
      </c>
      <c r="G813" t="inlineStr">
        <is>
          <t>ESKILSTUNA</t>
        </is>
      </c>
      <c r="I813" t="n">
        <v>4.3</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1565-2022</t>
        </is>
      </c>
      <c r="B814" t="inlineStr">
        <is>
          <t>avverkningsanmälan</t>
        </is>
      </c>
      <c r="C814" t="inlineStr">
        <is>
          <t>Föryngringsavverkning</t>
        </is>
      </c>
      <c r="D814" s="1" t="n">
        <v>44573</v>
      </c>
      <c r="E814" s="1" t="n">
        <v>46313</v>
      </c>
      <c r="F814" t="inlineStr">
        <is>
          <t>SÖDERMANLANDS LÄN</t>
        </is>
      </c>
      <c r="G814" t="inlineStr">
        <is>
          <t>ESKILSTUNA</t>
        </is>
      </c>
      <c r="I814" t="n">
        <v>5.8</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33753-2022</t>
        </is>
      </c>
      <c r="B815" t="inlineStr">
        <is>
          <t>avverkningsanmälan</t>
        </is>
      </c>
      <c r="C815" t="inlineStr">
        <is>
          <t>Föryngringsavverkning</t>
        </is>
      </c>
      <c r="D815" s="1" t="n">
        <v>44789</v>
      </c>
      <c r="E815" s="1" t="n">
        <v>46313</v>
      </c>
      <c r="F815" t="inlineStr">
        <is>
          <t>SÖDERMANLANDS LÄN</t>
        </is>
      </c>
      <c r="G815" t="inlineStr">
        <is>
          <t>KATRINEHOLM</t>
        </is>
      </c>
      <c r="I815" t="n">
        <v>4.9</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60721-2021</t>
        </is>
      </c>
      <c r="B816" t="inlineStr">
        <is>
          <t>avverkningsanmälan</t>
        </is>
      </c>
      <c r="C816" t="inlineStr">
        <is>
          <t>Avverkning för annat ändamål</t>
        </is>
      </c>
      <c r="D816" s="1" t="n">
        <v>44490</v>
      </c>
      <c r="E816" s="1" t="n">
        <v>46313</v>
      </c>
      <c r="F816" t="inlineStr">
        <is>
          <t>SÖDERMANLANDS LÄN</t>
        </is>
      </c>
      <c r="G816" t="inlineStr">
        <is>
          <t>ESKILSTUNA</t>
        </is>
      </c>
      <c r="I816" t="n">
        <v>0.1</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60596-2021</t>
        </is>
      </c>
      <c r="B817" t="inlineStr">
        <is>
          <t>avverkningsanmälan</t>
        </is>
      </c>
      <c r="C817" t="inlineStr">
        <is>
          <t>Föryngringsavverkning</t>
        </is>
      </c>
      <c r="D817" s="1" t="n">
        <v>44496</v>
      </c>
      <c r="E817" s="1" t="n">
        <v>46313</v>
      </c>
      <c r="F817" t="inlineStr">
        <is>
          <t>SÖDERMANLANDS LÄN</t>
        </is>
      </c>
      <c r="G817" t="inlineStr">
        <is>
          <t>KATRINEHOLM</t>
        </is>
      </c>
      <c r="I817" t="n">
        <v>1.5</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55645-2022</t>
        </is>
      </c>
      <c r="B818" t="inlineStr">
        <is>
          <t>avverkningsanmälan</t>
        </is>
      </c>
      <c r="C818" t="inlineStr">
        <is>
          <t>Föryngringsavverkning</t>
        </is>
      </c>
      <c r="D818" s="1" t="n">
        <v>44888</v>
      </c>
      <c r="E818" s="1" t="n">
        <v>46313</v>
      </c>
      <c r="F818" t="inlineStr">
        <is>
          <t>SÖDERMANLANDS LÄN</t>
        </is>
      </c>
      <c r="G818" t="inlineStr">
        <is>
          <t>VINGÅKER</t>
        </is>
      </c>
      <c r="I818" t="n">
        <v>0.5</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2162-2022</t>
        </is>
      </c>
      <c r="B819" t="inlineStr">
        <is>
          <t>avverkningsanmälan</t>
        </is>
      </c>
      <c r="C819" t="inlineStr">
        <is>
          <t>Föryngringsavverkning</t>
        </is>
      </c>
      <c r="D819" s="1" t="n">
        <v>44578</v>
      </c>
      <c r="E819" s="1" t="n">
        <v>46313</v>
      </c>
      <c r="F819" t="inlineStr">
        <is>
          <t>SÖDERMANLANDS LÄN</t>
        </is>
      </c>
      <c r="G819" t="inlineStr">
        <is>
          <t>FLEN</t>
        </is>
      </c>
      <c r="H819" t="inlineStr">
        <is>
          <t>Övriga statliga verk och myndigheter</t>
        </is>
      </c>
      <c r="I819" t="n">
        <v>6.1</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15147-2022</t>
        </is>
      </c>
      <c r="B820" t="inlineStr">
        <is>
          <t>avverkningsanmälan</t>
        </is>
      </c>
      <c r="C820" t="inlineStr">
        <is>
          <t>Föryngringsavverkning</t>
        </is>
      </c>
      <c r="D820" s="1" t="n">
        <v>44658</v>
      </c>
      <c r="E820" s="1" t="n">
        <v>46313</v>
      </c>
      <c r="F820" t="inlineStr">
        <is>
          <t>SÖDERMANLANDS LÄN</t>
        </is>
      </c>
      <c r="G820" t="inlineStr">
        <is>
          <t>NYKÖPING</t>
        </is>
      </c>
      <c r="H820" t="inlineStr">
        <is>
          <t>Allmännings- och besparingsskogar</t>
        </is>
      </c>
      <c r="I820" t="n">
        <v>2</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51815-2022</t>
        </is>
      </c>
      <c r="B821" t="inlineStr">
        <is>
          <t>avverkningsanmälan</t>
        </is>
      </c>
      <c r="C821" t="inlineStr">
        <is>
          <t>Föryngringsavverkning</t>
        </is>
      </c>
      <c r="D821" s="1" t="n">
        <v>44872</v>
      </c>
      <c r="E821" s="1" t="n">
        <v>46313</v>
      </c>
      <c r="F821" t="inlineStr">
        <is>
          <t>SÖDERMANLANDS LÄN</t>
        </is>
      </c>
      <c r="G821" t="inlineStr">
        <is>
          <t>STRÄNGNÄS</t>
        </is>
      </c>
      <c r="I821" t="n">
        <v>9.800000000000001</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45879-2022</t>
        </is>
      </c>
      <c r="B822" t="inlineStr">
        <is>
          <t>avverkningsanmälan</t>
        </is>
      </c>
      <c r="C822" t="inlineStr">
        <is>
          <t>Föryngringsavverkning</t>
        </is>
      </c>
      <c r="D822" s="1" t="n">
        <v>44844</v>
      </c>
      <c r="E822" s="1" t="n">
        <v>46313</v>
      </c>
      <c r="F822" t="inlineStr">
        <is>
          <t>SÖDERMANLANDS LÄN</t>
        </is>
      </c>
      <c r="G822" t="inlineStr">
        <is>
          <t>ESKILSTUNA</t>
        </is>
      </c>
      <c r="I822" t="n">
        <v>0.5</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31096-2022</t>
        </is>
      </c>
      <c r="B823" t="inlineStr">
        <is>
          <t>avverkningsanmälan</t>
        </is>
      </c>
      <c r="C823" t="inlineStr">
        <is>
          <t>Föryngringsavverkning</t>
        </is>
      </c>
      <c r="D823" s="1" t="n">
        <v>44769</v>
      </c>
      <c r="E823" s="1" t="n">
        <v>46313</v>
      </c>
      <c r="F823" t="inlineStr">
        <is>
          <t>SÖDERMANLANDS LÄN</t>
        </is>
      </c>
      <c r="G823" t="inlineStr">
        <is>
          <t>FLEN</t>
        </is>
      </c>
      <c r="I823" t="n">
        <v>1.4</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45911-2022</t>
        </is>
      </c>
      <c r="B824" t="inlineStr">
        <is>
          <t>avverkningsanmälan</t>
        </is>
      </c>
      <c r="C824" t="inlineStr">
        <is>
          <t>Föryngringsavverkning</t>
        </is>
      </c>
      <c r="D824" s="1" t="n">
        <v>44846</v>
      </c>
      <c r="E824" s="1" t="n">
        <v>46313</v>
      </c>
      <c r="F824" t="inlineStr">
        <is>
          <t>SÖDERMANLANDS LÄN</t>
        </is>
      </c>
      <c r="G824" t="inlineStr">
        <is>
          <t>GNESTA</t>
        </is>
      </c>
      <c r="H824" t="inlineStr">
        <is>
          <t>Allmännings- och besparingsskogar</t>
        </is>
      </c>
      <c r="I824" t="n">
        <v>0.5</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14384-2022</t>
        </is>
      </c>
      <c r="B825" t="inlineStr">
        <is>
          <t>avverkningsanmälan</t>
        </is>
      </c>
      <c r="C825" t="inlineStr">
        <is>
          <t>Föryngringsavverkning</t>
        </is>
      </c>
      <c r="D825" s="1" t="n">
        <v>44652</v>
      </c>
      <c r="E825" s="1" t="n">
        <v>46313</v>
      </c>
      <c r="F825" t="inlineStr">
        <is>
          <t>SÖDERMANLANDS LÄN</t>
        </is>
      </c>
      <c r="G825" t="inlineStr">
        <is>
          <t>NYKÖPING</t>
        </is>
      </c>
      <c r="I825" t="n">
        <v>0.5</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66939-2021</t>
        </is>
      </c>
      <c r="B826" t="inlineStr">
        <is>
          <t>avverkningsanmälan</t>
        </is>
      </c>
      <c r="C826" t="inlineStr">
        <is>
          <t>Föryngringsavverkning</t>
        </is>
      </c>
      <c r="D826" s="1" t="n">
        <v>44522</v>
      </c>
      <c r="E826" s="1" t="n">
        <v>46313</v>
      </c>
      <c r="F826" t="inlineStr">
        <is>
          <t>SÖDERMANLANDS LÄN</t>
        </is>
      </c>
      <c r="G826" t="inlineStr">
        <is>
          <t>NYKÖPING</t>
        </is>
      </c>
      <c r="I826" t="n">
        <v>4.4</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66860-2021</t>
        </is>
      </c>
      <c r="B827" t="inlineStr">
        <is>
          <t>avverkningsanmälan</t>
        </is>
      </c>
      <c r="C827" t="inlineStr">
        <is>
          <t>Föryngringsavverkning</t>
        </is>
      </c>
      <c r="D827" s="1" t="n">
        <v>44522</v>
      </c>
      <c r="E827" s="1" t="n">
        <v>46313</v>
      </c>
      <c r="F827" t="inlineStr">
        <is>
          <t>SÖDERMANLANDS LÄN</t>
        </is>
      </c>
      <c r="G827" t="inlineStr">
        <is>
          <t>NYKÖPING</t>
        </is>
      </c>
      <c r="H827" t="inlineStr">
        <is>
          <t>Holmen skog AB</t>
        </is>
      </c>
      <c r="I827" t="n">
        <v>0.9</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51772-2022</t>
        </is>
      </c>
      <c r="B828" t="inlineStr">
        <is>
          <t>avverkningsanmälan</t>
        </is>
      </c>
      <c r="C828" t="inlineStr">
        <is>
          <t>Föryngringsavverkning</t>
        </is>
      </c>
      <c r="D828" s="1" t="n">
        <v>44872</v>
      </c>
      <c r="E828" s="1" t="n">
        <v>46313</v>
      </c>
      <c r="F828" t="inlineStr">
        <is>
          <t>SÖDERMANLANDS LÄN</t>
        </is>
      </c>
      <c r="G828" t="inlineStr">
        <is>
          <t>STRÄNGNÄS</t>
        </is>
      </c>
      <c r="I828" t="n">
        <v>2.4</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54556-2022</t>
        </is>
      </c>
      <c r="B829" t="inlineStr">
        <is>
          <t>avverkningsanmälan</t>
        </is>
      </c>
      <c r="C829" t="inlineStr">
        <is>
          <t>Föryngringsavverkning</t>
        </is>
      </c>
      <c r="D829" s="1" t="n">
        <v>44882</v>
      </c>
      <c r="E829" s="1" t="n">
        <v>46313</v>
      </c>
      <c r="F829" t="inlineStr">
        <is>
          <t>SÖDERMANLANDS LÄN</t>
        </is>
      </c>
      <c r="G829" t="inlineStr">
        <is>
          <t>NYKÖPING</t>
        </is>
      </c>
      <c r="I829" t="n">
        <v>3.1</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59616-2021</t>
        </is>
      </c>
      <c r="B830" t="inlineStr">
        <is>
          <t>avverkningsanmälan</t>
        </is>
      </c>
      <c r="C830" t="inlineStr">
        <is>
          <t>Föryngringsavverkning</t>
        </is>
      </c>
      <c r="D830" s="1" t="n">
        <v>44491</v>
      </c>
      <c r="E830" s="1" t="n">
        <v>46313</v>
      </c>
      <c r="F830" t="inlineStr">
        <is>
          <t>SÖDERMANLANDS LÄN</t>
        </is>
      </c>
      <c r="G830" t="inlineStr">
        <is>
          <t>GNESTA</t>
        </is>
      </c>
      <c r="H830" t="inlineStr">
        <is>
          <t>Kyrkan</t>
        </is>
      </c>
      <c r="I830" t="n">
        <v>7</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49763-2022</t>
        </is>
      </c>
      <c r="B831" t="inlineStr">
        <is>
          <t>avverkningsanmälan</t>
        </is>
      </c>
      <c r="C831" t="inlineStr">
        <is>
          <t>Föryngringsavverkning</t>
        </is>
      </c>
      <c r="D831" s="1" t="n">
        <v>44862</v>
      </c>
      <c r="E831" s="1" t="n">
        <v>46313</v>
      </c>
      <c r="F831" t="inlineStr">
        <is>
          <t>SÖDERMANLANDS LÄN</t>
        </is>
      </c>
      <c r="G831" t="inlineStr">
        <is>
          <t>NYKÖPING</t>
        </is>
      </c>
      <c r="I831" t="n">
        <v>2.6</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46414-2022</t>
        </is>
      </c>
      <c r="B832" t="inlineStr">
        <is>
          <t>avverkningsanmälan</t>
        </is>
      </c>
      <c r="C832" t="inlineStr">
        <is>
          <t>Föryngringsavverkning</t>
        </is>
      </c>
      <c r="D832" s="1" t="n">
        <v>44846</v>
      </c>
      <c r="E832" s="1" t="n">
        <v>46313</v>
      </c>
      <c r="F832" t="inlineStr">
        <is>
          <t>SÖDERMANLANDS LÄN</t>
        </is>
      </c>
      <c r="G832" t="inlineStr">
        <is>
          <t>FLEN</t>
        </is>
      </c>
      <c r="H832" t="inlineStr">
        <is>
          <t>Kyrkan</t>
        </is>
      </c>
      <c r="I832" t="n">
        <v>0.5</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32273-2022</t>
        </is>
      </c>
      <c r="B833" t="inlineStr">
        <is>
          <t>avverkningsanmälan</t>
        </is>
      </c>
      <c r="C833" t="inlineStr">
        <is>
          <t>Avverkning för att bevara och utveckla /försöksver</t>
        </is>
      </c>
      <c r="D833" s="1" t="n">
        <v>44781</v>
      </c>
      <c r="E833" s="1" t="n">
        <v>46313</v>
      </c>
      <c r="F833" t="inlineStr">
        <is>
          <t>SÖDERMANLANDS LÄN</t>
        </is>
      </c>
      <c r="G833" t="inlineStr">
        <is>
          <t>GNESTA</t>
        </is>
      </c>
      <c r="I833" t="n">
        <v>4.5</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69598-2021</t>
        </is>
      </c>
      <c r="B834" t="inlineStr">
        <is>
          <t>avverkningsanmälan</t>
        </is>
      </c>
      <c r="C834" t="inlineStr">
        <is>
          <t>Föryngringsavverkning</t>
        </is>
      </c>
      <c r="D834" s="1" t="n">
        <v>44531</v>
      </c>
      <c r="E834" s="1" t="n">
        <v>46313</v>
      </c>
      <c r="F834" t="inlineStr">
        <is>
          <t>SÖDERMANLANDS LÄN</t>
        </is>
      </c>
      <c r="G834" t="inlineStr">
        <is>
          <t>NYKÖPING</t>
        </is>
      </c>
      <c r="I834" t="n">
        <v>1.3</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32588-2022</t>
        </is>
      </c>
      <c r="B835" t="inlineStr">
        <is>
          <t>avverkningsanmälan</t>
        </is>
      </c>
      <c r="C835" t="inlineStr">
        <is>
          <t>Föryngringsavverkning</t>
        </is>
      </c>
      <c r="D835" s="1" t="n">
        <v>44783</v>
      </c>
      <c r="E835" s="1" t="n">
        <v>46313</v>
      </c>
      <c r="F835" t="inlineStr">
        <is>
          <t>SÖDERMANLANDS LÄN</t>
        </is>
      </c>
      <c r="G835" t="inlineStr">
        <is>
          <t>ESKILSTUNA</t>
        </is>
      </c>
      <c r="I835" t="n">
        <v>2.6</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11326-2022</t>
        </is>
      </c>
      <c r="B836" t="inlineStr">
        <is>
          <t>avverkningsanmälan</t>
        </is>
      </c>
      <c r="C836" t="inlineStr">
        <is>
          <t>Föryngringsavverkning</t>
        </is>
      </c>
      <c r="D836" s="1" t="n">
        <v>44629</v>
      </c>
      <c r="E836" s="1" t="n">
        <v>46313</v>
      </c>
      <c r="F836" t="inlineStr">
        <is>
          <t>SÖDERMANLANDS LÄN</t>
        </is>
      </c>
      <c r="G836" t="inlineStr">
        <is>
          <t>VINGÅKER</t>
        </is>
      </c>
      <c r="I836" t="n">
        <v>10.4</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14470-2022</t>
        </is>
      </c>
      <c r="B837" t="inlineStr">
        <is>
          <t>avverkningsanmälan</t>
        </is>
      </c>
      <c r="C837" t="inlineStr">
        <is>
          <t>Föryngringsavverkning</t>
        </is>
      </c>
      <c r="D837" s="1" t="n">
        <v>44654</v>
      </c>
      <c r="E837" s="1" t="n">
        <v>46313</v>
      </c>
      <c r="F837" t="inlineStr">
        <is>
          <t>SÖDERMANLANDS LÄN</t>
        </is>
      </c>
      <c r="G837" t="inlineStr">
        <is>
          <t>ESKILSTUNA</t>
        </is>
      </c>
      <c r="I837" t="n">
        <v>2.8</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6109-2022</t>
        </is>
      </c>
      <c r="B838" t="inlineStr">
        <is>
          <t>avverkningsanmälan</t>
        </is>
      </c>
      <c r="C838" t="inlineStr">
        <is>
          <t>Föryngringsavverkning</t>
        </is>
      </c>
      <c r="D838" s="1" t="n">
        <v>44599</v>
      </c>
      <c r="E838" s="1" t="n">
        <v>46313</v>
      </c>
      <c r="F838" t="inlineStr">
        <is>
          <t>SÖDERMANLANDS LÄN</t>
        </is>
      </c>
      <c r="G838" t="inlineStr">
        <is>
          <t>TROSA</t>
        </is>
      </c>
      <c r="I838" t="n">
        <v>0.5</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59275-2021</t>
        </is>
      </c>
      <c r="B839" t="inlineStr">
        <is>
          <t>avverkningsanmälan</t>
        </is>
      </c>
      <c r="C839" t="inlineStr">
        <is>
          <t>Föryngringsavverkning</t>
        </is>
      </c>
      <c r="D839" s="1" t="n">
        <v>44490</v>
      </c>
      <c r="E839" s="1" t="n">
        <v>46313</v>
      </c>
      <c r="F839" t="inlineStr">
        <is>
          <t>SÖDERMANLANDS LÄN</t>
        </is>
      </c>
      <c r="G839" t="inlineStr">
        <is>
          <t>ESKILSTUNA</t>
        </is>
      </c>
      <c r="I839" t="n">
        <v>1.5</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69252-2021</t>
        </is>
      </c>
      <c r="B840" t="inlineStr">
        <is>
          <t>avverkningsanmälan</t>
        </is>
      </c>
      <c r="C840" t="inlineStr">
        <is>
          <t>Föryngringsavverkning</t>
        </is>
      </c>
      <c r="D840" s="1" t="n">
        <v>44530</v>
      </c>
      <c r="E840" s="1" t="n">
        <v>46313</v>
      </c>
      <c r="F840" t="inlineStr">
        <is>
          <t>SÖDERMANLANDS LÄN</t>
        </is>
      </c>
      <c r="G840" t="inlineStr">
        <is>
          <t>NYKÖPING</t>
        </is>
      </c>
      <c r="I840" t="n">
        <v>6.4</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9701-2022</t>
        </is>
      </c>
      <c r="B841" t="inlineStr">
        <is>
          <t>avverkningsanmälan</t>
        </is>
      </c>
      <c r="C841" t="inlineStr">
        <is>
          <t>Föryngringsavverkning</t>
        </is>
      </c>
      <c r="D841" s="1" t="n">
        <v>44617</v>
      </c>
      <c r="E841" s="1" t="n">
        <v>46313</v>
      </c>
      <c r="F841" t="inlineStr">
        <is>
          <t>SÖDERMANLANDS LÄN</t>
        </is>
      </c>
      <c r="G841" t="inlineStr">
        <is>
          <t>STRÄNGNÄS</t>
        </is>
      </c>
      <c r="I841" t="n">
        <v>1.1</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70934-2021</t>
        </is>
      </c>
      <c r="B842" t="inlineStr">
        <is>
          <t>avverkningsanmälan</t>
        </is>
      </c>
      <c r="C842" t="inlineStr">
        <is>
          <t>Föryngringsavverkning</t>
        </is>
      </c>
      <c r="D842" s="1" t="n">
        <v>44537</v>
      </c>
      <c r="E842" s="1" t="n">
        <v>46313</v>
      </c>
      <c r="F842" t="inlineStr">
        <is>
          <t>SÖDERMANLANDS LÄN</t>
        </is>
      </c>
      <c r="G842" t="inlineStr">
        <is>
          <t>STRÄNGNÄS</t>
        </is>
      </c>
      <c r="I842" t="n">
        <v>2.3</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9521-2022</t>
        </is>
      </c>
      <c r="B843" t="inlineStr">
        <is>
          <t>avverkningsanmälan</t>
        </is>
      </c>
      <c r="C843" t="inlineStr">
        <is>
          <t>Föryngringsavverkning</t>
        </is>
      </c>
      <c r="D843" s="1" t="n">
        <v>44616</v>
      </c>
      <c r="E843" s="1" t="n">
        <v>46313</v>
      </c>
      <c r="F843" t="inlineStr">
        <is>
          <t>SÖDERMANLANDS LÄN</t>
        </is>
      </c>
      <c r="G843" t="inlineStr">
        <is>
          <t>ESKILSTUNA</t>
        </is>
      </c>
      <c r="I843" t="n">
        <v>5.7</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70782-2021</t>
        </is>
      </c>
      <c r="B844" t="inlineStr">
        <is>
          <t>avverkningsanmälan</t>
        </is>
      </c>
      <c r="C844" t="inlineStr">
        <is>
          <t>Föryngringsavverkning</t>
        </is>
      </c>
      <c r="D844" s="1" t="n">
        <v>44537</v>
      </c>
      <c r="E844" s="1" t="n">
        <v>46313</v>
      </c>
      <c r="F844" t="inlineStr">
        <is>
          <t>SÖDERMANLANDS LÄN</t>
        </is>
      </c>
      <c r="G844" t="inlineStr">
        <is>
          <t>GNESTA</t>
        </is>
      </c>
      <c r="H844" t="inlineStr">
        <is>
          <t>Kyrkan</t>
        </is>
      </c>
      <c r="I844" t="n">
        <v>0.9</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9158-2022</t>
        </is>
      </c>
      <c r="B845" t="inlineStr">
        <is>
          <t>avverkningsanmälan</t>
        </is>
      </c>
      <c r="C845" t="inlineStr">
        <is>
          <t>Föryngringsavverkning</t>
        </is>
      </c>
      <c r="D845" s="1" t="n">
        <v>44615</v>
      </c>
      <c r="E845" s="1" t="n">
        <v>46313</v>
      </c>
      <c r="F845" t="inlineStr">
        <is>
          <t>SÖDERMANLANDS LÄN</t>
        </is>
      </c>
      <c r="G845" t="inlineStr">
        <is>
          <t>STRÄNGNÄS</t>
        </is>
      </c>
      <c r="I845" t="n">
        <v>3.3</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43201-2022</t>
        </is>
      </c>
      <c r="B846" t="inlineStr">
        <is>
          <t>avverkningsanmälan</t>
        </is>
      </c>
      <c r="C846" t="inlineStr">
        <is>
          <t>Föryngringsavverkning</t>
        </is>
      </c>
      <c r="D846" s="1" t="n">
        <v>44833</v>
      </c>
      <c r="E846" s="1" t="n">
        <v>46313</v>
      </c>
      <c r="F846" t="inlineStr">
        <is>
          <t>SÖDERMANLANDS LÄN</t>
        </is>
      </c>
      <c r="G846" t="inlineStr">
        <is>
          <t>GNESTA</t>
        </is>
      </c>
      <c r="I846" t="n">
        <v>3.7</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29366-2022</t>
        </is>
      </c>
      <c r="B847" t="inlineStr">
        <is>
          <t>avverkningsanmälan</t>
        </is>
      </c>
      <c r="C847" t="inlineStr">
        <is>
          <t>Föryngringsavverkning</t>
        </is>
      </c>
      <c r="D847" s="1" t="n">
        <v>44752</v>
      </c>
      <c r="E847" s="1" t="n">
        <v>46313</v>
      </c>
      <c r="F847" t="inlineStr">
        <is>
          <t>SÖDERMANLANDS LÄN</t>
        </is>
      </c>
      <c r="G847" t="inlineStr">
        <is>
          <t>VINGÅKER</t>
        </is>
      </c>
      <c r="I847" t="n">
        <v>2.2</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21526-2022</t>
        </is>
      </c>
      <c r="B848" t="inlineStr">
        <is>
          <t>avverkningsanmälan</t>
        </is>
      </c>
      <c r="C848" t="inlineStr">
        <is>
          <t>Föryngringsavverkning</t>
        </is>
      </c>
      <c r="D848" s="1" t="n">
        <v>44706</v>
      </c>
      <c r="E848" s="1" t="n">
        <v>46313</v>
      </c>
      <c r="F848" t="inlineStr">
        <is>
          <t>SÖDERMANLANDS LÄN</t>
        </is>
      </c>
      <c r="G848" t="inlineStr">
        <is>
          <t>STRÄNGNÄS</t>
        </is>
      </c>
      <c r="H848" t="inlineStr">
        <is>
          <t>Allmännings- och besparingsskogar</t>
        </is>
      </c>
      <c r="I848" t="n">
        <v>1</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26244-2022</t>
        </is>
      </c>
      <c r="B849" t="inlineStr">
        <is>
          <t>avverkningsanmälan</t>
        </is>
      </c>
      <c r="C849" t="inlineStr">
        <is>
          <t>Föryngringsavverkning</t>
        </is>
      </c>
      <c r="D849" s="1" t="n">
        <v>44735</v>
      </c>
      <c r="E849" s="1" t="n">
        <v>46313</v>
      </c>
      <c r="F849" t="inlineStr">
        <is>
          <t>SÖDERMANLANDS LÄN</t>
        </is>
      </c>
      <c r="G849" t="inlineStr">
        <is>
          <t>VINGÅKER</t>
        </is>
      </c>
      <c r="I849" t="n">
        <v>0.9</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63301-2021</t>
        </is>
      </c>
      <c r="B850" t="inlineStr">
        <is>
          <t>avverkningsanmälan</t>
        </is>
      </c>
      <c r="C850" t="inlineStr">
        <is>
          <t>Föryngringsavverkning</t>
        </is>
      </c>
      <c r="D850" s="1" t="n">
        <v>44505</v>
      </c>
      <c r="E850" s="1" t="n">
        <v>46313</v>
      </c>
      <c r="F850" t="inlineStr">
        <is>
          <t>SÖDERMANLANDS LÄN</t>
        </is>
      </c>
      <c r="G850" t="inlineStr">
        <is>
          <t>STRÄNGNÄS</t>
        </is>
      </c>
      <c r="I850" t="n">
        <v>11.6</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12171-2022</t>
        </is>
      </c>
      <c r="B851" t="inlineStr">
        <is>
          <t>avverkningsanmälan</t>
        </is>
      </c>
      <c r="C851" t="inlineStr">
        <is>
          <t>Föryngringsavverkning</t>
        </is>
      </c>
      <c r="D851" s="1" t="n">
        <v>44636</v>
      </c>
      <c r="E851" s="1" t="n">
        <v>46313</v>
      </c>
      <c r="F851" t="inlineStr">
        <is>
          <t>SÖDERMANLANDS LÄN</t>
        </is>
      </c>
      <c r="G851" t="inlineStr">
        <is>
          <t>FLEN</t>
        </is>
      </c>
      <c r="I851" t="n">
        <v>0.5</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7189-2022</t>
        </is>
      </c>
      <c r="B852" t="inlineStr">
        <is>
          <t>avverkningsanmälan</t>
        </is>
      </c>
      <c r="C852" t="inlineStr">
        <is>
          <t>Föryngringsavverkning</t>
        </is>
      </c>
      <c r="D852" s="1" t="n">
        <v>44605</v>
      </c>
      <c r="E852" s="1" t="n">
        <v>46313</v>
      </c>
      <c r="F852" t="inlineStr">
        <is>
          <t>SÖDERMANLANDS LÄN</t>
        </is>
      </c>
      <c r="G852" t="inlineStr">
        <is>
          <t>KATRINEHOLM</t>
        </is>
      </c>
      <c r="I852" t="n">
        <v>1.8</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2215-2022</t>
        </is>
      </c>
      <c r="B853" t="inlineStr">
        <is>
          <t>avverkningsanmälan</t>
        </is>
      </c>
      <c r="C853" t="inlineStr">
        <is>
          <t>Föryngringsavverkning</t>
        </is>
      </c>
      <c r="D853" s="1" t="n">
        <v>44578</v>
      </c>
      <c r="E853" s="1" t="n">
        <v>46313</v>
      </c>
      <c r="F853" t="inlineStr">
        <is>
          <t>SÖDERMANLANDS LÄN</t>
        </is>
      </c>
      <c r="G853" t="inlineStr">
        <is>
          <t>ESKILSTUNA</t>
        </is>
      </c>
      <c r="I853" t="n">
        <v>1</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71103-2021</t>
        </is>
      </c>
      <c r="B854" t="inlineStr">
        <is>
          <t>avverkningsanmälan</t>
        </is>
      </c>
      <c r="C854" t="inlineStr">
        <is>
          <t>Föryngringsavverkning</t>
        </is>
      </c>
      <c r="D854" s="1" t="n">
        <v>44537</v>
      </c>
      <c r="E854" s="1" t="n">
        <v>46313</v>
      </c>
      <c r="F854" t="inlineStr">
        <is>
          <t>SÖDERMANLANDS LÄN</t>
        </is>
      </c>
      <c r="G854" t="inlineStr">
        <is>
          <t>NYKÖPING</t>
        </is>
      </c>
      <c r="I854" t="n">
        <v>2.4</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6155-2022</t>
        </is>
      </c>
      <c r="B855" t="inlineStr">
        <is>
          <t>avverkningsanmälan</t>
        </is>
      </c>
      <c r="C855" t="inlineStr">
        <is>
          <t>Föryngringsavverkning</t>
        </is>
      </c>
      <c r="D855" s="1" t="n">
        <v>44599</v>
      </c>
      <c r="E855" s="1" t="n">
        <v>46313</v>
      </c>
      <c r="F855" t="inlineStr">
        <is>
          <t>SÖDERMANLANDS LÄN</t>
        </is>
      </c>
      <c r="G855" t="inlineStr">
        <is>
          <t>GNESTA</t>
        </is>
      </c>
      <c r="I855" t="n">
        <v>1.4</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68687-2021</t>
        </is>
      </c>
      <c r="B856" t="inlineStr">
        <is>
          <t>avverkningsanmälan</t>
        </is>
      </c>
      <c r="C856" t="inlineStr">
        <is>
          <t>Föryngringsavverkning</t>
        </is>
      </c>
      <c r="D856" s="1" t="n">
        <v>44529</v>
      </c>
      <c r="E856" s="1" t="n">
        <v>46313</v>
      </c>
      <c r="F856" t="inlineStr">
        <is>
          <t>SÖDERMANLANDS LÄN</t>
        </is>
      </c>
      <c r="G856" t="inlineStr">
        <is>
          <t>GNESTA</t>
        </is>
      </c>
      <c r="I856" t="n">
        <v>4.3</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64147-2021</t>
        </is>
      </c>
      <c r="B857" t="inlineStr">
        <is>
          <t>avverkningsanmälan</t>
        </is>
      </c>
      <c r="C857" t="inlineStr">
        <is>
          <t>Föryngringsavverkning</t>
        </is>
      </c>
      <c r="D857" s="1" t="n">
        <v>44510</v>
      </c>
      <c r="E857" s="1" t="n">
        <v>46313</v>
      </c>
      <c r="F857" t="inlineStr">
        <is>
          <t>SÖDERMANLANDS LÄN</t>
        </is>
      </c>
      <c r="G857" t="inlineStr">
        <is>
          <t>ESKILSTUNA</t>
        </is>
      </c>
      <c r="I857" t="n">
        <v>1.4</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4383-2022</t>
        </is>
      </c>
      <c r="B858" t="inlineStr">
        <is>
          <t>avverkningsanmälan</t>
        </is>
      </c>
      <c r="C858" t="inlineStr">
        <is>
          <t>Föryngringsavverkning</t>
        </is>
      </c>
      <c r="D858" s="1" t="n">
        <v>44589</v>
      </c>
      <c r="E858" s="1" t="n">
        <v>46313</v>
      </c>
      <c r="F858" t="inlineStr">
        <is>
          <t>SÖDERMANLANDS LÄN</t>
        </is>
      </c>
      <c r="G858" t="inlineStr">
        <is>
          <t>GNESTA</t>
        </is>
      </c>
      <c r="I858" t="n">
        <v>1.3</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13613-2022</t>
        </is>
      </c>
      <c r="B859" t="inlineStr">
        <is>
          <t>avverkningsanmälan</t>
        </is>
      </c>
      <c r="C859" t="inlineStr">
        <is>
          <t>Föryngringsavverkning</t>
        </is>
      </c>
      <c r="D859" s="1" t="n">
        <v>44643</v>
      </c>
      <c r="E859" s="1" t="n">
        <v>46313</v>
      </c>
      <c r="F859" t="inlineStr">
        <is>
          <t>SÖDERMANLANDS LÄN</t>
        </is>
      </c>
      <c r="G859" t="inlineStr">
        <is>
          <t>ESKILSTUNA</t>
        </is>
      </c>
      <c r="I859" t="n">
        <v>0.8</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29378-2022</t>
        </is>
      </c>
      <c r="B860" t="inlineStr">
        <is>
          <t>avverkningsanmälan</t>
        </is>
      </c>
      <c r="C860" t="inlineStr">
        <is>
          <t>Föryngringsavverkning</t>
        </is>
      </c>
      <c r="D860" s="1" t="n">
        <v>44752</v>
      </c>
      <c r="E860" s="1" t="n">
        <v>46313</v>
      </c>
      <c r="F860" t="inlineStr">
        <is>
          <t>SÖDERMANLANDS LÄN</t>
        </is>
      </c>
      <c r="G860" t="inlineStr">
        <is>
          <t>FLEN</t>
        </is>
      </c>
      <c r="I860" t="n">
        <v>0.7</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29384-2022</t>
        </is>
      </c>
      <c r="B861" t="inlineStr">
        <is>
          <t>avverkningsanmälan</t>
        </is>
      </c>
      <c r="C861" t="inlineStr">
        <is>
          <t>Föryngringsavverkning</t>
        </is>
      </c>
      <c r="D861" s="1" t="n">
        <v>44752</v>
      </c>
      <c r="E861" s="1" t="n">
        <v>46313</v>
      </c>
      <c r="F861" t="inlineStr">
        <is>
          <t>SÖDERMANLANDS LÄN</t>
        </is>
      </c>
      <c r="G861" t="inlineStr">
        <is>
          <t>FLEN</t>
        </is>
      </c>
      <c r="I861" t="n">
        <v>0.6</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28511-2022</t>
        </is>
      </c>
      <c r="B862" t="inlineStr">
        <is>
          <t>avverkningsanmälan</t>
        </is>
      </c>
      <c r="C862" t="inlineStr">
        <is>
          <t>Föryngringsavverkning</t>
        </is>
      </c>
      <c r="D862" s="1" t="n">
        <v>44748</v>
      </c>
      <c r="E862" s="1" t="n">
        <v>46313</v>
      </c>
      <c r="F862" t="inlineStr">
        <is>
          <t>SÖDERMANLANDS LÄN</t>
        </is>
      </c>
      <c r="G862" t="inlineStr">
        <is>
          <t>NYKÖPING</t>
        </is>
      </c>
      <c r="H862" t="inlineStr">
        <is>
          <t>Holmen skog AB</t>
        </is>
      </c>
      <c r="I862" t="n">
        <v>1.3</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23107-2022</t>
        </is>
      </c>
      <c r="B863" t="inlineStr">
        <is>
          <t>avverkningsanmälan</t>
        </is>
      </c>
      <c r="C863" t="inlineStr">
        <is>
          <t>Föryngringsavverkning</t>
        </is>
      </c>
      <c r="D863" s="1" t="n">
        <v>44719</v>
      </c>
      <c r="E863" s="1" t="n">
        <v>46313</v>
      </c>
      <c r="F863" t="inlineStr">
        <is>
          <t>SÖDERMANLANDS LÄN</t>
        </is>
      </c>
      <c r="G863" t="inlineStr">
        <is>
          <t>NYKÖPING</t>
        </is>
      </c>
      <c r="I863" t="n">
        <v>0.3</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38459-2022</t>
        </is>
      </c>
      <c r="B864" t="inlineStr">
        <is>
          <t>avverkningsanmälan</t>
        </is>
      </c>
      <c r="C864" t="inlineStr">
        <is>
          <t>Föryngringsavverkning</t>
        </is>
      </c>
      <c r="D864" s="1" t="n">
        <v>44813</v>
      </c>
      <c r="E864" s="1" t="n">
        <v>46313</v>
      </c>
      <c r="F864" t="inlineStr">
        <is>
          <t>SÖDERMANLANDS LÄN</t>
        </is>
      </c>
      <c r="G864" t="inlineStr">
        <is>
          <t>NYKÖPING</t>
        </is>
      </c>
      <c r="I864" t="n">
        <v>0.6</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12658-2022</t>
        </is>
      </c>
      <c r="B865" t="inlineStr">
        <is>
          <t>avverkningsanmälan</t>
        </is>
      </c>
      <c r="C865" t="inlineStr">
        <is>
          <t>Föryngringsavverkning</t>
        </is>
      </c>
      <c r="D865" s="1" t="n">
        <v>44641</v>
      </c>
      <c r="E865" s="1" t="n">
        <v>46313</v>
      </c>
      <c r="F865" t="inlineStr">
        <is>
          <t>SÖDERMANLANDS LÄN</t>
        </is>
      </c>
      <c r="G865" t="inlineStr">
        <is>
          <t>KATRINEHOLM</t>
        </is>
      </c>
      <c r="I865" t="n">
        <v>1.4</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14522-2022</t>
        </is>
      </c>
      <c r="B866" t="inlineStr">
        <is>
          <t>avverkningsanmälan</t>
        </is>
      </c>
      <c r="C866" t="inlineStr">
        <is>
          <t>Föryngringsavverkning</t>
        </is>
      </c>
      <c r="D866" s="1" t="n">
        <v>44655</v>
      </c>
      <c r="E866" s="1" t="n">
        <v>46313</v>
      </c>
      <c r="F866" t="inlineStr">
        <is>
          <t>SÖDERMANLANDS LÄN</t>
        </is>
      </c>
      <c r="G866" t="inlineStr">
        <is>
          <t>VINGÅKER</t>
        </is>
      </c>
      <c r="H866" t="inlineStr">
        <is>
          <t>Kommuner</t>
        </is>
      </c>
      <c r="I866" t="n">
        <v>3.5</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46412-2022</t>
        </is>
      </c>
      <c r="B867" t="inlineStr">
        <is>
          <t>avverkningsanmälan</t>
        </is>
      </c>
      <c r="C867" t="inlineStr">
        <is>
          <t>Föryngringsavverkning</t>
        </is>
      </c>
      <c r="D867" s="1" t="n">
        <v>44848</v>
      </c>
      <c r="E867" s="1" t="n">
        <v>46313</v>
      </c>
      <c r="F867" t="inlineStr">
        <is>
          <t>SÖDERMANLANDS LÄN</t>
        </is>
      </c>
      <c r="G867" t="inlineStr">
        <is>
          <t>KATRINEHOLM</t>
        </is>
      </c>
      <c r="I867" t="n">
        <v>0.8</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42178-2022</t>
        </is>
      </c>
      <c r="B868" t="inlineStr">
        <is>
          <t>avverkningsanmälan</t>
        </is>
      </c>
      <c r="C868" t="inlineStr">
        <is>
          <t>Föryngringsavverkning</t>
        </is>
      </c>
      <c r="D868" s="1" t="n">
        <v>44830</v>
      </c>
      <c r="E868" s="1" t="n">
        <v>46313</v>
      </c>
      <c r="F868" t="inlineStr">
        <is>
          <t>SÖDERMANLANDS LÄN</t>
        </is>
      </c>
      <c r="G868" t="inlineStr">
        <is>
          <t>GNESTA</t>
        </is>
      </c>
      <c r="I868" t="n">
        <v>1.7</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17628-2022</t>
        </is>
      </c>
      <c r="B869" t="inlineStr">
        <is>
          <t>avverkningsanmälan</t>
        </is>
      </c>
      <c r="C869" t="inlineStr">
        <is>
          <t>Föryngringsavverkning</t>
        </is>
      </c>
      <c r="D869" s="1" t="n">
        <v>44680</v>
      </c>
      <c r="E869" s="1" t="n">
        <v>46313</v>
      </c>
      <c r="F869" t="inlineStr">
        <is>
          <t>SÖDERMANLANDS LÄN</t>
        </is>
      </c>
      <c r="G869" t="inlineStr">
        <is>
          <t>VINGÅKER</t>
        </is>
      </c>
      <c r="I869" t="n">
        <v>1.4</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67825-2021</t>
        </is>
      </c>
      <c r="B870" t="inlineStr">
        <is>
          <t>avverkningsanmälan</t>
        </is>
      </c>
      <c r="C870" t="inlineStr">
        <is>
          <t>Föryngringsavverkning</t>
        </is>
      </c>
      <c r="D870" s="1" t="n">
        <v>44525</v>
      </c>
      <c r="E870" s="1" t="n">
        <v>46313</v>
      </c>
      <c r="F870" t="inlineStr">
        <is>
          <t>SÖDERMANLANDS LÄN</t>
        </is>
      </c>
      <c r="G870" t="inlineStr">
        <is>
          <t>NYKÖPING</t>
        </is>
      </c>
      <c r="H870" t="inlineStr">
        <is>
          <t>Sveaskog</t>
        </is>
      </c>
      <c r="I870" t="n">
        <v>0.5</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550-2022</t>
        </is>
      </c>
      <c r="B871" t="inlineStr">
        <is>
          <t>avverkningsanmälan</t>
        </is>
      </c>
      <c r="C871" t="inlineStr">
        <is>
          <t>Avverkning för annat ändamål</t>
        </is>
      </c>
      <c r="D871" s="1" t="n">
        <v>44566</v>
      </c>
      <c r="E871" s="1" t="n">
        <v>46313</v>
      </c>
      <c r="F871" t="inlineStr">
        <is>
          <t>SÖDERMANLANDS LÄN</t>
        </is>
      </c>
      <c r="G871" t="inlineStr">
        <is>
          <t>FLEN</t>
        </is>
      </c>
      <c r="H871" t="inlineStr">
        <is>
          <t>Kyrkan</t>
        </is>
      </c>
      <c r="I871" t="n">
        <v>0.3</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32320-2022</t>
        </is>
      </c>
      <c r="B872" t="inlineStr">
        <is>
          <t>avverkningsanmälan</t>
        </is>
      </c>
      <c r="C872" t="inlineStr">
        <is>
          <t>Avverkning för att bevara och utveckla /försöksver</t>
        </is>
      </c>
      <c r="D872" s="1" t="n">
        <v>44781</v>
      </c>
      <c r="E872" s="1" t="n">
        <v>46313</v>
      </c>
      <c r="F872" t="inlineStr">
        <is>
          <t>SÖDERMANLANDS LÄN</t>
        </is>
      </c>
      <c r="G872" t="inlineStr">
        <is>
          <t>GNESTA</t>
        </is>
      </c>
      <c r="I872" t="n">
        <v>2.1</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32390-2022</t>
        </is>
      </c>
      <c r="B873" t="inlineStr">
        <is>
          <t>avverkningsanmälan</t>
        </is>
      </c>
      <c r="C873" t="inlineStr">
        <is>
          <t>Föryngringsavverkning</t>
        </is>
      </c>
      <c r="D873" s="1" t="n">
        <v>44781</v>
      </c>
      <c r="E873" s="1" t="n">
        <v>46313</v>
      </c>
      <c r="F873" t="inlineStr">
        <is>
          <t>SÖDERMANLANDS LÄN</t>
        </is>
      </c>
      <c r="G873" t="inlineStr">
        <is>
          <t>ESKILSTUNA</t>
        </is>
      </c>
      <c r="I873" t="n">
        <v>2.1</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12856-2022</t>
        </is>
      </c>
      <c r="B874" t="inlineStr">
        <is>
          <t>avverkningsanmälan</t>
        </is>
      </c>
      <c r="C874" t="inlineStr">
        <is>
          <t>Föryngringsavverkning</t>
        </is>
      </c>
      <c r="D874" s="1" t="n">
        <v>44642</v>
      </c>
      <c r="E874" s="1" t="n">
        <v>46313</v>
      </c>
      <c r="F874" t="inlineStr">
        <is>
          <t>SÖDERMANLANDS LÄN</t>
        </is>
      </c>
      <c r="G874" t="inlineStr">
        <is>
          <t>VINGÅKER</t>
        </is>
      </c>
      <c r="I874" t="n">
        <v>4.8</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12072-2022</t>
        </is>
      </c>
      <c r="B875" t="inlineStr">
        <is>
          <t>avverkningsanmälan</t>
        </is>
      </c>
      <c r="C875" t="inlineStr">
        <is>
          <t>Föryngringsavverkning</t>
        </is>
      </c>
      <c r="D875" s="1" t="n">
        <v>44636</v>
      </c>
      <c r="E875" s="1" t="n">
        <v>46313</v>
      </c>
      <c r="F875" t="inlineStr">
        <is>
          <t>SÖDERMANLANDS LÄN</t>
        </is>
      </c>
      <c r="G875" t="inlineStr">
        <is>
          <t>ESKILSTUNA</t>
        </is>
      </c>
      <c r="I875" t="n">
        <v>6</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21815-2022</t>
        </is>
      </c>
      <c r="B876" t="inlineStr">
        <is>
          <t>avverkningsanmälan</t>
        </is>
      </c>
      <c r="C876" t="inlineStr">
        <is>
          <t>Föryngringsavverkning</t>
        </is>
      </c>
      <c r="D876" s="1" t="n">
        <v>44709</v>
      </c>
      <c r="E876" s="1" t="n">
        <v>46313</v>
      </c>
      <c r="F876" t="inlineStr">
        <is>
          <t>SÖDERMANLANDS LÄN</t>
        </is>
      </c>
      <c r="G876" t="inlineStr">
        <is>
          <t>NYKÖPING</t>
        </is>
      </c>
      <c r="I876" t="n">
        <v>0.6</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21818-2022</t>
        </is>
      </c>
      <c r="B877" t="inlineStr">
        <is>
          <t>avverkningsanmälan</t>
        </is>
      </c>
      <c r="C877" t="inlineStr">
        <is>
          <t>Föryngringsavverkning</t>
        </is>
      </c>
      <c r="D877" s="1" t="n">
        <v>44709</v>
      </c>
      <c r="E877" s="1" t="n">
        <v>46313</v>
      </c>
      <c r="F877" t="inlineStr">
        <is>
          <t>SÖDERMANLANDS LÄN</t>
        </is>
      </c>
      <c r="G877" t="inlineStr">
        <is>
          <t>NYKÖPING</t>
        </is>
      </c>
      <c r="I877" t="n">
        <v>1.6</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9419-2022</t>
        </is>
      </c>
      <c r="B878" t="inlineStr">
        <is>
          <t>avverkningsanmälan</t>
        </is>
      </c>
      <c r="C878" t="inlineStr">
        <is>
          <t>Föryngringsavverkning</t>
        </is>
      </c>
      <c r="D878" s="1" t="n">
        <v>44616</v>
      </c>
      <c r="E878" s="1" t="n">
        <v>46313</v>
      </c>
      <c r="F878" t="inlineStr">
        <is>
          <t>SÖDERMANLANDS LÄN</t>
        </is>
      </c>
      <c r="G878" t="inlineStr">
        <is>
          <t>KATRINEHOLM</t>
        </is>
      </c>
      <c r="H878" t="inlineStr">
        <is>
          <t>Övriga Aktiebolag</t>
        </is>
      </c>
      <c r="I878" t="n">
        <v>1.7</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32484-2022</t>
        </is>
      </c>
      <c r="B879" t="inlineStr">
        <is>
          <t>avverkningsanmälan</t>
        </is>
      </c>
      <c r="C879" t="inlineStr">
        <is>
          <t>Föryngringsavverkning</t>
        </is>
      </c>
      <c r="D879" s="1" t="n">
        <v>44782</v>
      </c>
      <c r="E879" s="1" t="n">
        <v>46313</v>
      </c>
      <c r="F879" t="inlineStr">
        <is>
          <t>SÖDERMANLANDS LÄN</t>
        </is>
      </c>
      <c r="G879" t="inlineStr">
        <is>
          <t>ESKILSTUNA</t>
        </is>
      </c>
      <c r="I879" t="n">
        <v>0.6</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66801-2021</t>
        </is>
      </c>
      <c r="B880" t="inlineStr">
        <is>
          <t>avverkningsanmälan</t>
        </is>
      </c>
      <c r="C880" t="inlineStr">
        <is>
          <t>Föryngringsavverkning</t>
        </is>
      </c>
      <c r="D880" s="1" t="n">
        <v>44522</v>
      </c>
      <c r="E880" s="1" t="n">
        <v>46313</v>
      </c>
      <c r="F880" t="inlineStr">
        <is>
          <t>SÖDERMANLANDS LÄN</t>
        </is>
      </c>
      <c r="G880" t="inlineStr">
        <is>
          <t>KATRINEHOLM</t>
        </is>
      </c>
      <c r="H880" t="inlineStr">
        <is>
          <t>Holmen skog AB</t>
        </is>
      </c>
      <c r="I880" t="n">
        <v>0.2</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43192-2022</t>
        </is>
      </c>
      <c r="B881" t="inlineStr">
        <is>
          <t>avverkningsanmälan</t>
        </is>
      </c>
      <c r="C881" t="inlineStr">
        <is>
          <t>Föryngringsavverkning</t>
        </is>
      </c>
      <c r="D881" s="1" t="n">
        <v>44833</v>
      </c>
      <c r="E881" s="1" t="n">
        <v>46313</v>
      </c>
      <c r="F881" t="inlineStr">
        <is>
          <t>SÖDERMANLANDS LÄN</t>
        </is>
      </c>
      <c r="G881" t="inlineStr">
        <is>
          <t>GNESTA</t>
        </is>
      </c>
      <c r="I881" t="n">
        <v>1.5</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50731-2022</t>
        </is>
      </c>
      <c r="B882" t="inlineStr">
        <is>
          <t>avverkningsanmälan</t>
        </is>
      </c>
      <c r="C882" t="inlineStr">
        <is>
          <t>Föryngringsavverkning</t>
        </is>
      </c>
      <c r="D882" s="1" t="n">
        <v>44862</v>
      </c>
      <c r="E882" s="1" t="n">
        <v>46313</v>
      </c>
      <c r="F882" t="inlineStr">
        <is>
          <t>SÖDERMANLANDS LÄN</t>
        </is>
      </c>
      <c r="G882" t="inlineStr">
        <is>
          <t>FLEN</t>
        </is>
      </c>
      <c r="I882" t="n">
        <v>0.8</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51885-2022</t>
        </is>
      </c>
      <c r="B883" t="inlineStr">
        <is>
          <t>avverkningsanmälan</t>
        </is>
      </c>
      <c r="C883" t="inlineStr">
        <is>
          <t>Föryngringsavverkning</t>
        </is>
      </c>
      <c r="D883" s="1" t="n">
        <v>44872</v>
      </c>
      <c r="E883" s="1" t="n">
        <v>46313</v>
      </c>
      <c r="F883" t="inlineStr">
        <is>
          <t>SÖDERMANLANDS LÄN</t>
        </is>
      </c>
      <c r="G883" t="inlineStr">
        <is>
          <t>KATRINEHOLM</t>
        </is>
      </c>
      <c r="I883" t="n">
        <v>1</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42735-2022</t>
        </is>
      </c>
      <c r="B884" t="inlineStr">
        <is>
          <t>avverkningsanmälan</t>
        </is>
      </c>
      <c r="C884" t="inlineStr">
        <is>
          <t>Föryngringsavverkning</t>
        </is>
      </c>
      <c r="D884" s="1" t="n">
        <v>44832</v>
      </c>
      <c r="E884" s="1" t="n">
        <v>46313</v>
      </c>
      <c r="F884" t="inlineStr">
        <is>
          <t>SÖDERMANLANDS LÄN</t>
        </is>
      </c>
      <c r="G884" t="inlineStr">
        <is>
          <t>KATRINEHOLM</t>
        </is>
      </c>
      <c r="I884" t="n">
        <v>0.5</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50269-2022</t>
        </is>
      </c>
      <c r="B885" t="inlineStr">
        <is>
          <t>avverkningsanmälan</t>
        </is>
      </c>
      <c r="C885" t="inlineStr">
        <is>
          <t>Föryngringsavverkning</t>
        </is>
      </c>
      <c r="D885" s="1" t="n">
        <v>44865</v>
      </c>
      <c r="E885" s="1" t="n">
        <v>46313</v>
      </c>
      <c r="F885" t="inlineStr">
        <is>
          <t>SÖDERMANLANDS LÄN</t>
        </is>
      </c>
      <c r="G885" t="inlineStr">
        <is>
          <t>ESKILSTUNA</t>
        </is>
      </c>
      <c r="H885" t="inlineStr">
        <is>
          <t>Allmännings- och besparingsskogar</t>
        </is>
      </c>
      <c r="I885" t="n">
        <v>0.6</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70191-2021</t>
        </is>
      </c>
      <c r="B886" t="inlineStr">
        <is>
          <t>avverkningsanmälan</t>
        </is>
      </c>
      <c r="C886" t="inlineStr">
        <is>
          <t>Föryngringsavverkning</t>
        </is>
      </c>
      <c r="D886" s="1" t="n">
        <v>44533</v>
      </c>
      <c r="E886" s="1" t="n">
        <v>46313</v>
      </c>
      <c r="F886" t="inlineStr">
        <is>
          <t>SÖDERMANLANDS LÄN</t>
        </is>
      </c>
      <c r="G886" t="inlineStr">
        <is>
          <t>ESKILSTUNA</t>
        </is>
      </c>
      <c r="I886" t="n">
        <v>1.1</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28577-2022</t>
        </is>
      </c>
      <c r="B887" t="inlineStr">
        <is>
          <t>avverkningsanmälan</t>
        </is>
      </c>
      <c r="C887" t="inlineStr">
        <is>
          <t>Föryngringsavverkning</t>
        </is>
      </c>
      <c r="D887" s="1" t="n">
        <v>44748</v>
      </c>
      <c r="E887" s="1" t="n">
        <v>46313</v>
      </c>
      <c r="F887" t="inlineStr">
        <is>
          <t>SÖDERMANLANDS LÄN</t>
        </is>
      </c>
      <c r="G887" t="inlineStr">
        <is>
          <t>ESKILSTUNA</t>
        </is>
      </c>
      <c r="I887" t="n">
        <v>2.6</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45038-2022</t>
        </is>
      </c>
      <c r="B888" t="inlineStr">
        <is>
          <t>avverkningsanmälan</t>
        </is>
      </c>
      <c r="C888" t="inlineStr">
        <is>
          <t>Föryngringsavverkning</t>
        </is>
      </c>
      <c r="D888" s="1" t="n">
        <v>44840</v>
      </c>
      <c r="E888" s="1" t="n">
        <v>46313</v>
      </c>
      <c r="F888" t="inlineStr">
        <is>
          <t>SÖDERMANLANDS LÄN</t>
        </is>
      </c>
      <c r="G888" t="inlineStr">
        <is>
          <t>KATRINEHOLM</t>
        </is>
      </c>
      <c r="I888" t="n">
        <v>3.6</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72529-2021</t>
        </is>
      </c>
      <c r="B889" t="inlineStr">
        <is>
          <t>avverkningsanmälan</t>
        </is>
      </c>
      <c r="C889" t="inlineStr">
        <is>
          <t>Föryngringsavverkning</t>
        </is>
      </c>
      <c r="D889" s="1" t="n">
        <v>44546</v>
      </c>
      <c r="E889" s="1" t="n">
        <v>46313</v>
      </c>
      <c r="F889" t="inlineStr">
        <is>
          <t>SÖDERMANLANDS LÄN</t>
        </is>
      </c>
      <c r="G889" t="inlineStr">
        <is>
          <t>GNESTA</t>
        </is>
      </c>
      <c r="I889" t="n">
        <v>0.4</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71107-2021</t>
        </is>
      </c>
      <c r="B890" t="inlineStr">
        <is>
          <t>avverkningsanmälan</t>
        </is>
      </c>
      <c r="C890" t="inlineStr">
        <is>
          <t>Föryngringsavverkning</t>
        </is>
      </c>
      <c r="D890" s="1" t="n">
        <v>44537</v>
      </c>
      <c r="E890" s="1" t="n">
        <v>46313</v>
      </c>
      <c r="F890" t="inlineStr">
        <is>
          <t>SÖDERMANLANDS LÄN</t>
        </is>
      </c>
      <c r="G890" t="inlineStr">
        <is>
          <t>NYKÖPING</t>
        </is>
      </c>
      <c r="I890" t="n">
        <v>6.8</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8301-2022</t>
        </is>
      </c>
      <c r="B891" t="inlineStr">
        <is>
          <t>avverkningsanmälan</t>
        </is>
      </c>
      <c r="C891" t="inlineStr">
        <is>
          <t>Föryngringsavverkning</t>
        </is>
      </c>
      <c r="D891" s="1" t="n">
        <v>44610</v>
      </c>
      <c r="E891" s="1" t="n">
        <v>46313</v>
      </c>
      <c r="F891" t="inlineStr">
        <is>
          <t>SÖDERMANLANDS LÄN</t>
        </is>
      </c>
      <c r="G891" t="inlineStr">
        <is>
          <t>FLEN</t>
        </is>
      </c>
      <c r="H891" t="inlineStr">
        <is>
          <t>Övriga statliga verk och myndigheter</t>
        </is>
      </c>
      <c r="I891" t="n">
        <v>3.3</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67351-2021</t>
        </is>
      </c>
      <c r="B892" t="inlineStr">
        <is>
          <t>avverkningsanmälan</t>
        </is>
      </c>
      <c r="C892" t="inlineStr">
        <is>
          <t>Föryngringsavverkning</t>
        </is>
      </c>
      <c r="D892" s="1" t="n">
        <v>44523</v>
      </c>
      <c r="E892" s="1" t="n">
        <v>46313</v>
      </c>
      <c r="F892" t="inlineStr">
        <is>
          <t>SÖDERMANLANDS LÄN</t>
        </is>
      </c>
      <c r="G892" t="inlineStr">
        <is>
          <t>KATRINEHOLM</t>
        </is>
      </c>
      <c r="I892" t="n">
        <v>5.4</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19909-2022</t>
        </is>
      </c>
      <c r="B893" t="inlineStr">
        <is>
          <t>avverkningsanmälan</t>
        </is>
      </c>
      <c r="C893" t="inlineStr">
        <is>
          <t>Föryngringsavverkning</t>
        </is>
      </c>
      <c r="D893" s="1" t="n">
        <v>44694</v>
      </c>
      <c r="E893" s="1" t="n">
        <v>46313</v>
      </c>
      <c r="F893" t="inlineStr">
        <is>
          <t>SÖDERMANLANDS LÄN</t>
        </is>
      </c>
      <c r="G893" t="inlineStr">
        <is>
          <t>GNESTA</t>
        </is>
      </c>
      <c r="I893" t="n">
        <v>1.1</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68362-2021</t>
        </is>
      </c>
      <c r="B894" t="inlineStr">
        <is>
          <t>avverkningsanmälan</t>
        </is>
      </c>
      <c r="C894" t="inlineStr">
        <is>
          <t>Föryngringsavverkning</t>
        </is>
      </c>
      <c r="D894" s="1" t="n">
        <v>44528</v>
      </c>
      <c r="E894" s="1" t="n">
        <v>46313</v>
      </c>
      <c r="F894" t="inlineStr">
        <is>
          <t>SÖDERMANLANDS LÄN</t>
        </is>
      </c>
      <c r="G894" t="inlineStr">
        <is>
          <t>GNESTA</t>
        </is>
      </c>
      <c r="I894" t="n">
        <v>1</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24098-2022</t>
        </is>
      </c>
      <c r="B895" t="inlineStr">
        <is>
          <t>avverkningsanmälan</t>
        </is>
      </c>
      <c r="C895" t="inlineStr">
        <is>
          <t>Föryngringsavverkning</t>
        </is>
      </c>
      <c r="D895" s="1" t="n">
        <v>44725</v>
      </c>
      <c r="E895" s="1" t="n">
        <v>46313</v>
      </c>
      <c r="F895" t="inlineStr">
        <is>
          <t>SÖDERMANLANDS LÄN</t>
        </is>
      </c>
      <c r="G895" t="inlineStr">
        <is>
          <t>KATRINEHOLM</t>
        </is>
      </c>
      <c r="I895" t="n">
        <v>1.9</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13533-2022</t>
        </is>
      </c>
      <c r="B896" t="inlineStr">
        <is>
          <t>avverkningsanmälan</t>
        </is>
      </c>
      <c r="C896" t="inlineStr">
        <is>
          <t>Föryngringsavverkning</t>
        </is>
      </c>
      <c r="D896" s="1" t="n">
        <v>44643</v>
      </c>
      <c r="E896" s="1" t="n">
        <v>46313</v>
      </c>
      <c r="F896" t="inlineStr">
        <is>
          <t>SÖDERMANLANDS LÄN</t>
        </is>
      </c>
      <c r="G896" t="inlineStr">
        <is>
          <t>FLEN</t>
        </is>
      </c>
      <c r="I896" t="n">
        <v>2.2</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25130-2022</t>
        </is>
      </c>
      <c r="B897" t="inlineStr">
        <is>
          <t>avverkningsanmälan</t>
        </is>
      </c>
      <c r="C897" t="inlineStr">
        <is>
          <t>Föryngringsavverkning</t>
        </is>
      </c>
      <c r="D897" s="1" t="n">
        <v>44729</v>
      </c>
      <c r="E897" s="1" t="n">
        <v>46313</v>
      </c>
      <c r="F897" t="inlineStr">
        <is>
          <t>SÖDERMANLANDS LÄN</t>
        </is>
      </c>
      <c r="G897" t="inlineStr">
        <is>
          <t>NYKÖPING</t>
        </is>
      </c>
      <c r="I897" t="n">
        <v>0.9</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22080-2022</t>
        </is>
      </c>
      <c r="B898" t="inlineStr">
        <is>
          <t>avverkningsanmälan</t>
        </is>
      </c>
      <c r="C898" t="inlineStr">
        <is>
          <t>Föryngringsavverkning</t>
        </is>
      </c>
      <c r="D898" s="1" t="n">
        <v>44711</v>
      </c>
      <c r="E898" s="1" t="n">
        <v>46313</v>
      </c>
      <c r="F898" t="inlineStr">
        <is>
          <t>SÖDERMANLANDS LÄN</t>
        </is>
      </c>
      <c r="G898" t="inlineStr">
        <is>
          <t>STRÄNGNÄS</t>
        </is>
      </c>
      <c r="I898" t="n">
        <v>0.9</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22393-2022</t>
        </is>
      </c>
      <c r="B899" t="inlineStr">
        <is>
          <t>avverkningsanmälan</t>
        </is>
      </c>
      <c r="C899" t="inlineStr">
        <is>
          <t>Föryngringsavverkning</t>
        </is>
      </c>
      <c r="D899" s="1" t="n">
        <v>44713</v>
      </c>
      <c r="E899" s="1" t="n">
        <v>46313</v>
      </c>
      <c r="F899" t="inlineStr">
        <is>
          <t>SÖDERMANLANDS LÄN</t>
        </is>
      </c>
      <c r="G899" t="inlineStr">
        <is>
          <t>NYKÖPING</t>
        </is>
      </c>
      <c r="I899" t="n">
        <v>1</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65162-2021</t>
        </is>
      </c>
      <c r="B900" t="inlineStr">
        <is>
          <t>avverkningsanmälan</t>
        </is>
      </c>
      <c r="C900" t="inlineStr">
        <is>
          <t>Föryngringsavverkning</t>
        </is>
      </c>
      <c r="D900" s="1" t="n">
        <v>44512</v>
      </c>
      <c r="E900" s="1" t="n">
        <v>46313</v>
      </c>
      <c r="F900" t="inlineStr">
        <is>
          <t>SÖDERMANLANDS LÄN</t>
        </is>
      </c>
      <c r="G900" t="inlineStr">
        <is>
          <t>KATRINEHOLM</t>
        </is>
      </c>
      <c r="I900" t="n">
        <v>1</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30567-2022</t>
        </is>
      </c>
      <c r="B901" t="inlineStr">
        <is>
          <t>avverkningsanmälan</t>
        </is>
      </c>
      <c r="C901" t="inlineStr">
        <is>
          <t>Föryngringsavverkning</t>
        </is>
      </c>
      <c r="D901" s="1" t="n">
        <v>44762</v>
      </c>
      <c r="E901" s="1" t="n">
        <v>46313</v>
      </c>
      <c r="F901" t="inlineStr">
        <is>
          <t>SÖDERMANLANDS LÄN</t>
        </is>
      </c>
      <c r="G901" t="inlineStr">
        <is>
          <t>KATRINEHOLM</t>
        </is>
      </c>
      <c r="H901" t="inlineStr">
        <is>
          <t>Övriga Aktiebolag</t>
        </is>
      </c>
      <c r="I901" t="n">
        <v>0.5</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15247-2022</t>
        </is>
      </c>
      <c r="B902" t="inlineStr">
        <is>
          <t>avverkningsanmälan</t>
        </is>
      </c>
      <c r="C902" t="inlineStr">
        <is>
          <t>Föryngringsavverkning</t>
        </is>
      </c>
      <c r="D902" s="1" t="n">
        <v>44658</v>
      </c>
      <c r="E902" s="1" t="n">
        <v>46313</v>
      </c>
      <c r="F902" t="inlineStr">
        <is>
          <t>SÖDERMANLANDS LÄN</t>
        </is>
      </c>
      <c r="G902" t="inlineStr">
        <is>
          <t>ESKILSTUNA</t>
        </is>
      </c>
      <c r="H902" t="inlineStr">
        <is>
          <t>Allmännings- och besparingsskogar</t>
        </is>
      </c>
      <c r="I902" t="n">
        <v>4.2</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34040-2022</t>
        </is>
      </c>
      <c r="B903" t="inlineStr">
        <is>
          <t>avverkningsanmälan</t>
        </is>
      </c>
      <c r="C903" t="inlineStr">
        <is>
          <t>Föryngringsavverkning</t>
        </is>
      </c>
      <c r="D903" s="1" t="n">
        <v>44790</v>
      </c>
      <c r="E903" s="1" t="n">
        <v>46313</v>
      </c>
      <c r="F903" t="inlineStr">
        <is>
          <t>SÖDERMANLANDS LÄN</t>
        </is>
      </c>
      <c r="G903" t="inlineStr">
        <is>
          <t>KATRINEHOLM</t>
        </is>
      </c>
      <c r="H903" t="inlineStr">
        <is>
          <t>Allmännings- och besparingsskogar</t>
        </is>
      </c>
      <c r="I903" t="n">
        <v>2.5</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4438-2022</t>
        </is>
      </c>
      <c r="B904" t="inlineStr">
        <is>
          <t>avverkningsanmälan</t>
        </is>
      </c>
      <c r="C904" t="inlineStr">
        <is>
          <t>Föryngringsavverkning</t>
        </is>
      </c>
      <c r="D904" s="1" t="n">
        <v>44589</v>
      </c>
      <c r="E904" s="1" t="n">
        <v>46313</v>
      </c>
      <c r="F904" t="inlineStr">
        <is>
          <t>SÖDERMANLANDS LÄN</t>
        </is>
      </c>
      <c r="G904" t="inlineStr">
        <is>
          <t>GNESTA</t>
        </is>
      </c>
      <c r="I904" t="n">
        <v>1.4</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12174-2022</t>
        </is>
      </c>
      <c r="B905" t="inlineStr">
        <is>
          <t>avverkningsanmälan</t>
        </is>
      </c>
      <c r="C905" t="inlineStr">
        <is>
          <t>Föryngringsavverkning</t>
        </is>
      </c>
      <c r="D905" s="1" t="n">
        <v>44636</v>
      </c>
      <c r="E905" s="1" t="n">
        <v>46313</v>
      </c>
      <c r="F905" t="inlineStr">
        <is>
          <t>SÖDERMANLANDS LÄN</t>
        </is>
      </c>
      <c r="G905" t="inlineStr">
        <is>
          <t>FLEN</t>
        </is>
      </c>
      <c r="I905" t="n">
        <v>1</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63006-2021</t>
        </is>
      </c>
      <c r="B906" t="inlineStr">
        <is>
          <t>avverkningsanmälan</t>
        </is>
      </c>
      <c r="C906" t="inlineStr">
        <is>
          <t>Föryngringsavverkning</t>
        </is>
      </c>
      <c r="D906" s="1" t="n">
        <v>44505</v>
      </c>
      <c r="E906" s="1" t="n">
        <v>46313</v>
      </c>
      <c r="F906" t="inlineStr">
        <is>
          <t>SÖDERMANLANDS LÄN</t>
        </is>
      </c>
      <c r="G906" t="inlineStr">
        <is>
          <t>NYKÖPING</t>
        </is>
      </c>
      <c r="H906" t="inlineStr">
        <is>
          <t>Holmen skog AB</t>
        </is>
      </c>
      <c r="I906" t="n">
        <v>1.9</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40749-2022</t>
        </is>
      </c>
      <c r="B907" t="inlineStr">
        <is>
          <t>avverkningsanmälan</t>
        </is>
      </c>
      <c r="C907" t="inlineStr">
        <is>
          <t>Föryngringsavverkning</t>
        </is>
      </c>
      <c r="D907" s="1" t="n">
        <v>44824</v>
      </c>
      <c r="E907" s="1" t="n">
        <v>46313</v>
      </c>
      <c r="F907" t="inlineStr">
        <is>
          <t>SÖDERMANLANDS LÄN</t>
        </is>
      </c>
      <c r="G907" t="inlineStr">
        <is>
          <t>KATRINEHOLM</t>
        </is>
      </c>
      <c r="I907" t="n">
        <v>0.2</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39673-2022</t>
        </is>
      </c>
      <c r="B908" t="inlineStr">
        <is>
          <t>avverkningsanmälan</t>
        </is>
      </c>
      <c r="C908" t="inlineStr">
        <is>
          <t>Föryngringsavverkning</t>
        </is>
      </c>
      <c r="D908" s="1" t="n">
        <v>44818</v>
      </c>
      <c r="E908" s="1" t="n">
        <v>46313</v>
      </c>
      <c r="F908" t="inlineStr">
        <is>
          <t>SÖDERMANLANDS LÄN</t>
        </is>
      </c>
      <c r="G908" t="inlineStr">
        <is>
          <t>FLEN</t>
        </is>
      </c>
      <c r="I908" t="n">
        <v>0.9</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71772-2021</t>
        </is>
      </c>
      <c r="B909" t="inlineStr">
        <is>
          <t>avverkningsanmälan</t>
        </is>
      </c>
      <c r="C909" t="inlineStr">
        <is>
          <t>Föryngringsavverkning</t>
        </is>
      </c>
      <c r="D909" s="1" t="n">
        <v>44543</v>
      </c>
      <c r="E909" s="1" t="n">
        <v>46313</v>
      </c>
      <c r="F909" t="inlineStr">
        <is>
          <t>SÖDERMANLANDS LÄN</t>
        </is>
      </c>
      <c r="G909" t="inlineStr">
        <is>
          <t>GNESTA</t>
        </is>
      </c>
      <c r="I909" t="n">
        <v>1.1</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36643-2022</t>
        </is>
      </c>
      <c r="B910" t="inlineStr">
        <is>
          <t>avverkningsanmälan</t>
        </is>
      </c>
      <c r="C910" t="inlineStr">
        <is>
          <t>Föryngringsavverkning</t>
        </is>
      </c>
      <c r="D910" s="1" t="n">
        <v>44804</v>
      </c>
      <c r="E910" s="1" t="n">
        <v>46313</v>
      </c>
      <c r="F910" t="inlineStr">
        <is>
          <t>SÖDERMANLANDS LÄN</t>
        </is>
      </c>
      <c r="G910" t="inlineStr">
        <is>
          <t>ESKILSTUNA</t>
        </is>
      </c>
      <c r="I910" t="n">
        <v>3.7</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9607-2022</t>
        </is>
      </c>
      <c r="B911" t="inlineStr">
        <is>
          <t>avverkningsanmälan</t>
        </is>
      </c>
      <c r="C911" t="inlineStr">
        <is>
          <t>Föryngringsavverkning</t>
        </is>
      </c>
      <c r="D911" s="1" t="n">
        <v>44617</v>
      </c>
      <c r="E911" s="1" t="n">
        <v>46313</v>
      </c>
      <c r="F911" t="inlineStr">
        <is>
          <t>SÖDERMANLANDS LÄN</t>
        </is>
      </c>
      <c r="G911" t="inlineStr">
        <is>
          <t>STRÄNGNÄS</t>
        </is>
      </c>
      <c r="I911" t="n">
        <v>1.7</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51762-2022</t>
        </is>
      </c>
      <c r="B912" t="inlineStr">
        <is>
          <t>avverkningsanmälan</t>
        </is>
      </c>
      <c r="C912" t="inlineStr">
        <is>
          <t>Föryngringsavverkning</t>
        </is>
      </c>
      <c r="D912" s="1" t="n">
        <v>44872</v>
      </c>
      <c r="E912" s="1" t="n">
        <v>46313</v>
      </c>
      <c r="F912" t="inlineStr">
        <is>
          <t>SÖDERMANLANDS LÄN</t>
        </is>
      </c>
      <c r="G912" t="inlineStr">
        <is>
          <t>STRÄNGNÄS</t>
        </is>
      </c>
      <c r="I912" t="n">
        <v>5.7</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71129-2021</t>
        </is>
      </c>
      <c r="B913" t="inlineStr">
        <is>
          <t>avverkningsanmälan</t>
        </is>
      </c>
      <c r="C913" t="inlineStr">
        <is>
          <t>Föryngringsavverkning</t>
        </is>
      </c>
      <c r="D913" s="1" t="n">
        <v>44539</v>
      </c>
      <c r="E913" s="1" t="n">
        <v>46313</v>
      </c>
      <c r="F913" t="inlineStr">
        <is>
          <t>SÖDERMANLANDS LÄN</t>
        </is>
      </c>
      <c r="G913" t="inlineStr">
        <is>
          <t>KATRINEHOLM</t>
        </is>
      </c>
      <c r="H913" t="inlineStr">
        <is>
          <t>Holmen skog AB</t>
        </is>
      </c>
      <c r="I913" t="n">
        <v>1.3</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21351-2022</t>
        </is>
      </c>
      <c r="B914" t="inlineStr">
        <is>
          <t>avverkningsanmälan</t>
        </is>
      </c>
      <c r="C914" t="inlineStr">
        <is>
          <t>Föryngringsavverkning</t>
        </is>
      </c>
      <c r="D914" s="1" t="n">
        <v>44705</v>
      </c>
      <c r="E914" s="1" t="n">
        <v>46313</v>
      </c>
      <c r="F914" t="inlineStr">
        <is>
          <t>SÖDERMANLANDS LÄN</t>
        </is>
      </c>
      <c r="G914" t="inlineStr">
        <is>
          <t>FLEN</t>
        </is>
      </c>
      <c r="I914" t="n">
        <v>1.1</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60398-2021</t>
        </is>
      </c>
      <c r="B915" t="inlineStr">
        <is>
          <t>avverkningsanmälan</t>
        </is>
      </c>
      <c r="C915" t="inlineStr">
        <is>
          <t>Föryngringsavverkning</t>
        </is>
      </c>
      <c r="D915" s="1" t="n">
        <v>44496</v>
      </c>
      <c r="E915" s="1" t="n">
        <v>46313</v>
      </c>
      <c r="F915" t="inlineStr">
        <is>
          <t>SÖDERMANLANDS LÄN</t>
        </is>
      </c>
      <c r="G915" t="inlineStr">
        <is>
          <t>STRÄNGNÄS</t>
        </is>
      </c>
      <c r="I915" t="n">
        <v>0.4</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10873-2022</t>
        </is>
      </c>
      <c r="B916" t="inlineStr">
        <is>
          <t>avverkningsanmälan</t>
        </is>
      </c>
      <c r="C916" t="inlineStr">
        <is>
          <t>Föryngringsavverkning</t>
        </is>
      </c>
      <c r="D916" s="1" t="n">
        <v>44627</v>
      </c>
      <c r="E916" s="1" t="n">
        <v>46313</v>
      </c>
      <c r="F916" t="inlineStr">
        <is>
          <t>SÖDERMANLANDS LÄN</t>
        </is>
      </c>
      <c r="G916" t="inlineStr">
        <is>
          <t>NYKÖPING</t>
        </is>
      </c>
      <c r="H916" t="inlineStr">
        <is>
          <t>Övriga Aktiebolag</t>
        </is>
      </c>
      <c r="I916" t="n">
        <v>2.9</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9257-2023</t>
        </is>
      </c>
      <c r="B917" t="inlineStr">
        <is>
          <t>avverkningsanmälan</t>
        </is>
      </c>
      <c r="C917" t="inlineStr">
        <is>
          <t>Föryngringsavverkning</t>
        </is>
      </c>
      <c r="D917" s="1" t="n">
        <v>44980</v>
      </c>
      <c r="E917" s="1" t="n">
        <v>46313</v>
      </c>
      <c r="F917" t="inlineStr">
        <is>
          <t>SÖDERMANLANDS LÄN</t>
        </is>
      </c>
      <c r="G917" t="inlineStr">
        <is>
          <t>FLEN</t>
        </is>
      </c>
      <c r="I917" t="n">
        <v>3.5</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33492-2022</t>
        </is>
      </c>
      <c r="B918" t="inlineStr">
        <is>
          <t>avverkningsanmälan</t>
        </is>
      </c>
      <c r="C918" t="inlineStr">
        <is>
          <t>Avverkning för annat ändamål</t>
        </is>
      </c>
      <c r="D918" s="1" t="n">
        <v>44788</v>
      </c>
      <c r="E918" s="1" t="n">
        <v>46313</v>
      </c>
      <c r="F918" t="inlineStr">
        <is>
          <t>SÖDERMANLANDS LÄN</t>
        </is>
      </c>
      <c r="G918" t="inlineStr">
        <is>
          <t>STRÄNGNÄS</t>
        </is>
      </c>
      <c r="I918" t="n">
        <v>0.3</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1216-2022</t>
        </is>
      </c>
      <c r="B919" t="inlineStr">
        <is>
          <t>avverkningsanmälan</t>
        </is>
      </c>
      <c r="C919" t="inlineStr">
        <is>
          <t>Föryngringsavverkning</t>
        </is>
      </c>
      <c r="D919" s="1" t="n">
        <v>44572</v>
      </c>
      <c r="E919" s="1" t="n">
        <v>46313</v>
      </c>
      <c r="F919" t="inlineStr">
        <is>
          <t>SÖDERMANLANDS LÄN</t>
        </is>
      </c>
      <c r="G919" t="inlineStr">
        <is>
          <t>GNESTA</t>
        </is>
      </c>
      <c r="I919" t="n">
        <v>0.8</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58428-2022</t>
        </is>
      </c>
      <c r="B920" t="inlineStr">
        <is>
          <t>avverkningsanmälan</t>
        </is>
      </c>
      <c r="C920" t="inlineStr">
        <is>
          <t>Föryngringsavverkning</t>
        </is>
      </c>
      <c r="D920" s="1" t="n">
        <v>44901</v>
      </c>
      <c r="E920" s="1" t="n">
        <v>46313</v>
      </c>
      <c r="F920" t="inlineStr">
        <is>
          <t>SÖDERMANLANDS LÄN</t>
        </is>
      </c>
      <c r="G920" t="inlineStr">
        <is>
          <t>GNESTA</t>
        </is>
      </c>
      <c r="I920" t="n">
        <v>1.1</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26086-2022</t>
        </is>
      </c>
      <c r="B921" t="inlineStr">
        <is>
          <t>avverkningsanmälan</t>
        </is>
      </c>
      <c r="C921" t="inlineStr">
        <is>
          <t>Föryngringsavverkning</t>
        </is>
      </c>
      <c r="D921" s="1" t="n">
        <v>44734</v>
      </c>
      <c r="E921" s="1" t="n">
        <v>46313</v>
      </c>
      <c r="F921" t="inlineStr">
        <is>
          <t>SÖDERMANLANDS LÄN</t>
        </is>
      </c>
      <c r="G921" t="inlineStr">
        <is>
          <t>VINGÅKER</t>
        </is>
      </c>
      <c r="I921" t="n">
        <v>4.7</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9234-2023</t>
        </is>
      </c>
      <c r="B922" t="inlineStr">
        <is>
          <t>avverkningsanmälan</t>
        </is>
      </c>
      <c r="C922" t="inlineStr">
        <is>
          <t>Föryngringsavverkning</t>
        </is>
      </c>
      <c r="D922" s="1" t="n">
        <v>44980</v>
      </c>
      <c r="E922" s="1" t="n">
        <v>46313</v>
      </c>
      <c r="F922" t="inlineStr">
        <is>
          <t>SÖDERMANLANDS LÄN</t>
        </is>
      </c>
      <c r="G922" t="inlineStr">
        <is>
          <t>STRÄNGNÄS</t>
        </is>
      </c>
      <c r="I922" t="n">
        <v>3.7</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51925-2022</t>
        </is>
      </c>
      <c r="B923" t="inlineStr">
        <is>
          <t>avverkningsanmälan</t>
        </is>
      </c>
      <c r="C923" t="inlineStr">
        <is>
          <t>Föryngringsavverkning</t>
        </is>
      </c>
      <c r="D923" s="1" t="n">
        <v>44868</v>
      </c>
      <c r="E923" s="1" t="n">
        <v>46313</v>
      </c>
      <c r="F923" t="inlineStr">
        <is>
          <t>SÖDERMANLANDS LÄN</t>
        </is>
      </c>
      <c r="G923" t="inlineStr">
        <is>
          <t>FLEN</t>
        </is>
      </c>
      <c r="H923" t="inlineStr">
        <is>
          <t>Övriga statliga verk och myndigheter</t>
        </is>
      </c>
      <c r="I923" t="n">
        <v>3</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39120-2023</t>
        </is>
      </c>
      <c r="B924" t="inlineStr">
        <is>
          <t>avverkningsanmälan</t>
        </is>
      </c>
      <c r="C924" t="inlineStr">
        <is>
          <t>Föryngringsavverkning</t>
        </is>
      </c>
      <c r="D924" s="1" t="n">
        <v>45165</v>
      </c>
      <c r="E924" s="1" t="n">
        <v>46313</v>
      </c>
      <c r="F924" t="inlineStr">
        <is>
          <t>SÖDERMANLANDS LÄN</t>
        </is>
      </c>
      <c r="G924" t="inlineStr">
        <is>
          <t>KATRINEHOLM</t>
        </is>
      </c>
      <c r="I924" t="n">
        <v>4.4</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10272-2024</t>
        </is>
      </c>
      <c r="B925" t="inlineStr">
        <is>
          <t>avverkningsanmälan</t>
        </is>
      </c>
      <c r="C925" t="inlineStr">
        <is>
          <t>Föryngringsavverkning</t>
        </is>
      </c>
      <c r="D925" s="1" t="n">
        <v>45365</v>
      </c>
      <c r="E925" s="1" t="n">
        <v>46313</v>
      </c>
      <c r="F925" t="inlineStr">
        <is>
          <t>SÖDERMANLANDS LÄN</t>
        </is>
      </c>
      <c r="G925" t="inlineStr">
        <is>
          <t>ESKILSTUNA</t>
        </is>
      </c>
      <c r="I925" t="n">
        <v>0.5</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10276-2024</t>
        </is>
      </c>
      <c r="B926" t="inlineStr">
        <is>
          <t>avverkningsanmälan</t>
        </is>
      </c>
      <c r="C926" t="inlineStr">
        <is>
          <t>Föryngringsavverkning</t>
        </is>
      </c>
      <c r="D926" s="1" t="n">
        <v>45365</v>
      </c>
      <c r="E926" s="1" t="n">
        <v>46313</v>
      </c>
      <c r="F926" t="inlineStr">
        <is>
          <t>SÖDERMANLANDS LÄN</t>
        </is>
      </c>
      <c r="G926" t="inlineStr">
        <is>
          <t>NYKÖPING</t>
        </is>
      </c>
      <c r="I926" t="n">
        <v>0.8</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31401-2022</t>
        </is>
      </c>
      <c r="B927" t="inlineStr">
        <is>
          <t>avverkningsanmälan</t>
        </is>
      </c>
      <c r="C927" t="inlineStr">
        <is>
          <t>Föryngringsavverkning</t>
        </is>
      </c>
      <c r="D927" s="1" t="n">
        <v>44774</v>
      </c>
      <c r="E927" s="1" t="n">
        <v>46313</v>
      </c>
      <c r="F927" t="inlineStr">
        <is>
          <t>SÖDERMANLANDS LÄN</t>
        </is>
      </c>
      <c r="G927" t="inlineStr">
        <is>
          <t>NYKÖPING</t>
        </is>
      </c>
      <c r="I927" t="n">
        <v>2.7</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50061-2022</t>
        </is>
      </c>
      <c r="B928" t="inlineStr">
        <is>
          <t>avverkningsanmälan</t>
        </is>
      </c>
      <c r="C928" t="inlineStr">
        <is>
          <t>Föryngringsavverkning</t>
        </is>
      </c>
      <c r="D928" s="1" t="n">
        <v>44865</v>
      </c>
      <c r="E928" s="1" t="n">
        <v>46313</v>
      </c>
      <c r="F928" t="inlineStr">
        <is>
          <t>SÖDERMANLANDS LÄN</t>
        </is>
      </c>
      <c r="G928" t="inlineStr">
        <is>
          <t>KATRINEHOLM</t>
        </is>
      </c>
      <c r="I928" t="n">
        <v>4.9</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62432-2023</t>
        </is>
      </c>
      <c r="B929" t="inlineStr">
        <is>
          <t>avverkningsanmälan</t>
        </is>
      </c>
      <c r="C929" t="inlineStr">
        <is>
          <t>Föryngringsavverkning</t>
        </is>
      </c>
      <c r="D929" s="1" t="n">
        <v>45268</v>
      </c>
      <c r="E929" s="1" t="n">
        <v>46313</v>
      </c>
      <c r="F929" t="inlineStr">
        <is>
          <t>SÖDERMANLANDS LÄN</t>
        </is>
      </c>
      <c r="G929" t="inlineStr">
        <is>
          <t>NYKÖPING</t>
        </is>
      </c>
      <c r="I929" t="n">
        <v>3.7</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36710-2024</t>
        </is>
      </c>
      <c r="B930" t="inlineStr">
        <is>
          <t>avverkningsanmälan</t>
        </is>
      </c>
      <c r="C930" t="inlineStr">
        <is>
          <t>Avverkning för annat ändamål</t>
        </is>
      </c>
      <c r="D930" s="1" t="n">
        <v>45537</v>
      </c>
      <c r="E930" s="1" t="n">
        <v>46313</v>
      </c>
      <c r="F930" t="inlineStr">
        <is>
          <t>SÖDERMANLANDS LÄN</t>
        </is>
      </c>
      <c r="G930" t="inlineStr">
        <is>
          <t>TROSA</t>
        </is>
      </c>
      <c r="H930" t="inlineStr">
        <is>
          <t>Övriga Aktiebolag</t>
        </is>
      </c>
      <c r="I930" t="n">
        <v>1.3</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65160-2023</t>
        </is>
      </c>
      <c r="B931" t="inlineStr">
        <is>
          <t>avverkningsanmälan</t>
        </is>
      </c>
      <c r="C931" t="inlineStr">
        <is>
          <t>Föryngringsavverkning</t>
        </is>
      </c>
      <c r="D931" s="1" t="n">
        <v>45288</v>
      </c>
      <c r="E931" s="1" t="n">
        <v>46313</v>
      </c>
      <c r="F931" t="inlineStr">
        <is>
          <t>SÖDERMANLANDS LÄN</t>
        </is>
      </c>
      <c r="G931" t="inlineStr">
        <is>
          <t>STRÄNGNÄS</t>
        </is>
      </c>
      <c r="I931" t="n">
        <v>2.2</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65163-2023</t>
        </is>
      </c>
      <c r="B932" t="inlineStr">
        <is>
          <t>avverkningsanmälan</t>
        </is>
      </c>
      <c r="C932" t="inlineStr">
        <is>
          <t>Föryngringsavverkning</t>
        </is>
      </c>
      <c r="D932" s="1" t="n">
        <v>45288</v>
      </c>
      <c r="E932" s="1" t="n">
        <v>46313</v>
      </c>
      <c r="F932" t="inlineStr">
        <is>
          <t>SÖDERMANLANDS LÄN</t>
        </is>
      </c>
      <c r="G932" t="inlineStr">
        <is>
          <t>STRÄNGNÄS</t>
        </is>
      </c>
      <c r="I932" t="n">
        <v>2.5</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11068-2024</t>
        </is>
      </c>
      <c r="B933" t="inlineStr">
        <is>
          <t>avverkningsanmälan</t>
        </is>
      </c>
      <c r="C933" t="inlineStr">
        <is>
          <t>Föryngringsavverkning</t>
        </is>
      </c>
      <c r="D933" s="1" t="n">
        <v>45370</v>
      </c>
      <c r="E933" s="1" t="n">
        <v>46313</v>
      </c>
      <c r="F933" t="inlineStr">
        <is>
          <t>SÖDERMANLANDS LÄN</t>
        </is>
      </c>
      <c r="G933" t="inlineStr">
        <is>
          <t>NYKÖPING</t>
        </is>
      </c>
      <c r="H933" t="inlineStr">
        <is>
          <t>Kommuner</t>
        </is>
      </c>
      <c r="I933" t="n">
        <v>5.7</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49942-2022</t>
        </is>
      </c>
      <c r="B934" t="inlineStr">
        <is>
          <t>avverkningsanmälan</t>
        </is>
      </c>
      <c r="C934" t="inlineStr">
        <is>
          <t>Föryngringsavverkning</t>
        </is>
      </c>
      <c r="D934" s="1" t="n">
        <v>44865</v>
      </c>
      <c r="E934" s="1" t="n">
        <v>46313</v>
      </c>
      <c r="F934" t="inlineStr">
        <is>
          <t>SÖDERMANLANDS LÄN</t>
        </is>
      </c>
      <c r="G934" t="inlineStr">
        <is>
          <t>NYKÖPING</t>
        </is>
      </c>
      <c r="I934" t="n">
        <v>1.4</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18525-2024</t>
        </is>
      </c>
      <c r="B935" t="inlineStr">
        <is>
          <t>avverkningsanmälan</t>
        </is>
      </c>
      <c r="C935" t="inlineStr">
        <is>
          <t>Föryngringsavverkning</t>
        </is>
      </c>
      <c r="D935" s="1" t="n">
        <v>45424</v>
      </c>
      <c r="E935" s="1" t="n">
        <v>46313</v>
      </c>
      <c r="F935" t="inlineStr">
        <is>
          <t>SÖDERMANLANDS LÄN</t>
        </is>
      </c>
      <c r="G935" t="inlineStr">
        <is>
          <t>NYKÖPING</t>
        </is>
      </c>
      <c r="I935" t="n">
        <v>7.4</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24287-2024</t>
        </is>
      </c>
      <c r="B936" t="inlineStr">
        <is>
          <t>avverkningsanmälan</t>
        </is>
      </c>
      <c r="C936" t="inlineStr">
        <is>
          <t>Föryngringsavverkning</t>
        </is>
      </c>
      <c r="D936" s="1" t="n">
        <v>45457</v>
      </c>
      <c r="E936" s="1" t="n">
        <v>46313</v>
      </c>
      <c r="F936" t="inlineStr">
        <is>
          <t>SÖDERMANLANDS LÄN</t>
        </is>
      </c>
      <c r="G936" t="inlineStr">
        <is>
          <t>KATRINEHOLM</t>
        </is>
      </c>
      <c r="I936" t="n">
        <v>1.3</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11726-2023</t>
        </is>
      </c>
      <c r="B937" t="inlineStr">
        <is>
          <t>avverkningsanmälan</t>
        </is>
      </c>
      <c r="C937" t="inlineStr">
        <is>
          <t>Föryngringsavverkning</t>
        </is>
      </c>
      <c r="D937" s="1" t="n">
        <v>44994</v>
      </c>
      <c r="E937" s="1" t="n">
        <v>46313</v>
      </c>
      <c r="F937" t="inlineStr">
        <is>
          <t>SÖDERMANLANDS LÄN</t>
        </is>
      </c>
      <c r="G937" t="inlineStr">
        <is>
          <t>GNESTA</t>
        </is>
      </c>
      <c r="I937" t="n">
        <v>13.4</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35507-2024</t>
        </is>
      </c>
      <c r="B938" t="inlineStr">
        <is>
          <t>avverkningsanmälan</t>
        </is>
      </c>
      <c r="C938" t="inlineStr">
        <is>
          <t>Föryngringsavverkning</t>
        </is>
      </c>
      <c r="D938" s="1" t="n">
        <v>45531</v>
      </c>
      <c r="E938" s="1" t="n">
        <v>46313</v>
      </c>
      <c r="F938" t="inlineStr">
        <is>
          <t>SÖDERMANLANDS LÄN</t>
        </is>
      </c>
      <c r="G938" t="inlineStr">
        <is>
          <t>FLEN</t>
        </is>
      </c>
      <c r="I938" t="n">
        <v>2.4</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30373-2023</t>
        </is>
      </c>
      <c r="B939" t="inlineStr">
        <is>
          <t>avverkningsanmälan</t>
        </is>
      </c>
      <c r="C939" t="inlineStr">
        <is>
          <t>Föryngringsavverkning</t>
        </is>
      </c>
      <c r="D939" s="1" t="n">
        <v>45099</v>
      </c>
      <c r="E939" s="1" t="n">
        <v>46313</v>
      </c>
      <c r="F939" t="inlineStr">
        <is>
          <t>SÖDERMANLANDS LÄN</t>
        </is>
      </c>
      <c r="G939" t="inlineStr">
        <is>
          <t>ESKILSTUNA</t>
        </is>
      </c>
      <c r="I939" t="n">
        <v>3.9</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13807-2023</t>
        </is>
      </c>
      <c r="B940" t="inlineStr">
        <is>
          <t>avverkningsanmälan</t>
        </is>
      </c>
      <c r="C940" t="inlineStr">
        <is>
          <t>Föryngringsavverkning</t>
        </is>
      </c>
      <c r="D940" s="1" t="n">
        <v>45007</v>
      </c>
      <c r="E940" s="1" t="n">
        <v>46313</v>
      </c>
      <c r="F940" t="inlineStr">
        <is>
          <t>SÖDERMANLANDS LÄN</t>
        </is>
      </c>
      <c r="G940" t="inlineStr">
        <is>
          <t>STRÄNGNÄS</t>
        </is>
      </c>
      <c r="H940" t="inlineStr">
        <is>
          <t>Allmännings- och besparingsskogar</t>
        </is>
      </c>
      <c r="I940" t="n">
        <v>1.3</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6536-2024</t>
        </is>
      </c>
      <c r="B941" t="inlineStr">
        <is>
          <t>avverkningsanmälan</t>
        </is>
      </c>
      <c r="C941" t="inlineStr">
        <is>
          <t>Föryngringsavverkning</t>
        </is>
      </c>
      <c r="D941" s="1" t="n">
        <v>45341</v>
      </c>
      <c r="E941" s="1" t="n">
        <v>46313</v>
      </c>
      <c r="F941" t="inlineStr">
        <is>
          <t>SÖDERMANLANDS LÄN</t>
        </is>
      </c>
      <c r="G941" t="inlineStr">
        <is>
          <t>GNESTA</t>
        </is>
      </c>
      <c r="I941" t="n">
        <v>1.6</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65109-2021</t>
        </is>
      </c>
      <c r="B942" t="inlineStr">
        <is>
          <t>avverkningsanmälan</t>
        </is>
      </c>
      <c r="C942" t="inlineStr">
        <is>
          <t>Föryngringsavverkning</t>
        </is>
      </c>
      <c r="D942" s="1" t="n">
        <v>44515</v>
      </c>
      <c r="E942" s="1" t="n">
        <v>46313</v>
      </c>
      <c r="F942" t="inlineStr">
        <is>
          <t>SÖDERMANLANDS LÄN</t>
        </is>
      </c>
      <c r="G942" t="inlineStr">
        <is>
          <t>NYKÖPING</t>
        </is>
      </c>
      <c r="I942" t="n">
        <v>1.2</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6628-2022</t>
        </is>
      </c>
      <c r="B943" t="inlineStr">
        <is>
          <t>avverkningsanmälan</t>
        </is>
      </c>
      <c r="C943" t="inlineStr">
        <is>
          <t>Föryngringsavverkning</t>
        </is>
      </c>
      <c r="D943" s="1" t="n">
        <v>44601</v>
      </c>
      <c r="E943" s="1" t="n">
        <v>46313</v>
      </c>
      <c r="F943" t="inlineStr">
        <is>
          <t>SÖDERMANLANDS LÄN</t>
        </is>
      </c>
      <c r="G943" t="inlineStr">
        <is>
          <t>KATRINEHOLM</t>
        </is>
      </c>
      <c r="I943" t="n">
        <v>0.6</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40408-2024</t>
        </is>
      </c>
      <c r="B944" t="inlineStr">
        <is>
          <t>avverkningsanmälan</t>
        </is>
      </c>
      <c r="C944" t="inlineStr">
        <is>
          <t>Föryngringsavverkning</t>
        </is>
      </c>
      <c r="D944" s="1" t="n">
        <v>45555</v>
      </c>
      <c r="E944" s="1" t="n">
        <v>46313</v>
      </c>
      <c r="F944" t="inlineStr">
        <is>
          <t>SÖDERMANLANDS LÄN</t>
        </is>
      </c>
      <c r="G944" t="inlineStr">
        <is>
          <t>FLEN</t>
        </is>
      </c>
      <c r="I944" t="n">
        <v>1.7</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10732-2022</t>
        </is>
      </c>
      <c r="B945" t="inlineStr">
        <is>
          <t>avverkningsanmälan</t>
        </is>
      </c>
      <c r="C945" t="inlineStr">
        <is>
          <t>Föryngringsavverkning</t>
        </is>
      </c>
      <c r="D945" s="1" t="n">
        <v>44627</v>
      </c>
      <c r="E945" s="1" t="n">
        <v>46313</v>
      </c>
      <c r="F945" t="inlineStr">
        <is>
          <t>SÖDERMANLANDS LÄN</t>
        </is>
      </c>
      <c r="G945" t="inlineStr">
        <is>
          <t>KATRINEHOLM</t>
        </is>
      </c>
      <c r="I945" t="n">
        <v>2.4</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33934-2022</t>
        </is>
      </c>
      <c r="B946" t="inlineStr">
        <is>
          <t>avverkningsanmälan</t>
        </is>
      </c>
      <c r="C946" t="inlineStr">
        <is>
          <t>Föryngringsavverkning</t>
        </is>
      </c>
      <c r="D946" s="1" t="n">
        <v>44790</v>
      </c>
      <c r="E946" s="1" t="n">
        <v>46313</v>
      </c>
      <c r="F946" t="inlineStr">
        <is>
          <t>SÖDERMANLANDS LÄN</t>
        </is>
      </c>
      <c r="G946" t="inlineStr">
        <is>
          <t>KATRINEHOLM</t>
        </is>
      </c>
      <c r="I946" t="n">
        <v>1.4</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998-2024</t>
        </is>
      </c>
      <c r="B947" t="inlineStr">
        <is>
          <t>avverkningsanmälan</t>
        </is>
      </c>
      <c r="C947" t="inlineStr">
        <is>
          <t>Föryngringsavverkning</t>
        </is>
      </c>
      <c r="D947" s="1" t="n">
        <v>45301</v>
      </c>
      <c r="E947" s="1" t="n">
        <v>46313</v>
      </c>
      <c r="F947" t="inlineStr">
        <is>
          <t>SÖDERMANLANDS LÄN</t>
        </is>
      </c>
      <c r="G947" t="inlineStr">
        <is>
          <t>NYKÖPING</t>
        </is>
      </c>
      <c r="H947" t="inlineStr">
        <is>
          <t>Övriga Aktiebolag</t>
        </is>
      </c>
      <c r="I947" t="n">
        <v>2.2</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42200-2022</t>
        </is>
      </c>
      <c r="B948" t="inlineStr">
        <is>
          <t>avverkningsanmälan</t>
        </is>
      </c>
      <c r="C948" t="inlineStr">
        <is>
          <t>Föryngringsavverkning</t>
        </is>
      </c>
      <c r="D948" s="1" t="n">
        <v>44830</v>
      </c>
      <c r="E948" s="1" t="n">
        <v>46313</v>
      </c>
      <c r="F948" t="inlineStr">
        <is>
          <t>SÖDERMANLANDS LÄN</t>
        </is>
      </c>
      <c r="G948" t="inlineStr">
        <is>
          <t>GNESTA</t>
        </is>
      </c>
      <c r="I948" t="n">
        <v>1.5</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13295-2023</t>
        </is>
      </c>
      <c r="B949" t="inlineStr">
        <is>
          <t>avverkningsanmälan</t>
        </is>
      </c>
      <c r="C949" t="inlineStr">
        <is>
          <t>Föryngringsavverkning</t>
        </is>
      </c>
      <c r="D949" s="1" t="n">
        <v>45005</v>
      </c>
      <c r="E949" s="1" t="n">
        <v>46313</v>
      </c>
      <c r="F949" t="inlineStr">
        <is>
          <t>SÖDERMANLANDS LÄN</t>
        </is>
      </c>
      <c r="G949" t="inlineStr">
        <is>
          <t>ESKILSTUNA</t>
        </is>
      </c>
      <c r="I949" t="n">
        <v>1.3</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21984-2024</t>
        </is>
      </c>
      <c r="B950" t="inlineStr">
        <is>
          <t>avverkningsanmälan</t>
        </is>
      </c>
      <c r="C950" t="inlineStr">
        <is>
          <t>Föryngringsavverkning</t>
        </is>
      </c>
      <c r="D950" s="1" t="n">
        <v>45443</v>
      </c>
      <c r="E950" s="1" t="n">
        <v>46313</v>
      </c>
      <c r="F950" t="inlineStr">
        <is>
          <t>SÖDERMANLANDS LÄN</t>
        </is>
      </c>
      <c r="G950" t="inlineStr">
        <is>
          <t>NYKÖPING</t>
        </is>
      </c>
      <c r="H950" t="inlineStr">
        <is>
          <t>Holmen skog AB</t>
        </is>
      </c>
      <c r="I950" t="n">
        <v>1.3</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59613-2021</t>
        </is>
      </c>
      <c r="B951" t="inlineStr">
        <is>
          <t>avverkningsanmälan</t>
        </is>
      </c>
      <c r="C951" t="inlineStr">
        <is>
          <t>Föryngringsavverkning</t>
        </is>
      </c>
      <c r="D951" s="1" t="n">
        <v>44491</v>
      </c>
      <c r="E951" s="1" t="n">
        <v>46313</v>
      </c>
      <c r="F951" t="inlineStr">
        <is>
          <t>SÖDERMANLANDS LÄN</t>
        </is>
      </c>
      <c r="G951" t="inlineStr">
        <is>
          <t>NYKÖPING</t>
        </is>
      </c>
      <c r="H951" t="inlineStr">
        <is>
          <t>Övriga Aktiebolag</t>
        </is>
      </c>
      <c r="I951" t="n">
        <v>0.9</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64099-2021</t>
        </is>
      </c>
      <c r="B952" t="inlineStr">
        <is>
          <t>avverkningsanmälan</t>
        </is>
      </c>
      <c r="C952" t="inlineStr">
        <is>
          <t>Föryngringsavverkning</t>
        </is>
      </c>
      <c r="D952" s="1" t="n">
        <v>44509</v>
      </c>
      <c r="E952" s="1" t="n">
        <v>46313</v>
      </c>
      <c r="F952" t="inlineStr">
        <is>
          <t>SÖDERMANLANDS LÄN</t>
        </is>
      </c>
      <c r="G952" t="inlineStr">
        <is>
          <t>NYKÖPING</t>
        </is>
      </c>
      <c r="I952" t="n">
        <v>3</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30859-2023</t>
        </is>
      </c>
      <c r="B953" t="inlineStr">
        <is>
          <t>avverkningsanmälan</t>
        </is>
      </c>
      <c r="C953" t="inlineStr">
        <is>
          <t>Föryngringsavverkning</t>
        </is>
      </c>
      <c r="D953" s="1" t="n">
        <v>45110</v>
      </c>
      <c r="E953" s="1" t="n">
        <v>46313</v>
      </c>
      <c r="F953" t="inlineStr">
        <is>
          <t>SÖDERMANLANDS LÄN</t>
        </is>
      </c>
      <c r="G953" t="inlineStr">
        <is>
          <t>NYKÖPING</t>
        </is>
      </c>
      <c r="I953" t="n">
        <v>1.8</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49289-2023</t>
        </is>
      </c>
      <c r="B954" t="inlineStr">
        <is>
          <t>avverkningsanmälan</t>
        </is>
      </c>
      <c r="C954" t="inlineStr">
        <is>
          <t>Föryngringsavverkning</t>
        </is>
      </c>
      <c r="D954" s="1" t="n">
        <v>45210</v>
      </c>
      <c r="E954" s="1" t="n">
        <v>46313</v>
      </c>
      <c r="F954" t="inlineStr">
        <is>
          <t>SÖDERMANLANDS LÄN</t>
        </is>
      </c>
      <c r="G954" t="inlineStr">
        <is>
          <t>NYKÖPING</t>
        </is>
      </c>
      <c r="I954" t="n">
        <v>0.7</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49291-2023</t>
        </is>
      </c>
      <c r="B955" t="inlineStr">
        <is>
          <t>avverkningsanmälan</t>
        </is>
      </c>
      <c r="C955" t="inlineStr">
        <is>
          <t>Föryngringsavverkning</t>
        </is>
      </c>
      <c r="D955" s="1" t="n">
        <v>45210</v>
      </c>
      <c r="E955" s="1" t="n">
        <v>46313</v>
      </c>
      <c r="F955" t="inlineStr">
        <is>
          <t>SÖDERMANLANDS LÄN</t>
        </is>
      </c>
      <c r="G955" t="inlineStr">
        <is>
          <t>NYKÖPING</t>
        </is>
      </c>
      <c r="I955" t="n">
        <v>0.6</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74354-2021</t>
        </is>
      </c>
      <c r="B956" t="inlineStr">
        <is>
          <t>avverkningsanmälan</t>
        </is>
      </c>
      <c r="C956" t="inlineStr">
        <is>
          <t>Föryngringsavverkning</t>
        </is>
      </c>
      <c r="D956" s="1" t="n">
        <v>44559</v>
      </c>
      <c r="E956" s="1" t="n">
        <v>46313</v>
      </c>
      <c r="F956" t="inlineStr">
        <is>
          <t>SÖDERMANLANDS LÄN</t>
        </is>
      </c>
      <c r="G956" t="inlineStr">
        <is>
          <t>KATRINEHOLM</t>
        </is>
      </c>
      <c r="I956" t="n">
        <v>0.7</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12277-2024</t>
        </is>
      </c>
      <c r="B957" t="inlineStr">
        <is>
          <t>avverkningsanmälan</t>
        </is>
      </c>
      <c r="C957" t="inlineStr">
        <is>
          <t>Föryngringsavverkning</t>
        </is>
      </c>
      <c r="D957" s="1" t="n">
        <v>45378</v>
      </c>
      <c r="E957" s="1" t="n">
        <v>46313</v>
      </c>
      <c r="F957" t="inlineStr">
        <is>
          <t>SÖDERMANLANDS LÄN</t>
        </is>
      </c>
      <c r="G957" t="inlineStr">
        <is>
          <t>FLEN</t>
        </is>
      </c>
      <c r="H957" t="inlineStr">
        <is>
          <t>Holmen skog AB</t>
        </is>
      </c>
      <c r="I957" t="n">
        <v>1.2</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17169-2025</t>
        </is>
      </c>
      <c r="B958" t="inlineStr">
        <is>
          <t>avverkningsanmälan</t>
        </is>
      </c>
      <c r="C958" t="inlineStr">
        <is>
          <t>Föryngringsavverkning</t>
        </is>
      </c>
      <c r="D958" s="1" t="n">
        <v>45755</v>
      </c>
      <c r="E958" s="1" t="n">
        <v>46313</v>
      </c>
      <c r="F958" t="inlineStr">
        <is>
          <t>SÖDERMANLANDS LÄN</t>
        </is>
      </c>
      <c r="G958" t="inlineStr">
        <is>
          <t>VINGÅKER</t>
        </is>
      </c>
      <c r="I958" t="n">
        <v>1.7</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12861-2022</t>
        </is>
      </c>
      <c r="B959" t="inlineStr">
        <is>
          <t>avverkningsanmälan</t>
        </is>
      </c>
      <c r="C959" t="inlineStr">
        <is>
          <t>Föryngringsavverkning</t>
        </is>
      </c>
      <c r="D959" s="1" t="n">
        <v>44642</v>
      </c>
      <c r="E959" s="1" t="n">
        <v>46313</v>
      </c>
      <c r="F959" t="inlineStr">
        <is>
          <t>SÖDERMANLANDS LÄN</t>
        </is>
      </c>
      <c r="G959" t="inlineStr">
        <is>
          <t>VINGÅKER</t>
        </is>
      </c>
      <c r="I959" t="n">
        <v>1.7</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9699-2024</t>
        </is>
      </c>
      <c r="B960" t="inlineStr">
        <is>
          <t>avverkningsanmälan</t>
        </is>
      </c>
      <c r="C960" t="inlineStr">
        <is>
          <t>Föryngringsavverkning</t>
        </is>
      </c>
      <c r="D960" s="1" t="n">
        <v>45362</v>
      </c>
      <c r="E960" s="1" t="n">
        <v>46313</v>
      </c>
      <c r="F960" t="inlineStr">
        <is>
          <t>SÖDERMANLANDS LÄN</t>
        </is>
      </c>
      <c r="G960" t="inlineStr">
        <is>
          <t>KATRINEHOLM</t>
        </is>
      </c>
      <c r="I960" t="n">
        <v>7.7</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59060-2022</t>
        </is>
      </c>
      <c r="B961" t="inlineStr">
        <is>
          <t>avverkningsanmälan</t>
        </is>
      </c>
      <c r="C961" t="inlineStr">
        <is>
          <t>Föryngringsavverkning</t>
        </is>
      </c>
      <c r="D961" s="1" t="n">
        <v>44904</v>
      </c>
      <c r="E961" s="1" t="n">
        <v>46313</v>
      </c>
      <c r="F961" t="inlineStr">
        <is>
          <t>SÖDERMANLANDS LÄN</t>
        </is>
      </c>
      <c r="G961" t="inlineStr">
        <is>
          <t>STRÄNGNÄS</t>
        </is>
      </c>
      <c r="I961" t="n">
        <v>3</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13839-2023</t>
        </is>
      </c>
      <c r="B962" t="inlineStr">
        <is>
          <t>avverkningsanmälan</t>
        </is>
      </c>
      <c r="C962" t="inlineStr">
        <is>
          <t>Föryngringsavverkning</t>
        </is>
      </c>
      <c r="D962" s="1" t="n">
        <v>45007</v>
      </c>
      <c r="E962" s="1" t="n">
        <v>46313</v>
      </c>
      <c r="F962" t="inlineStr">
        <is>
          <t>SÖDERMANLANDS LÄN</t>
        </is>
      </c>
      <c r="G962" t="inlineStr">
        <is>
          <t>TROSA</t>
        </is>
      </c>
      <c r="H962" t="inlineStr">
        <is>
          <t>Holmen skog AB</t>
        </is>
      </c>
      <c r="I962" t="n">
        <v>2.5</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69588-2021</t>
        </is>
      </c>
      <c r="B963" t="inlineStr">
        <is>
          <t>avverkningsanmälan</t>
        </is>
      </c>
      <c r="C963" t="inlineStr">
        <is>
          <t>Föryngringsavverkning</t>
        </is>
      </c>
      <c r="D963" s="1" t="n">
        <v>44531</v>
      </c>
      <c r="E963" s="1" t="n">
        <v>46313</v>
      </c>
      <c r="F963" t="inlineStr">
        <is>
          <t>SÖDERMANLANDS LÄN</t>
        </is>
      </c>
      <c r="G963" t="inlineStr">
        <is>
          <t>FLEN</t>
        </is>
      </c>
      <c r="I963" t="n">
        <v>1.1</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29397-2024</t>
        </is>
      </c>
      <c r="B964" t="inlineStr">
        <is>
          <t>avverkningsanmälan</t>
        </is>
      </c>
      <c r="C964" t="inlineStr">
        <is>
          <t>Föryngringsavverkning</t>
        </is>
      </c>
      <c r="D964" s="1" t="n">
        <v>45483</v>
      </c>
      <c r="E964" s="1" t="n">
        <v>46313</v>
      </c>
      <c r="F964" t="inlineStr">
        <is>
          <t>SÖDERMANLANDS LÄN</t>
        </is>
      </c>
      <c r="G964" t="inlineStr">
        <is>
          <t>KATRINEHOLM</t>
        </is>
      </c>
      <c r="I964" t="n">
        <v>3.4</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68500-2021</t>
        </is>
      </c>
      <c r="B965" t="inlineStr">
        <is>
          <t>avverkningsanmälan</t>
        </is>
      </c>
      <c r="C965" t="inlineStr">
        <is>
          <t>Föryngringsavverkning</t>
        </is>
      </c>
      <c r="D965" s="1" t="n">
        <v>44529</v>
      </c>
      <c r="E965" s="1" t="n">
        <v>46313</v>
      </c>
      <c r="F965" t="inlineStr">
        <is>
          <t>SÖDERMANLANDS LÄN</t>
        </is>
      </c>
      <c r="G965" t="inlineStr">
        <is>
          <t>NYKÖPING</t>
        </is>
      </c>
      <c r="H965" t="inlineStr">
        <is>
          <t>Övriga Aktiebolag</t>
        </is>
      </c>
      <c r="I965" t="n">
        <v>13.1</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2510-2022</t>
        </is>
      </c>
      <c r="B966" t="inlineStr">
        <is>
          <t>avverkningsanmälan</t>
        </is>
      </c>
      <c r="C966" t="inlineStr">
        <is>
          <t>Föryngringsavverkning</t>
        </is>
      </c>
      <c r="D966" s="1" t="n">
        <v>44579</v>
      </c>
      <c r="E966" s="1" t="n">
        <v>46313</v>
      </c>
      <c r="F966" t="inlineStr">
        <is>
          <t>SÖDERMANLANDS LÄN</t>
        </is>
      </c>
      <c r="G966" t="inlineStr">
        <is>
          <t>NYKÖPING</t>
        </is>
      </c>
      <c r="I966" t="n">
        <v>1.2</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33001-2024</t>
        </is>
      </c>
      <c r="B967" t="inlineStr">
        <is>
          <t>avverkningsanmälan</t>
        </is>
      </c>
      <c r="C967" t="inlineStr">
        <is>
          <t>Föryngringsavverkning</t>
        </is>
      </c>
      <c r="D967" s="1" t="n">
        <v>45517</v>
      </c>
      <c r="E967" s="1" t="n">
        <v>46313</v>
      </c>
      <c r="F967" t="inlineStr">
        <is>
          <t>SÖDERMANLANDS LÄN</t>
        </is>
      </c>
      <c r="G967" t="inlineStr">
        <is>
          <t>KATRINEHOLM</t>
        </is>
      </c>
      <c r="I967" t="n">
        <v>1.5</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6086-2022</t>
        </is>
      </c>
      <c r="B968" t="inlineStr">
        <is>
          <t>avverkningsanmälan</t>
        </is>
      </c>
      <c r="C968" t="inlineStr">
        <is>
          <t>Föryngringsavverkning</t>
        </is>
      </c>
      <c r="D968" s="1" t="n">
        <v>44599</v>
      </c>
      <c r="E968" s="1" t="n">
        <v>46313</v>
      </c>
      <c r="F968" t="inlineStr">
        <is>
          <t>SÖDERMANLANDS LÄN</t>
        </is>
      </c>
      <c r="G968" t="inlineStr">
        <is>
          <t>GNESTA</t>
        </is>
      </c>
      <c r="I968" t="n">
        <v>1</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6102-2022</t>
        </is>
      </c>
      <c r="B969" t="inlineStr">
        <is>
          <t>avverkningsanmälan</t>
        </is>
      </c>
      <c r="C969" t="inlineStr">
        <is>
          <t>Föryngringsavverkning</t>
        </is>
      </c>
      <c r="D969" s="1" t="n">
        <v>44599</v>
      </c>
      <c r="E969" s="1" t="n">
        <v>46313</v>
      </c>
      <c r="F969" t="inlineStr">
        <is>
          <t>SÖDERMANLANDS LÄN</t>
        </is>
      </c>
      <c r="G969" t="inlineStr">
        <is>
          <t>TROSA</t>
        </is>
      </c>
      <c r="I969" t="n">
        <v>3.7</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53897-2022</t>
        </is>
      </c>
      <c r="B970" t="inlineStr">
        <is>
          <t>avverkningsanmälan</t>
        </is>
      </c>
      <c r="C970" t="inlineStr">
        <is>
          <t>Föryngringsavverkning</t>
        </is>
      </c>
      <c r="D970" s="1" t="n">
        <v>44880</v>
      </c>
      <c r="E970" s="1" t="n">
        <v>46313</v>
      </c>
      <c r="F970" t="inlineStr">
        <is>
          <t>SÖDERMANLANDS LÄN</t>
        </is>
      </c>
      <c r="G970" t="inlineStr">
        <is>
          <t>STRÄNGNÄS</t>
        </is>
      </c>
      <c r="I970" t="n">
        <v>3.3</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48259-2022</t>
        </is>
      </c>
      <c r="B971" t="inlineStr">
        <is>
          <t>avverkningsanmälan</t>
        </is>
      </c>
      <c r="C971" t="inlineStr">
        <is>
          <t>Föryngringsavverkning</t>
        </is>
      </c>
      <c r="D971" s="1" t="n">
        <v>44858</v>
      </c>
      <c r="E971" s="1" t="n">
        <v>46313</v>
      </c>
      <c r="F971" t="inlineStr">
        <is>
          <t>SÖDERMANLANDS LÄN</t>
        </is>
      </c>
      <c r="G971" t="inlineStr">
        <is>
          <t>KATRINEHOLM</t>
        </is>
      </c>
      <c r="I971" t="n">
        <v>3.5</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42146-2022</t>
        </is>
      </c>
      <c r="B972" t="inlineStr">
        <is>
          <t>avverkningsanmälan</t>
        </is>
      </c>
      <c r="C972" t="inlineStr">
        <is>
          <t>Föryngringsavverkning</t>
        </is>
      </c>
      <c r="D972" s="1" t="n">
        <v>44830</v>
      </c>
      <c r="E972" s="1" t="n">
        <v>46313</v>
      </c>
      <c r="F972" t="inlineStr">
        <is>
          <t>SÖDERMANLANDS LÄN</t>
        </is>
      </c>
      <c r="G972" t="inlineStr">
        <is>
          <t>VINGÅKER</t>
        </is>
      </c>
      <c r="I972" t="n">
        <v>2.5</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64355-2023</t>
        </is>
      </c>
      <c r="B973" t="inlineStr">
        <is>
          <t>avverkningsanmälan</t>
        </is>
      </c>
      <c r="C973" t="inlineStr">
        <is>
          <t>Föryngringsavverkning</t>
        </is>
      </c>
      <c r="D973" s="1" t="n">
        <v>45280</v>
      </c>
      <c r="E973" s="1" t="n">
        <v>46313</v>
      </c>
      <c r="F973" t="inlineStr">
        <is>
          <t>SÖDERMANLANDS LÄN</t>
        </is>
      </c>
      <c r="G973" t="inlineStr">
        <is>
          <t>STRÄNGNÄS</t>
        </is>
      </c>
      <c r="I973" t="n">
        <v>5.9</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65869-2021</t>
        </is>
      </c>
      <c r="B974" t="inlineStr">
        <is>
          <t>avverkningsanmälan</t>
        </is>
      </c>
      <c r="C974" t="inlineStr">
        <is>
          <t>Föryngringsavverkning</t>
        </is>
      </c>
      <c r="D974" s="1" t="n">
        <v>44517</v>
      </c>
      <c r="E974" s="1" t="n">
        <v>46313</v>
      </c>
      <c r="F974" t="inlineStr">
        <is>
          <t>SÖDERMANLANDS LÄN</t>
        </is>
      </c>
      <c r="G974" t="inlineStr">
        <is>
          <t>FLEN</t>
        </is>
      </c>
      <c r="I974" t="n">
        <v>1</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35020-2023</t>
        </is>
      </c>
      <c r="B975" t="inlineStr">
        <is>
          <t>avverkningsanmälan</t>
        </is>
      </c>
      <c r="C975" t="inlineStr">
        <is>
          <t>Föryngringsavverkning</t>
        </is>
      </c>
      <c r="D975" s="1" t="n">
        <v>45143</v>
      </c>
      <c r="E975" s="1" t="n">
        <v>46313</v>
      </c>
      <c r="F975" t="inlineStr">
        <is>
          <t>SÖDERMANLANDS LÄN</t>
        </is>
      </c>
      <c r="G975" t="inlineStr">
        <is>
          <t>NYKÖPING</t>
        </is>
      </c>
      <c r="I975" t="n">
        <v>1.3</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12226-2024</t>
        </is>
      </c>
      <c r="B976" t="inlineStr">
        <is>
          <t>avverkningsanmälan</t>
        </is>
      </c>
      <c r="C976" t="inlineStr">
        <is>
          <t>Föryngringsavverkning</t>
        </is>
      </c>
      <c r="D976" s="1" t="n">
        <v>45378</v>
      </c>
      <c r="E976" s="1" t="n">
        <v>46313</v>
      </c>
      <c r="F976" t="inlineStr">
        <is>
          <t>SÖDERMANLANDS LÄN</t>
        </is>
      </c>
      <c r="G976" t="inlineStr">
        <is>
          <t>NYKÖPING</t>
        </is>
      </c>
      <c r="I976" t="n">
        <v>1.6</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43946-2022</t>
        </is>
      </c>
      <c r="B977" t="inlineStr">
        <is>
          <t>avverkningsanmälan</t>
        </is>
      </c>
      <c r="C977" t="inlineStr">
        <is>
          <t>Föryngringsavverkning</t>
        </is>
      </c>
      <c r="D977" s="1" t="n">
        <v>44838</v>
      </c>
      <c r="E977" s="1" t="n">
        <v>46313</v>
      </c>
      <c r="F977" t="inlineStr">
        <is>
          <t>SÖDERMANLANDS LÄN</t>
        </is>
      </c>
      <c r="G977" t="inlineStr">
        <is>
          <t>STRÄNGNÄS</t>
        </is>
      </c>
      <c r="I977" t="n">
        <v>2.1</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9913-2022</t>
        </is>
      </c>
      <c r="B978" t="inlineStr">
        <is>
          <t>avverkningsanmälan</t>
        </is>
      </c>
      <c r="C978" t="inlineStr">
        <is>
          <t>Föryngringsavverkning</t>
        </is>
      </c>
      <c r="D978" s="1" t="n">
        <v>44620</v>
      </c>
      <c r="E978" s="1" t="n">
        <v>46313</v>
      </c>
      <c r="F978" t="inlineStr">
        <is>
          <t>SÖDERMANLANDS LÄN</t>
        </is>
      </c>
      <c r="G978" t="inlineStr">
        <is>
          <t>NYKÖPING</t>
        </is>
      </c>
      <c r="I978" t="n">
        <v>3.1</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6807-2023</t>
        </is>
      </c>
      <c r="B979" t="inlineStr">
        <is>
          <t>avverkningsanmälan</t>
        </is>
      </c>
      <c r="C979" t="inlineStr">
        <is>
          <t>Föryngringsavverkning</t>
        </is>
      </c>
      <c r="D979" s="1" t="n">
        <v>44964</v>
      </c>
      <c r="E979" s="1" t="n">
        <v>46313</v>
      </c>
      <c r="F979" t="inlineStr">
        <is>
          <t>SÖDERMANLANDS LÄN</t>
        </is>
      </c>
      <c r="G979" t="inlineStr">
        <is>
          <t>KATRINEHOLM</t>
        </is>
      </c>
      <c r="I979" t="n">
        <v>1.2</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21137-2023</t>
        </is>
      </c>
      <c r="B980" t="inlineStr">
        <is>
          <t>avverkningsanmälan</t>
        </is>
      </c>
      <c r="C980" t="inlineStr">
        <is>
          <t>Föryngringsavverkning</t>
        </is>
      </c>
      <c r="D980" s="1" t="n">
        <v>45062</v>
      </c>
      <c r="E980" s="1" t="n">
        <v>46313</v>
      </c>
      <c r="F980" t="inlineStr">
        <is>
          <t>SÖDERMANLANDS LÄN</t>
        </is>
      </c>
      <c r="G980" t="inlineStr">
        <is>
          <t>NYKÖPING</t>
        </is>
      </c>
      <c r="I980" t="n">
        <v>0.4</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3187-2022</t>
        </is>
      </c>
      <c r="B981" t="inlineStr">
        <is>
          <t>avverkningsanmälan</t>
        </is>
      </c>
      <c r="C981" t="inlineStr">
        <is>
          <t>Föryngringsavverkning</t>
        </is>
      </c>
      <c r="D981" s="1" t="n">
        <v>44582</v>
      </c>
      <c r="E981" s="1" t="n">
        <v>46313</v>
      </c>
      <c r="F981" t="inlineStr">
        <is>
          <t>SÖDERMANLANDS LÄN</t>
        </is>
      </c>
      <c r="G981" t="inlineStr">
        <is>
          <t>NYKÖPING</t>
        </is>
      </c>
      <c r="I981" t="n">
        <v>0.6</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2468-2022</t>
        </is>
      </c>
      <c r="B982" t="inlineStr">
        <is>
          <t>avverkningsanmälan</t>
        </is>
      </c>
      <c r="C982" t="inlineStr">
        <is>
          <t>Föryngringsavverkning</t>
        </is>
      </c>
      <c r="D982" s="1" t="n">
        <v>44579</v>
      </c>
      <c r="E982" s="1" t="n">
        <v>46313</v>
      </c>
      <c r="F982" t="inlineStr">
        <is>
          <t>SÖDERMANLANDS LÄN</t>
        </is>
      </c>
      <c r="G982" t="inlineStr">
        <is>
          <t>STRÄNGNÄS</t>
        </is>
      </c>
      <c r="H982" t="inlineStr">
        <is>
          <t>Övriga Aktiebolag</t>
        </is>
      </c>
      <c r="I982" t="n">
        <v>1.5</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30276-2023</t>
        </is>
      </c>
      <c r="B983" t="inlineStr">
        <is>
          <t>avverkningsanmälan</t>
        </is>
      </c>
      <c r="C983" t="inlineStr">
        <is>
          <t>Föryngringsavverkning</t>
        </is>
      </c>
      <c r="D983" s="1" t="n">
        <v>45110</v>
      </c>
      <c r="E983" s="1" t="n">
        <v>46313</v>
      </c>
      <c r="F983" t="inlineStr">
        <is>
          <t>SÖDERMANLANDS LÄN</t>
        </is>
      </c>
      <c r="G983" t="inlineStr">
        <is>
          <t>KATRINEHOLM</t>
        </is>
      </c>
      <c r="I983" t="n">
        <v>2.3</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8392-2024</t>
        </is>
      </c>
      <c r="B984" t="inlineStr">
        <is>
          <t>avverkningsanmälan</t>
        </is>
      </c>
      <c r="C984" t="inlineStr">
        <is>
          <t>Föryngringsavverkning</t>
        </is>
      </c>
      <c r="D984" s="1" t="n">
        <v>45352</v>
      </c>
      <c r="E984" s="1" t="n">
        <v>46313</v>
      </c>
      <c r="F984" t="inlineStr">
        <is>
          <t>SÖDERMANLANDS LÄN</t>
        </is>
      </c>
      <c r="G984" t="inlineStr">
        <is>
          <t>NYKÖPING</t>
        </is>
      </c>
      <c r="H984" t="inlineStr">
        <is>
          <t>Kommuner</t>
        </is>
      </c>
      <c r="I984" t="n">
        <v>1.5</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43581-2022</t>
        </is>
      </c>
      <c r="B985" t="inlineStr">
        <is>
          <t>avverkningsanmälan</t>
        </is>
      </c>
      <c r="C985" t="inlineStr">
        <is>
          <t>Föryngringsavverkning</t>
        </is>
      </c>
      <c r="D985" s="1" t="n">
        <v>44837</v>
      </c>
      <c r="E985" s="1" t="n">
        <v>46313</v>
      </c>
      <c r="F985" t="inlineStr">
        <is>
          <t>SÖDERMANLANDS LÄN</t>
        </is>
      </c>
      <c r="G985" t="inlineStr">
        <is>
          <t>NYKÖPING</t>
        </is>
      </c>
      <c r="I985" t="n">
        <v>7.8</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26282-2023</t>
        </is>
      </c>
      <c r="B986" t="inlineStr">
        <is>
          <t>avverkningsanmälan</t>
        </is>
      </c>
      <c r="C986" t="inlineStr">
        <is>
          <t>Föryngringsavverkning</t>
        </is>
      </c>
      <c r="D986" s="1" t="n">
        <v>45091</v>
      </c>
      <c r="E986" s="1" t="n">
        <v>46313</v>
      </c>
      <c r="F986" t="inlineStr">
        <is>
          <t>SÖDERMANLANDS LÄN</t>
        </is>
      </c>
      <c r="G986" t="inlineStr">
        <is>
          <t>STRÄNGNÄS</t>
        </is>
      </c>
      <c r="I986" t="n">
        <v>1.1</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24179-2024</t>
        </is>
      </c>
      <c r="B987" t="inlineStr">
        <is>
          <t>avverkningsanmälan</t>
        </is>
      </c>
      <c r="C987" t="inlineStr">
        <is>
          <t>Föryngringsavverkning</t>
        </is>
      </c>
      <c r="D987" s="1" t="n">
        <v>45456</v>
      </c>
      <c r="E987" s="1" t="n">
        <v>46313</v>
      </c>
      <c r="F987" t="inlineStr">
        <is>
          <t>SÖDERMANLANDS LÄN</t>
        </is>
      </c>
      <c r="G987" t="inlineStr">
        <is>
          <t>KATRINEHOLM</t>
        </is>
      </c>
      <c r="I987" t="n">
        <v>1.3</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29750-2022</t>
        </is>
      </c>
      <c r="B988" t="inlineStr">
        <is>
          <t>avverkningsanmälan</t>
        </is>
      </c>
      <c r="C988" t="inlineStr">
        <is>
          <t>Föryngringsavverkning</t>
        </is>
      </c>
      <c r="D988" s="1" t="n">
        <v>44755</v>
      </c>
      <c r="E988" s="1" t="n">
        <v>46313</v>
      </c>
      <c r="F988" t="inlineStr">
        <is>
          <t>SÖDERMANLANDS LÄN</t>
        </is>
      </c>
      <c r="G988" t="inlineStr">
        <is>
          <t>ESKILSTUNA</t>
        </is>
      </c>
      <c r="I988" t="n">
        <v>20.1</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55785-2022</t>
        </is>
      </c>
      <c r="B989" t="inlineStr">
        <is>
          <t>avverkningsanmälan</t>
        </is>
      </c>
      <c r="C989" t="inlineStr">
        <is>
          <t>Föryngringsavverkning</t>
        </is>
      </c>
      <c r="D989" s="1" t="n">
        <v>44886</v>
      </c>
      <c r="E989" s="1" t="n">
        <v>46313</v>
      </c>
      <c r="F989" t="inlineStr">
        <is>
          <t>SÖDERMANLANDS LÄN</t>
        </is>
      </c>
      <c r="G989" t="inlineStr">
        <is>
          <t>ESKILSTUNA</t>
        </is>
      </c>
      <c r="I989" t="n">
        <v>5.6</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42791-2023</t>
        </is>
      </c>
      <c r="B990" t="inlineStr">
        <is>
          <t>avverkningsanmälan</t>
        </is>
      </c>
      <c r="C990" t="inlineStr">
        <is>
          <t>Föryngringsavverkning</t>
        </is>
      </c>
      <c r="D990" s="1" t="n">
        <v>45181</v>
      </c>
      <c r="E990" s="1" t="n">
        <v>46313</v>
      </c>
      <c r="F990" t="inlineStr">
        <is>
          <t>SÖDERMANLANDS LÄN</t>
        </is>
      </c>
      <c r="G990" t="inlineStr">
        <is>
          <t>KATRINEHOLM</t>
        </is>
      </c>
      <c r="I990" t="n">
        <v>4.1</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42792-2023</t>
        </is>
      </c>
      <c r="B991" t="inlineStr">
        <is>
          <t>avverkningsanmälan</t>
        </is>
      </c>
      <c r="C991" t="inlineStr">
        <is>
          <t>Föryngringsavverkning</t>
        </is>
      </c>
      <c r="D991" s="1" t="n">
        <v>45181</v>
      </c>
      <c r="E991" s="1" t="n">
        <v>46313</v>
      </c>
      <c r="F991" t="inlineStr">
        <is>
          <t>SÖDERMANLANDS LÄN</t>
        </is>
      </c>
      <c r="G991" t="inlineStr">
        <is>
          <t>KATRINEHOLM</t>
        </is>
      </c>
      <c r="I991" t="n">
        <v>1.3</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42806-2023</t>
        </is>
      </c>
      <c r="B992" t="inlineStr">
        <is>
          <t>avverkningsanmälan</t>
        </is>
      </c>
      <c r="C992" t="inlineStr">
        <is>
          <t>Föryngringsavverkning</t>
        </is>
      </c>
      <c r="D992" s="1" t="n">
        <v>45182</v>
      </c>
      <c r="E992" s="1" t="n">
        <v>46313</v>
      </c>
      <c r="F992" t="inlineStr">
        <is>
          <t>SÖDERMANLANDS LÄN</t>
        </is>
      </c>
      <c r="G992" t="inlineStr">
        <is>
          <t>STRÄNGNÄS</t>
        </is>
      </c>
      <c r="I992" t="n">
        <v>4.7</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32786-2022</t>
        </is>
      </c>
      <c r="B993" t="inlineStr">
        <is>
          <t>avverkningsanmälan</t>
        </is>
      </c>
      <c r="C993" t="inlineStr">
        <is>
          <t>Föryngringsavverkning</t>
        </is>
      </c>
      <c r="D993" s="1" t="n">
        <v>44784</v>
      </c>
      <c r="E993" s="1" t="n">
        <v>46313</v>
      </c>
      <c r="F993" t="inlineStr">
        <is>
          <t>SÖDERMANLANDS LÄN</t>
        </is>
      </c>
      <c r="G993" t="inlineStr">
        <is>
          <t>KATRINEHOLM</t>
        </is>
      </c>
      <c r="I993" t="n">
        <v>7</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15963-2022</t>
        </is>
      </c>
      <c r="B994" t="inlineStr">
        <is>
          <t>avverkningsanmälan</t>
        </is>
      </c>
      <c r="C994" t="inlineStr">
        <is>
          <t>Föryngringsavverkning</t>
        </is>
      </c>
      <c r="D994" s="1" t="n">
        <v>44664</v>
      </c>
      <c r="E994" s="1" t="n">
        <v>46313</v>
      </c>
      <c r="F994" t="inlineStr">
        <is>
          <t>SÖDERMANLANDS LÄN</t>
        </is>
      </c>
      <c r="G994" t="inlineStr">
        <is>
          <t>ESKILSTUNA</t>
        </is>
      </c>
      <c r="H994" t="inlineStr">
        <is>
          <t>Allmännings- och besparingsskogar</t>
        </is>
      </c>
      <c r="I994" t="n">
        <v>6.7</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45930-2022</t>
        </is>
      </c>
      <c r="B995" t="inlineStr">
        <is>
          <t>avverkningsanmälan</t>
        </is>
      </c>
      <c r="C995" t="inlineStr">
        <is>
          <t>Föryngringsavverkning</t>
        </is>
      </c>
      <c r="D995" s="1" t="n">
        <v>44846</v>
      </c>
      <c r="E995" s="1" t="n">
        <v>46313</v>
      </c>
      <c r="F995" t="inlineStr">
        <is>
          <t>SÖDERMANLANDS LÄN</t>
        </is>
      </c>
      <c r="G995" t="inlineStr">
        <is>
          <t>NYKÖPING</t>
        </is>
      </c>
      <c r="I995" t="n">
        <v>1.8</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10867-2023</t>
        </is>
      </c>
      <c r="B996" t="inlineStr">
        <is>
          <t>avverkningsanmälan</t>
        </is>
      </c>
      <c r="C996" t="inlineStr">
        <is>
          <t>Föryngringsavverkning</t>
        </is>
      </c>
      <c r="D996" s="1" t="n">
        <v>44991</v>
      </c>
      <c r="E996" s="1" t="n">
        <v>46313</v>
      </c>
      <c r="F996" t="inlineStr">
        <is>
          <t>SÖDERMANLANDS LÄN</t>
        </is>
      </c>
      <c r="G996" t="inlineStr">
        <is>
          <t>STRÄNGNÄS</t>
        </is>
      </c>
      <c r="I996" t="n">
        <v>1.3</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21126-2023</t>
        </is>
      </c>
      <c r="B997" t="inlineStr">
        <is>
          <t>avverkningsanmälan</t>
        </is>
      </c>
      <c r="C997" t="inlineStr">
        <is>
          <t>Föryngringsavverkning</t>
        </is>
      </c>
      <c r="D997" s="1" t="n">
        <v>45057</v>
      </c>
      <c r="E997" s="1" t="n">
        <v>46313</v>
      </c>
      <c r="F997" t="inlineStr">
        <is>
          <t>SÖDERMANLANDS LÄN</t>
        </is>
      </c>
      <c r="G997" t="inlineStr">
        <is>
          <t>STRÄNGNÄS</t>
        </is>
      </c>
      <c r="I997" t="n">
        <v>2.4</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42025-2022</t>
        </is>
      </c>
      <c r="B998" t="inlineStr">
        <is>
          <t>avverkningsanmälan</t>
        </is>
      </c>
      <c r="C998" t="inlineStr">
        <is>
          <t>Föryngringsavverkning</t>
        </is>
      </c>
      <c r="D998" s="1" t="n">
        <v>44830</v>
      </c>
      <c r="E998" s="1" t="n">
        <v>46313</v>
      </c>
      <c r="F998" t="inlineStr">
        <is>
          <t>SÖDERMANLANDS LÄN</t>
        </is>
      </c>
      <c r="G998" t="inlineStr">
        <is>
          <t>KATRINEHOLM</t>
        </is>
      </c>
      <c r="I998" t="n">
        <v>1.5</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7459-2022</t>
        </is>
      </c>
      <c r="B999" t="inlineStr">
        <is>
          <t>avverkningsanmälan</t>
        </is>
      </c>
      <c r="C999" t="inlineStr">
        <is>
          <t>Föryngringsavverkning</t>
        </is>
      </c>
      <c r="D999" s="1" t="n">
        <v>44607</v>
      </c>
      <c r="E999" s="1" t="n">
        <v>46313</v>
      </c>
      <c r="F999" t="inlineStr">
        <is>
          <t>SÖDERMANLANDS LÄN</t>
        </is>
      </c>
      <c r="G999" t="inlineStr">
        <is>
          <t>KATRINEHOLM</t>
        </is>
      </c>
      <c r="I999" t="n">
        <v>2</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3138-2023</t>
        </is>
      </c>
      <c r="B1000" t="inlineStr">
        <is>
          <t>avverkningsanmälan</t>
        </is>
      </c>
      <c r="C1000" t="inlineStr">
        <is>
          <t>Föryngringsavverkning</t>
        </is>
      </c>
      <c r="D1000" s="1" t="n">
        <v>44946</v>
      </c>
      <c r="E1000" s="1" t="n">
        <v>46313</v>
      </c>
      <c r="F1000" t="inlineStr">
        <is>
          <t>SÖDERMANLANDS LÄN</t>
        </is>
      </c>
      <c r="G1000" t="inlineStr">
        <is>
          <t>ESKILSTUNA</t>
        </is>
      </c>
      <c r="I1000" t="n">
        <v>1.6</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11718-2023</t>
        </is>
      </c>
      <c r="B1001" t="inlineStr">
        <is>
          <t>avverkningsanmälan</t>
        </is>
      </c>
      <c r="C1001" t="inlineStr">
        <is>
          <t>Föryngringsavverkning</t>
        </is>
      </c>
      <c r="D1001" s="1" t="n">
        <v>44992</v>
      </c>
      <c r="E1001" s="1" t="n">
        <v>46313</v>
      </c>
      <c r="F1001" t="inlineStr">
        <is>
          <t>SÖDERMANLANDS LÄN</t>
        </is>
      </c>
      <c r="G1001" t="inlineStr">
        <is>
          <t>NYKÖPING</t>
        </is>
      </c>
      <c r="I1001" t="n">
        <v>1.6</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13385-2023</t>
        </is>
      </c>
      <c r="B1002" t="inlineStr">
        <is>
          <t>avverkningsanmälan</t>
        </is>
      </c>
      <c r="C1002" t="inlineStr">
        <is>
          <t>Föryngringsavverkning</t>
        </is>
      </c>
      <c r="D1002" s="1" t="n">
        <v>45005</v>
      </c>
      <c r="E1002" s="1" t="n">
        <v>46313</v>
      </c>
      <c r="F1002" t="inlineStr">
        <is>
          <t>SÖDERMANLANDS LÄN</t>
        </is>
      </c>
      <c r="G1002" t="inlineStr">
        <is>
          <t>ESKILSTUNA</t>
        </is>
      </c>
      <c r="I1002" t="n">
        <v>7.1</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47138-2023</t>
        </is>
      </c>
      <c r="B1003" t="inlineStr">
        <is>
          <t>avverkningsanmälan</t>
        </is>
      </c>
      <c r="C1003" t="inlineStr">
        <is>
          <t>Föryngringsavverkning</t>
        </is>
      </c>
      <c r="D1003" s="1" t="n">
        <v>45201</v>
      </c>
      <c r="E1003" s="1" t="n">
        <v>46313</v>
      </c>
      <c r="F1003" t="inlineStr">
        <is>
          <t>SÖDERMANLANDS LÄN</t>
        </is>
      </c>
      <c r="G1003" t="inlineStr">
        <is>
          <t>NYKÖPING</t>
        </is>
      </c>
      <c r="I1003" t="n">
        <v>7.3</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60298-2022</t>
        </is>
      </c>
      <c r="B1004" t="inlineStr">
        <is>
          <t>avverkningsanmälan</t>
        </is>
      </c>
      <c r="C1004" t="inlineStr">
        <is>
          <t>Föryngringsavverkning</t>
        </is>
      </c>
      <c r="D1004" s="1" t="n">
        <v>44910</v>
      </c>
      <c r="E1004" s="1" t="n">
        <v>46313</v>
      </c>
      <c r="F1004" t="inlineStr">
        <is>
          <t>SÖDERMANLANDS LÄN</t>
        </is>
      </c>
      <c r="G1004" t="inlineStr">
        <is>
          <t>VINGÅKER</t>
        </is>
      </c>
      <c r="I1004" t="n">
        <v>0.7</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61896-2022</t>
        </is>
      </c>
      <c r="B1005" t="inlineStr">
        <is>
          <t>avverkningsanmälan</t>
        </is>
      </c>
      <c r="C1005" t="inlineStr">
        <is>
          <t>Föryngringsavverkning</t>
        </is>
      </c>
      <c r="D1005" s="1" t="n">
        <v>44917</v>
      </c>
      <c r="E1005" s="1" t="n">
        <v>46313</v>
      </c>
      <c r="F1005" t="inlineStr">
        <is>
          <t>SÖDERMANLANDS LÄN</t>
        </is>
      </c>
      <c r="G1005" t="inlineStr">
        <is>
          <t>GNESTA</t>
        </is>
      </c>
      <c r="H1005" t="inlineStr">
        <is>
          <t>Kommuner</t>
        </is>
      </c>
      <c r="I1005" t="n">
        <v>1.8</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13658-2023</t>
        </is>
      </c>
      <c r="B1006" t="inlineStr">
        <is>
          <t>avverkningsanmälan</t>
        </is>
      </c>
      <c r="C1006" t="inlineStr">
        <is>
          <t>Föryngringsavverkning</t>
        </is>
      </c>
      <c r="D1006" s="1" t="n">
        <v>45006</v>
      </c>
      <c r="E1006" s="1" t="n">
        <v>46313</v>
      </c>
      <c r="F1006" t="inlineStr">
        <is>
          <t>SÖDERMANLANDS LÄN</t>
        </is>
      </c>
      <c r="G1006" t="inlineStr">
        <is>
          <t>KATRINEHOLM</t>
        </is>
      </c>
      <c r="H1006" t="inlineStr">
        <is>
          <t>Kyrkan</t>
        </is>
      </c>
      <c r="I1006" t="n">
        <v>24.3</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62016-2022</t>
        </is>
      </c>
      <c r="B1007" t="inlineStr">
        <is>
          <t>avverkningsanmälan</t>
        </is>
      </c>
      <c r="C1007" t="inlineStr">
        <is>
          <t>Föryngringsavverkning</t>
        </is>
      </c>
      <c r="D1007" s="1" t="n">
        <v>44918</v>
      </c>
      <c r="E1007" s="1" t="n">
        <v>46313</v>
      </c>
      <c r="F1007" t="inlineStr">
        <is>
          <t>SÖDERMANLANDS LÄN</t>
        </is>
      </c>
      <c r="G1007" t="inlineStr">
        <is>
          <t>GNESTA</t>
        </is>
      </c>
      <c r="H1007" t="inlineStr">
        <is>
          <t>Kommuner</t>
        </is>
      </c>
      <c r="I1007" t="n">
        <v>3.6</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60117-2023</t>
        </is>
      </c>
      <c r="B1008" t="inlineStr">
        <is>
          <t>avverkningsanmälan</t>
        </is>
      </c>
      <c r="C1008" t="inlineStr">
        <is>
          <t>Föryngringsavverkning</t>
        </is>
      </c>
      <c r="D1008" s="1" t="n">
        <v>45258</v>
      </c>
      <c r="E1008" s="1" t="n">
        <v>46313</v>
      </c>
      <c r="F1008" t="inlineStr">
        <is>
          <t>SÖDERMANLANDS LÄN</t>
        </is>
      </c>
      <c r="G1008" t="inlineStr">
        <is>
          <t>NYKÖPING</t>
        </is>
      </c>
      <c r="H1008" t="inlineStr">
        <is>
          <t>Övriga Aktiebolag</t>
        </is>
      </c>
      <c r="I1008" t="n">
        <v>1.1</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30911-2022</t>
        </is>
      </c>
      <c r="B1009" t="inlineStr">
        <is>
          <t>avverkningsanmälan</t>
        </is>
      </c>
      <c r="C1009" t="inlineStr">
        <is>
          <t>Föryngringsavverkning</t>
        </is>
      </c>
      <c r="D1009" s="1" t="n">
        <v>44767</v>
      </c>
      <c r="E1009" s="1" t="n">
        <v>46313</v>
      </c>
      <c r="F1009" t="inlineStr">
        <is>
          <t>SÖDERMANLANDS LÄN</t>
        </is>
      </c>
      <c r="G1009" t="inlineStr">
        <is>
          <t>GNESTA</t>
        </is>
      </c>
      <c r="I1009" t="n">
        <v>3.4</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4854-2023</t>
        </is>
      </c>
      <c r="B1010" t="inlineStr">
        <is>
          <t>avverkningsanmälan</t>
        </is>
      </c>
      <c r="C1010" t="inlineStr">
        <is>
          <t>Föryngringsavverkning</t>
        </is>
      </c>
      <c r="D1010" s="1" t="n">
        <v>44957</v>
      </c>
      <c r="E1010" s="1" t="n">
        <v>46313</v>
      </c>
      <c r="F1010" t="inlineStr">
        <is>
          <t>SÖDERMANLANDS LÄN</t>
        </is>
      </c>
      <c r="G1010" t="inlineStr">
        <is>
          <t>NYKÖPING</t>
        </is>
      </c>
      <c r="I1010" t="n">
        <v>0.8</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61989-2023</t>
        </is>
      </c>
      <c r="B1011" t="inlineStr">
        <is>
          <t>avverkningsanmälan</t>
        </is>
      </c>
      <c r="C1011" t="inlineStr">
        <is>
          <t>Föryngringsavverkning</t>
        </is>
      </c>
      <c r="D1011" s="1" t="n">
        <v>45266</v>
      </c>
      <c r="E1011" s="1" t="n">
        <v>46313</v>
      </c>
      <c r="F1011" t="inlineStr">
        <is>
          <t>SÖDERMANLANDS LÄN</t>
        </is>
      </c>
      <c r="G1011" t="inlineStr">
        <is>
          <t>ESKILSTUNA</t>
        </is>
      </c>
      <c r="I1011" t="n">
        <v>2.1</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44191-2022</t>
        </is>
      </c>
      <c r="B1012" t="inlineStr">
        <is>
          <t>avverkningsanmälan</t>
        </is>
      </c>
      <c r="C1012" t="inlineStr">
        <is>
          <t>Föryngringsavverkning</t>
        </is>
      </c>
      <c r="D1012" s="1" t="n">
        <v>44839</v>
      </c>
      <c r="E1012" s="1" t="n">
        <v>46313</v>
      </c>
      <c r="F1012" t="inlineStr">
        <is>
          <t>SÖDERMANLANDS LÄN</t>
        </is>
      </c>
      <c r="G1012" t="inlineStr">
        <is>
          <t>NYKÖPING</t>
        </is>
      </c>
      <c r="I1012" t="n">
        <v>4</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1945-2025</t>
        </is>
      </c>
      <c r="B1013" t="inlineStr">
        <is>
          <t>avverkningsanmälan</t>
        </is>
      </c>
      <c r="C1013" t="inlineStr">
        <is>
          <t>Föryngringsavverkning</t>
        </is>
      </c>
      <c r="D1013" s="1" t="n">
        <v>45672</v>
      </c>
      <c r="E1013" s="1" t="n">
        <v>46313</v>
      </c>
      <c r="F1013" t="inlineStr">
        <is>
          <t>SÖDERMANLANDS LÄN</t>
        </is>
      </c>
      <c r="G1013" t="inlineStr">
        <is>
          <t>NYKÖPING</t>
        </is>
      </c>
      <c r="I1013" t="n">
        <v>2.7</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17897-2024</t>
        </is>
      </c>
      <c r="B1014" t="inlineStr">
        <is>
          <t>avverkningsanmälan</t>
        </is>
      </c>
      <c r="C1014" t="inlineStr">
        <is>
          <t>Föryngringsavverkning</t>
        </is>
      </c>
      <c r="D1014" s="1" t="n">
        <v>45419</v>
      </c>
      <c r="E1014" s="1" t="n">
        <v>46313</v>
      </c>
      <c r="F1014" t="inlineStr">
        <is>
          <t>SÖDERMANLANDS LÄN</t>
        </is>
      </c>
      <c r="G1014" t="inlineStr">
        <is>
          <t>NYKÖPING</t>
        </is>
      </c>
      <c r="I1014" t="n">
        <v>1.1</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17691-2023</t>
        </is>
      </c>
      <c r="B1015" t="inlineStr">
        <is>
          <t>avverkningsanmälan</t>
        </is>
      </c>
      <c r="C1015" t="inlineStr">
        <is>
          <t>Föryngringsavverkning</t>
        </is>
      </c>
      <c r="D1015" s="1" t="n">
        <v>45037</v>
      </c>
      <c r="E1015" s="1" t="n">
        <v>46313</v>
      </c>
      <c r="F1015" t="inlineStr">
        <is>
          <t>SÖDERMANLANDS LÄN</t>
        </is>
      </c>
      <c r="G1015" t="inlineStr">
        <is>
          <t>NYKÖPING</t>
        </is>
      </c>
      <c r="H1015" t="inlineStr">
        <is>
          <t>Sveaskog</t>
        </is>
      </c>
      <c r="I1015" t="n">
        <v>2.4</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17900-2024</t>
        </is>
      </c>
      <c r="B1016" t="inlineStr">
        <is>
          <t>avverkningsanmälan</t>
        </is>
      </c>
      <c r="C1016" t="inlineStr">
        <is>
          <t>Föryngringsavverkning</t>
        </is>
      </c>
      <c r="D1016" s="1" t="n">
        <v>45419</v>
      </c>
      <c r="E1016" s="1" t="n">
        <v>46313</v>
      </c>
      <c r="F1016" t="inlineStr">
        <is>
          <t>SÖDERMANLANDS LÄN</t>
        </is>
      </c>
      <c r="G1016" t="inlineStr">
        <is>
          <t>NYKÖPING</t>
        </is>
      </c>
      <c r="I1016" t="n">
        <v>2.8</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10110-2023</t>
        </is>
      </c>
      <c r="B1017" t="inlineStr">
        <is>
          <t>avverkningsanmälan</t>
        </is>
      </c>
      <c r="C1017" t="inlineStr">
        <is>
          <t>Föryngringsavverkning</t>
        </is>
      </c>
      <c r="D1017" s="1" t="n">
        <v>44986</v>
      </c>
      <c r="E1017" s="1" t="n">
        <v>46313</v>
      </c>
      <c r="F1017" t="inlineStr">
        <is>
          <t>SÖDERMANLANDS LÄN</t>
        </is>
      </c>
      <c r="G1017" t="inlineStr">
        <is>
          <t>FLEN</t>
        </is>
      </c>
      <c r="I1017" t="n">
        <v>1.1</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60937-2022</t>
        </is>
      </c>
      <c r="B1018" t="inlineStr">
        <is>
          <t>avverkningsanmälan</t>
        </is>
      </c>
      <c r="C1018" t="inlineStr">
        <is>
          <t>Föryngringsavverkning</t>
        </is>
      </c>
      <c r="D1018" s="1" t="n">
        <v>44914</v>
      </c>
      <c r="E1018" s="1" t="n">
        <v>46313</v>
      </c>
      <c r="F1018" t="inlineStr">
        <is>
          <t>SÖDERMANLANDS LÄN</t>
        </is>
      </c>
      <c r="G1018" t="inlineStr">
        <is>
          <t>FLEN</t>
        </is>
      </c>
      <c r="I1018" t="n">
        <v>0.7</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8465-2023</t>
        </is>
      </c>
      <c r="B1019" t="inlineStr">
        <is>
          <t>avverkningsanmälan</t>
        </is>
      </c>
      <c r="C1019" t="inlineStr">
        <is>
          <t>Föryngringsavverkning</t>
        </is>
      </c>
      <c r="D1019" s="1" t="n">
        <v>44977</v>
      </c>
      <c r="E1019" s="1" t="n">
        <v>46313</v>
      </c>
      <c r="F1019" t="inlineStr">
        <is>
          <t>SÖDERMANLANDS LÄN</t>
        </is>
      </c>
      <c r="G1019" t="inlineStr">
        <is>
          <t>VINGÅKER</t>
        </is>
      </c>
      <c r="I1019" t="n">
        <v>3.2</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32890-2024</t>
        </is>
      </c>
      <c r="B1020" t="inlineStr">
        <is>
          <t>avverkningsanmälan</t>
        </is>
      </c>
      <c r="C1020" t="inlineStr">
        <is>
          <t>Föryngringsavverkning</t>
        </is>
      </c>
      <c r="D1020" s="1" t="n">
        <v>45516</v>
      </c>
      <c r="E1020" s="1" t="n">
        <v>46313</v>
      </c>
      <c r="F1020" t="inlineStr">
        <is>
          <t>SÖDERMANLANDS LÄN</t>
        </is>
      </c>
      <c r="G1020" t="inlineStr">
        <is>
          <t>KATRINEHOLM</t>
        </is>
      </c>
      <c r="I1020" t="n">
        <v>2.6</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55800-2022</t>
        </is>
      </c>
      <c r="B1021" t="inlineStr">
        <is>
          <t>avverkningsanmälan</t>
        </is>
      </c>
      <c r="C1021" t="inlineStr">
        <is>
          <t>Föryngringsavverkning</t>
        </is>
      </c>
      <c r="D1021" s="1" t="n">
        <v>44888</v>
      </c>
      <c r="E1021" s="1" t="n">
        <v>46313</v>
      </c>
      <c r="F1021" t="inlineStr">
        <is>
          <t>SÖDERMANLANDS LÄN</t>
        </is>
      </c>
      <c r="G1021" t="inlineStr">
        <is>
          <t>ESKILSTUNA</t>
        </is>
      </c>
      <c r="I1021" t="n">
        <v>0.9</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39704-2023</t>
        </is>
      </c>
      <c r="B1022" t="inlineStr">
        <is>
          <t>avverkningsanmälan</t>
        </is>
      </c>
      <c r="C1022" t="inlineStr">
        <is>
          <t>Föryngringsavverkning</t>
        </is>
      </c>
      <c r="D1022" s="1" t="n">
        <v>45167</v>
      </c>
      <c r="E1022" s="1" t="n">
        <v>46313</v>
      </c>
      <c r="F1022" t="inlineStr">
        <is>
          <t>SÖDERMANLANDS LÄN</t>
        </is>
      </c>
      <c r="G1022" t="inlineStr">
        <is>
          <t>KATRINEHOLM</t>
        </is>
      </c>
      <c r="H1022" t="inlineStr">
        <is>
          <t>Övriga Aktiebolag</t>
        </is>
      </c>
      <c r="I1022" t="n">
        <v>3.4</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18941-2023</t>
        </is>
      </c>
      <c r="B1023" t="inlineStr">
        <is>
          <t>avverkningsanmälan</t>
        </is>
      </c>
      <c r="C1023" t="inlineStr">
        <is>
          <t>Föryngringsavverkning</t>
        </is>
      </c>
      <c r="D1023" s="1" t="n">
        <v>45044</v>
      </c>
      <c r="E1023" s="1" t="n">
        <v>46313</v>
      </c>
      <c r="F1023" t="inlineStr">
        <is>
          <t>SÖDERMANLANDS LÄN</t>
        </is>
      </c>
      <c r="G1023" t="inlineStr">
        <is>
          <t>NYKÖPING</t>
        </is>
      </c>
      <c r="I1023" t="n">
        <v>0.9</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62428-2023</t>
        </is>
      </c>
      <c r="B1024" t="inlineStr">
        <is>
          <t>avverkningsanmälan</t>
        </is>
      </c>
      <c r="C1024" t="inlineStr">
        <is>
          <t>Föryngringsavverkning</t>
        </is>
      </c>
      <c r="D1024" s="1" t="n">
        <v>45268</v>
      </c>
      <c r="E1024" s="1" t="n">
        <v>46313</v>
      </c>
      <c r="F1024" t="inlineStr">
        <is>
          <t>SÖDERMANLANDS LÄN</t>
        </is>
      </c>
      <c r="G1024" t="inlineStr">
        <is>
          <t>GNESTA</t>
        </is>
      </c>
      <c r="I1024" t="n">
        <v>0.7</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14326-2023</t>
        </is>
      </c>
      <c r="B1025" t="inlineStr">
        <is>
          <t>avverkningsanmälan</t>
        </is>
      </c>
      <c r="C1025" t="inlineStr">
        <is>
          <t>Föryngringsavverkning</t>
        </is>
      </c>
      <c r="D1025" s="1" t="n">
        <v>45012</v>
      </c>
      <c r="E1025" s="1" t="n">
        <v>46313</v>
      </c>
      <c r="F1025" t="inlineStr">
        <is>
          <t>SÖDERMANLANDS LÄN</t>
        </is>
      </c>
      <c r="G1025" t="inlineStr">
        <is>
          <t>ESKILSTUNA</t>
        </is>
      </c>
      <c r="H1025" t="inlineStr">
        <is>
          <t>Kommuner</t>
        </is>
      </c>
      <c r="I1025" t="n">
        <v>3.7</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24748-2024</t>
        </is>
      </c>
      <c r="B1026" t="inlineStr">
        <is>
          <t>avverkningsanmälan</t>
        </is>
      </c>
      <c r="C1026" t="inlineStr">
        <is>
          <t>Föryngringsavverkning</t>
        </is>
      </c>
      <c r="D1026" s="1" t="n">
        <v>45460</v>
      </c>
      <c r="E1026" s="1" t="n">
        <v>46313</v>
      </c>
      <c r="F1026" t="inlineStr">
        <is>
          <t>SÖDERMANLANDS LÄN</t>
        </is>
      </c>
      <c r="G1026" t="inlineStr">
        <is>
          <t>KATRINEHOLM</t>
        </is>
      </c>
      <c r="I1026" t="n">
        <v>3.3</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18508-2024</t>
        </is>
      </c>
      <c r="B1027" t="inlineStr">
        <is>
          <t>avverkningsanmälan</t>
        </is>
      </c>
      <c r="C1027" t="inlineStr">
        <is>
          <t>Föryngringsavverkning</t>
        </is>
      </c>
      <c r="D1027" s="1" t="n">
        <v>45425</v>
      </c>
      <c r="E1027" s="1" t="n">
        <v>46313</v>
      </c>
      <c r="F1027" t="inlineStr">
        <is>
          <t>SÖDERMANLANDS LÄN</t>
        </is>
      </c>
      <c r="G1027" t="inlineStr">
        <is>
          <t>STRÄNGNÄS</t>
        </is>
      </c>
      <c r="I1027" t="n">
        <v>4.7</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38075-2024</t>
        </is>
      </c>
      <c r="B1028" t="inlineStr">
        <is>
          <t>avverkningsanmälan</t>
        </is>
      </c>
      <c r="C1028" t="inlineStr">
        <is>
          <t>Föryngringsavverkning</t>
        </is>
      </c>
      <c r="D1028" s="1" t="n">
        <v>45544</v>
      </c>
      <c r="E1028" s="1" t="n">
        <v>46313</v>
      </c>
      <c r="F1028" t="inlineStr">
        <is>
          <t>SÖDERMANLANDS LÄN</t>
        </is>
      </c>
      <c r="G1028" t="inlineStr">
        <is>
          <t>ESKILSTUNA</t>
        </is>
      </c>
      <c r="I1028" t="n">
        <v>2.4</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15592-2023</t>
        </is>
      </c>
      <c r="B1029" t="inlineStr">
        <is>
          <t>avverkningsanmälan</t>
        </is>
      </c>
      <c r="C1029" t="inlineStr">
        <is>
          <t>Avverkning för annat ändamål</t>
        </is>
      </c>
      <c r="D1029" s="1" t="n">
        <v>45020</v>
      </c>
      <c r="E1029" s="1" t="n">
        <v>46313</v>
      </c>
      <c r="F1029" t="inlineStr">
        <is>
          <t>SÖDERMANLANDS LÄN</t>
        </is>
      </c>
      <c r="G1029" t="inlineStr">
        <is>
          <t>ESKILSTUNA</t>
        </is>
      </c>
      <c r="I1029" t="n">
        <v>7.9</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18510-2024</t>
        </is>
      </c>
      <c r="B1030" t="inlineStr">
        <is>
          <t>avverkningsanmälan</t>
        </is>
      </c>
      <c r="C1030" t="inlineStr">
        <is>
          <t>Föryngringsavverkning</t>
        </is>
      </c>
      <c r="D1030" s="1" t="n">
        <v>45424</v>
      </c>
      <c r="E1030" s="1" t="n">
        <v>46313</v>
      </c>
      <c r="F1030" t="inlineStr">
        <is>
          <t>SÖDERMANLANDS LÄN</t>
        </is>
      </c>
      <c r="G1030" t="inlineStr">
        <is>
          <t>NYKÖPING</t>
        </is>
      </c>
      <c r="I1030" t="n">
        <v>4.7</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60255-2021</t>
        </is>
      </c>
      <c r="B1031" t="inlineStr">
        <is>
          <t>avverkningsanmälan</t>
        </is>
      </c>
      <c r="C1031" t="inlineStr">
        <is>
          <t>Föryngringsavverkning</t>
        </is>
      </c>
      <c r="D1031" s="1" t="n">
        <v>44495</v>
      </c>
      <c r="E1031" s="1" t="n">
        <v>46313</v>
      </c>
      <c r="F1031" t="inlineStr">
        <is>
          <t>SÖDERMANLANDS LÄN</t>
        </is>
      </c>
      <c r="G1031" t="inlineStr">
        <is>
          <t>FLEN</t>
        </is>
      </c>
      <c r="I1031" t="n">
        <v>4.1</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15235-2023</t>
        </is>
      </c>
      <c r="B1032" t="inlineStr">
        <is>
          <t>avverkningsanmälan</t>
        </is>
      </c>
      <c r="C1032" t="inlineStr">
        <is>
          <t>Föryngringsavverkning</t>
        </is>
      </c>
      <c r="D1032" s="1" t="n">
        <v>45019</v>
      </c>
      <c r="E1032" s="1" t="n">
        <v>46313</v>
      </c>
      <c r="F1032" t="inlineStr">
        <is>
          <t>SÖDERMANLANDS LÄN</t>
        </is>
      </c>
      <c r="G1032" t="inlineStr">
        <is>
          <t>KATRINEHOLM</t>
        </is>
      </c>
      <c r="H1032" t="inlineStr">
        <is>
          <t>Holmen skog AB</t>
        </is>
      </c>
      <c r="I1032" t="n">
        <v>0.7</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29490-2024</t>
        </is>
      </c>
      <c r="B1033" t="inlineStr">
        <is>
          <t>avverkningsanmälan</t>
        </is>
      </c>
      <c r="C1033" t="inlineStr">
        <is>
          <t>Föryngringsavverkning</t>
        </is>
      </c>
      <c r="D1033" s="1" t="n">
        <v>45483</v>
      </c>
      <c r="E1033" s="1" t="n">
        <v>46313</v>
      </c>
      <c r="F1033" t="inlineStr">
        <is>
          <t>SÖDERMANLANDS LÄN</t>
        </is>
      </c>
      <c r="G1033" t="inlineStr">
        <is>
          <t>VINGÅKER</t>
        </is>
      </c>
      <c r="I1033" t="n">
        <v>3.7</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21987-2024</t>
        </is>
      </c>
      <c r="B1034" t="inlineStr">
        <is>
          <t>avverkningsanmälan</t>
        </is>
      </c>
      <c r="C1034" t="inlineStr">
        <is>
          <t>Föryngringsavverkning</t>
        </is>
      </c>
      <c r="D1034" s="1" t="n">
        <v>45443</v>
      </c>
      <c r="E1034" s="1" t="n">
        <v>46313</v>
      </c>
      <c r="F1034" t="inlineStr">
        <is>
          <t>SÖDERMANLANDS LÄN</t>
        </is>
      </c>
      <c r="G1034" t="inlineStr">
        <is>
          <t>NYKÖPING</t>
        </is>
      </c>
      <c r="H1034" t="inlineStr">
        <is>
          <t>Holmen skog AB</t>
        </is>
      </c>
      <c r="I1034" t="n">
        <v>1.3</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25796-2022</t>
        </is>
      </c>
      <c r="B1035" t="inlineStr">
        <is>
          <t>avverkningsanmälan</t>
        </is>
      </c>
      <c r="C1035" t="inlineStr">
        <is>
          <t>Föryngringsavverkning</t>
        </is>
      </c>
      <c r="D1035" s="1" t="n">
        <v>44733</v>
      </c>
      <c r="E1035" s="1" t="n">
        <v>46313</v>
      </c>
      <c r="F1035" t="inlineStr">
        <is>
          <t>SÖDERMANLANDS LÄN</t>
        </is>
      </c>
      <c r="G1035" t="inlineStr">
        <is>
          <t>NYKÖPING</t>
        </is>
      </c>
      <c r="I1035" t="n">
        <v>2.9</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56611-2022</t>
        </is>
      </c>
      <c r="B1036" t="inlineStr">
        <is>
          <t>avverkningsanmälan</t>
        </is>
      </c>
      <c r="C1036" t="inlineStr">
        <is>
          <t>Föryngringsavverkning</t>
        </is>
      </c>
      <c r="D1036" s="1" t="n">
        <v>44893</v>
      </c>
      <c r="E1036" s="1" t="n">
        <v>46313</v>
      </c>
      <c r="F1036" t="inlineStr">
        <is>
          <t>SÖDERMANLANDS LÄN</t>
        </is>
      </c>
      <c r="G1036" t="inlineStr">
        <is>
          <t>GNESTA</t>
        </is>
      </c>
      <c r="I1036" t="n">
        <v>5.2</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60572-2021</t>
        </is>
      </c>
      <c r="B1037" t="inlineStr">
        <is>
          <t>avverkningsanmälan</t>
        </is>
      </c>
      <c r="C1037" t="inlineStr">
        <is>
          <t>Föryngringsavverkning</t>
        </is>
      </c>
      <c r="D1037" s="1" t="n">
        <v>44496</v>
      </c>
      <c r="E1037" s="1" t="n">
        <v>46313</v>
      </c>
      <c r="F1037" t="inlineStr">
        <is>
          <t>SÖDERMANLANDS LÄN</t>
        </is>
      </c>
      <c r="G1037" t="inlineStr">
        <is>
          <t>VINGÅKER</t>
        </is>
      </c>
      <c r="I1037" t="n">
        <v>0.4</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14597-2023</t>
        </is>
      </c>
      <c r="B1038" t="inlineStr">
        <is>
          <t>avverkningsanmälan</t>
        </is>
      </c>
      <c r="C1038" t="inlineStr">
        <is>
          <t>Föryngringsavverkning</t>
        </is>
      </c>
      <c r="D1038" s="1" t="n">
        <v>45013</v>
      </c>
      <c r="E1038" s="1" t="n">
        <v>46313</v>
      </c>
      <c r="F1038" t="inlineStr">
        <is>
          <t>SÖDERMANLANDS LÄN</t>
        </is>
      </c>
      <c r="G1038" t="inlineStr">
        <is>
          <t>VINGÅKER</t>
        </is>
      </c>
      <c r="I1038" t="n">
        <v>3.8</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15184-2023</t>
        </is>
      </c>
      <c r="B1039" t="inlineStr">
        <is>
          <t>avverkningsanmälan</t>
        </is>
      </c>
      <c r="C1039" t="inlineStr">
        <is>
          <t>Föryngringsavverkning</t>
        </is>
      </c>
      <c r="D1039" s="1" t="n">
        <v>45016</v>
      </c>
      <c r="E1039" s="1" t="n">
        <v>46313</v>
      </c>
      <c r="F1039" t="inlineStr">
        <is>
          <t>SÖDERMANLANDS LÄN</t>
        </is>
      </c>
      <c r="G1039" t="inlineStr">
        <is>
          <t>KATRINEHOLM</t>
        </is>
      </c>
      <c r="I1039" t="n">
        <v>1.1</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6659-2024</t>
        </is>
      </c>
      <c r="B1040" t="inlineStr">
        <is>
          <t>avverkningsanmälan</t>
        </is>
      </c>
      <c r="C1040" t="inlineStr">
        <is>
          <t>Föryngringsavverkning</t>
        </is>
      </c>
      <c r="D1040" s="1" t="n">
        <v>45341</v>
      </c>
      <c r="E1040" s="1" t="n">
        <v>46313</v>
      </c>
      <c r="F1040" t="inlineStr">
        <is>
          <t>SÖDERMANLANDS LÄN</t>
        </is>
      </c>
      <c r="G1040" t="inlineStr">
        <is>
          <t>ESKILSTUNA</t>
        </is>
      </c>
      <c r="I1040" t="n">
        <v>2.7</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45793-2022</t>
        </is>
      </c>
      <c r="B1041" t="inlineStr">
        <is>
          <t>avverkningsanmälan</t>
        </is>
      </c>
      <c r="C1041" t="inlineStr">
        <is>
          <t>Föryngringsavverkning</t>
        </is>
      </c>
      <c r="D1041" s="1" t="n">
        <v>44844</v>
      </c>
      <c r="E1041" s="1" t="n">
        <v>46313</v>
      </c>
      <c r="F1041" t="inlineStr">
        <is>
          <t>SÖDERMANLANDS LÄN</t>
        </is>
      </c>
      <c r="G1041" t="inlineStr">
        <is>
          <t>KATRINEHOLM</t>
        </is>
      </c>
      <c r="I1041" t="n">
        <v>2.3</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44607-2023</t>
        </is>
      </c>
      <c r="B1042" t="inlineStr">
        <is>
          <t>avverkningsanmälan</t>
        </is>
      </c>
      <c r="C1042" t="inlineStr">
        <is>
          <t>Föryngringsavverkning</t>
        </is>
      </c>
      <c r="D1042" s="1" t="n">
        <v>45184</v>
      </c>
      <c r="E1042" s="1" t="n">
        <v>46313</v>
      </c>
      <c r="F1042" t="inlineStr">
        <is>
          <t>SÖDERMANLANDS LÄN</t>
        </is>
      </c>
      <c r="G1042" t="inlineStr">
        <is>
          <t>VINGÅKER</t>
        </is>
      </c>
      <c r="H1042" t="inlineStr">
        <is>
          <t>Kommuner</t>
        </is>
      </c>
      <c r="I1042" t="n">
        <v>2.6</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7136-2024</t>
        </is>
      </c>
      <c r="B1043" t="inlineStr">
        <is>
          <t>avverkningsanmälan</t>
        </is>
      </c>
      <c r="C1043" t="inlineStr">
        <is>
          <t>Avverkning för annat ändamål</t>
        </is>
      </c>
      <c r="D1043" s="1" t="n">
        <v>45343</v>
      </c>
      <c r="E1043" s="1" t="n">
        <v>46313</v>
      </c>
      <c r="F1043" t="inlineStr">
        <is>
          <t>SÖDERMANLANDS LÄN</t>
        </is>
      </c>
      <c r="G1043" t="inlineStr">
        <is>
          <t>VINGÅKER</t>
        </is>
      </c>
      <c r="I1043" t="n">
        <v>1.4</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8751-2023</t>
        </is>
      </c>
      <c r="B1044" t="inlineStr">
        <is>
          <t>avverkningsanmälan</t>
        </is>
      </c>
      <c r="C1044" t="inlineStr">
        <is>
          <t>Föryngringsavverkning</t>
        </is>
      </c>
      <c r="D1044" s="1" t="n">
        <v>44978</v>
      </c>
      <c r="E1044" s="1" t="n">
        <v>46313</v>
      </c>
      <c r="F1044" t="inlineStr">
        <is>
          <t>SÖDERMANLANDS LÄN</t>
        </is>
      </c>
      <c r="G1044" t="inlineStr">
        <is>
          <t>NYKÖPING</t>
        </is>
      </c>
      <c r="I1044" t="n">
        <v>6.5</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39253-2023</t>
        </is>
      </c>
      <c r="B1045" t="inlineStr">
        <is>
          <t>avverkningsanmälan</t>
        </is>
      </c>
      <c r="C1045" t="inlineStr">
        <is>
          <t>Föryngringsavverkning</t>
        </is>
      </c>
      <c r="D1045" s="1" t="n">
        <v>45166</v>
      </c>
      <c r="E1045" s="1" t="n">
        <v>46313</v>
      </c>
      <c r="F1045" t="inlineStr">
        <is>
          <t>SÖDERMANLANDS LÄN</t>
        </is>
      </c>
      <c r="G1045" t="inlineStr">
        <is>
          <t>NYKÖPING</t>
        </is>
      </c>
      <c r="H1045" t="inlineStr">
        <is>
          <t>Holmen skog AB</t>
        </is>
      </c>
      <c r="I1045" t="n">
        <v>0.5</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58834-2024</t>
        </is>
      </c>
      <c r="B1046" t="inlineStr">
        <is>
          <t>avverkningsanmälan</t>
        </is>
      </c>
      <c r="C1046" t="inlineStr">
        <is>
          <t>Föryngringsavverkning</t>
        </is>
      </c>
      <c r="D1046" s="1" t="n">
        <v>45636</v>
      </c>
      <c r="E1046" s="1" t="n">
        <v>46313</v>
      </c>
      <c r="F1046" t="inlineStr">
        <is>
          <t>SÖDERMANLANDS LÄN</t>
        </is>
      </c>
      <c r="G1046" t="inlineStr">
        <is>
          <t>FLEN</t>
        </is>
      </c>
      <c r="I1046" t="n">
        <v>0.6</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17656-2023</t>
        </is>
      </c>
      <c r="B1047" t="inlineStr">
        <is>
          <t>avverkningsanmälan</t>
        </is>
      </c>
      <c r="C1047" t="inlineStr">
        <is>
          <t>Föryngringsavverkning</t>
        </is>
      </c>
      <c r="D1047" s="1" t="n">
        <v>45036</v>
      </c>
      <c r="E1047" s="1" t="n">
        <v>46313</v>
      </c>
      <c r="F1047" t="inlineStr">
        <is>
          <t>SÖDERMANLANDS LÄN</t>
        </is>
      </c>
      <c r="G1047" t="inlineStr">
        <is>
          <t>VINGÅKER</t>
        </is>
      </c>
      <c r="I1047" t="n">
        <v>0.6</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35951-2023</t>
        </is>
      </c>
      <c r="B1048" t="inlineStr">
        <is>
          <t>avverkningsanmälan</t>
        </is>
      </c>
      <c r="C1048" t="inlineStr">
        <is>
          <t>Föryngringsavverkning</t>
        </is>
      </c>
      <c r="D1048" s="1" t="n">
        <v>45148</v>
      </c>
      <c r="E1048" s="1" t="n">
        <v>46313</v>
      </c>
      <c r="F1048" t="inlineStr">
        <is>
          <t>SÖDERMANLANDS LÄN</t>
        </is>
      </c>
      <c r="G1048" t="inlineStr">
        <is>
          <t>NYKÖPING</t>
        </is>
      </c>
      <c r="H1048" t="inlineStr">
        <is>
          <t>Kommuner</t>
        </is>
      </c>
      <c r="I1048" t="n">
        <v>0.8</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8415-2023</t>
        </is>
      </c>
      <c r="B1049" t="inlineStr">
        <is>
          <t>avverkningsanmälan</t>
        </is>
      </c>
      <c r="C1049" t="inlineStr">
        <is>
          <t>Föryngringsavverkning</t>
        </is>
      </c>
      <c r="D1049" s="1" t="n">
        <v>44977</v>
      </c>
      <c r="E1049" s="1" t="n">
        <v>46313</v>
      </c>
      <c r="F1049" t="inlineStr">
        <is>
          <t>SÖDERMANLANDS LÄN</t>
        </is>
      </c>
      <c r="G1049" t="inlineStr">
        <is>
          <t>NYKÖPING</t>
        </is>
      </c>
      <c r="I1049" t="n">
        <v>0.4</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11243-2023</t>
        </is>
      </c>
      <c r="B1050" t="inlineStr">
        <is>
          <t>avverkningsanmälan</t>
        </is>
      </c>
      <c r="C1050" t="inlineStr">
        <is>
          <t>Avverkning för annat ändamål</t>
        </is>
      </c>
      <c r="D1050" s="1" t="n">
        <v>44992</v>
      </c>
      <c r="E1050" s="1" t="n">
        <v>46313</v>
      </c>
      <c r="F1050" t="inlineStr">
        <is>
          <t>SÖDERMANLANDS LÄN</t>
        </is>
      </c>
      <c r="G1050" t="inlineStr">
        <is>
          <t>STRÄNGNÄS</t>
        </is>
      </c>
      <c r="I1050" t="n">
        <v>1</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21822-2023</t>
        </is>
      </c>
      <c r="B1051" t="inlineStr">
        <is>
          <t>avverkningsanmälan</t>
        </is>
      </c>
      <c r="C1051" t="inlineStr">
        <is>
          <t>Föryngringsavverkning</t>
        </is>
      </c>
      <c r="D1051" s="1" t="n">
        <v>45068</v>
      </c>
      <c r="E1051" s="1" t="n">
        <v>46313</v>
      </c>
      <c r="F1051" t="inlineStr">
        <is>
          <t>SÖDERMANLANDS LÄN</t>
        </is>
      </c>
      <c r="G1051" t="inlineStr">
        <is>
          <t>FLEN</t>
        </is>
      </c>
      <c r="H1051" t="inlineStr">
        <is>
          <t>Holmen skog AB</t>
        </is>
      </c>
      <c r="I1051" t="n">
        <v>1.1</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40386-2022</t>
        </is>
      </c>
      <c r="B1052" t="inlineStr">
        <is>
          <t>avverkningsanmälan</t>
        </is>
      </c>
      <c r="C1052" t="inlineStr">
        <is>
          <t>Föryngringsavverkning</t>
        </is>
      </c>
      <c r="D1052" s="1" t="n">
        <v>44819</v>
      </c>
      <c r="E1052" s="1" t="n">
        <v>46313</v>
      </c>
      <c r="F1052" t="inlineStr">
        <is>
          <t>SÖDERMANLANDS LÄN</t>
        </is>
      </c>
      <c r="G1052" t="inlineStr">
        <is>
          <t>ESKILSTUNA</t>
        </is>
      </c>
      <c r="I1052" t="n">
        <v>11.6</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11363-2023</t>
        </is>
      </c>
      <c r="B1053" t="inlineStr">
        <is>
          <t>avverkningsanmälan</t>
        </is>
      </c>
      <c r="C1053" t="inlineStr">
        <is>
          <t>Föryngringsavverkning</t>
        </is>
      </c>
      <c r="D1053" s="1" t="n">
        <v>44990</v>
      </c>
      <c r="E1053" s="1" t="n">
        <v>46313</v>
      </c>
      <c r="F1053" t="inlineStr">
        <is>
          <t>SÖDERMANLANDS LÄN</t>
        </is>
      </c>
      <c r="G1053" t="inlineStr">
        <is>
          <t>NYKÖPING</t>
        </is>
      </c>
      <c r="H1053" t="inlineStr">
        <is>
          <t>Allmännings- och besparingsskogar</t>
        </is>
      </c>
      <c r="I1053" t="n">
        <v>0.6</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72314-2021</t>
        </is>
      </c>
      <c r="B1054" t="inlineStr">
        <is>
          <t>avverkningsanmälan</t>
        </is>
      </c>
      <c r="C1054" t="inlineStr">
        <is>
          <t>Föryngringsavverkning</t>
        </is>
      </c>
      <c r="D1054" s="1" t="n">
        <v>44544</v>
      </c>
      <c r="E1054" s="1" t="n">
        <v>46313</v>
      </c>
      <c r="F1054" t="inlineStr">
        <is>
          <t>SÖDERMANLANDS LÄN</t>
        </is>
      </c>
      <c r="G1054" t="inlineStr">
        <is>
          <t>FLEN</t>
        </is>
      </c>
      <c r="I1054" t="n">
        <v>13.8</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44915-2022</t>
        </is>
      </c>
      <c r="B1055" t="inlineStr">
        <is>
          <t>avverkningsanmälan</t>
        </is>
      </c>
      <c r="C1055" t="inlineStr">
        <is>
          <t>Föryngringsavverkning</t>
        </is>
      </c>
      <c r="D1055" s="1" t="n">
        <v>44840</v>
      </c>
      <c r="E1055" s="1" t="n">
        <v>46313</v>
      </c>
      <c r="F1055" t="inlineStr">
        <is>
          <t>SÖDERMANLANDS LÄN</t>
        </is>
      </c>
      <c r="G1055" t="inlineStr">
        <is>
          <t>KATRINEHOLM</t>
        </is>
      </c>
      <c r="I1055" t="n">
        <v>6.3</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32708-2024</t>
        </is>
      </c>
      <c r="B1056" t="inlineStr">
        <is>
          <t>avverkningsanmälan</t>
        </is>
      </c>
      <c r="C1056" t="inlineStr">
        <is>
          <t>Föryngringsavverkning</t>
        </is>
      </c>
      <c r="D1056" s="1" t="n">
        <v>45514</v>
      </c>
      <c r="E1056" s="1" t="n">
        <v>46313</v>
      </c>
      <c r="F1056" t="inlineStr">
        <is>
          <t>SÖDERMANLANDS LÄN</t>
        </is>
      </c>
      <c r="G1056" t="inlineStr">
        <is>
          <t>ESKILSTUNA</t>
        </is>
      </c>
      <c r="I1056" t="n">
        <v>1.4</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53374-2022</t>
        </is>
      </c>
      <c r="B1057" t="inlineStr">
        <is>
          <t>avverkningsanmälan</t>
        </is>
      </c>
      <c r="C1057" t="inlineStr">
        <is>
          <t>Föryngringsavverkning</t>
        </is>
      </c>
      <c r="D1057" s="1" t="n">
        <v>44874</v>
      </c>
      <c r="E1057" s="1" t="n">
        <v>46313</v>
      </c>
      <c r="F1057" t="inlineStr">
        <is>
          <t>SÖDERMANLANDS LÄN</t>
        </is>
      </c>
      <c r="G1057" t="inlineStr">
        <is>
          <t>ESKILSTUNA</t>
        </is>
      </c>
      <c r="I1057" t="n">
        <v>3.8</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63614-2023</t>
        </is>
      </c>
      <c r="B1058" t="inlineStr">
        <is>
          <t>avverkningsanmälan</t>
        </is>
      </c>
      <c r="C1058" t="inlineStr">
        <is>
          <t>Föryngringsavverkning</t>
        </is>
      </c>
      <c r="D1058" s="1" t="n">
        <v>45275</v>
      </c>
      <c r="E1058" s="1" t="n">
        <v>46313</v>
      </c>
      <c r="F1058" t="inlineStr">
        <is>
          <t>SÖDERMANLANDS LÄN</t>
        </is>
      </c>
      <c r="G1058" t="inlineStr">
        <is>
          <t>VINGÅKER</t>
        </is>
      </c>
      <c r="I1058" t="n">
        <v>1.8</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57836-2023</t>
        </is>
      </c>
      <c r="B1059" t="inlineStr">
        <is>
          <t>avverkningsanmälan</t>
        </is>
      </c>
      <c r="C1059" t="inlineStr">
        <is>
          <t>Föryngringsavverkning</t>
        </is>
      </c>
      <c r="D1059" s="1" t="n">
        <v>45247</v>
      </c>
      <c r="E1059" s="1" t="n">
        <v>46313</v>
      </c>
      <c r="F1059" t="inlineStr">
        <is>
          <t>SÖDERMANLANDS LÄN</t>
        </is>
      </c>
      <c r="G1059" t="inlineStr">
        <is>
          <t>NYKÖPING</t>
        </is>
      </c>
      <c r="H1059" t="inlineStr">
        <is>
          <t>Övriga Aktiebolag</t>
        </is>
      </c>
      <c r="I1059" t="n">
        <v>0.5</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55963-2023</t>
        </is>
      </c>
      <c r="B1060" t="inlineStr">
        <is>
          <t>avverkningsanmälan</t>
        </is>
      </c>
      <c r="C1060" t="inlineStr">
        <is>
          <t>Föryngringsavverkning</t>
        </is>
      </c>
      <c r="D1060" s="1" t="n">
        <v>45240</v>
      </c>
      <c r="E1060" s="1" t="n">
        <v>46313</v>
      </c>
      <c r="F1060" t="inlineStr">
        <is>
          <t>SÖDERMANLANDS LÄN</t>
        </is>
      </c>
      <c r="G1060" t="inlineStr">
        <is>
          <t>ESKILSTUNA</t>
        </is>
      </c>
      <c r="I1060" t="n">
        <v>6.2</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31965-2024</t>
        </is>
      </c>
      <c r="B1061" t="inlineStr">
        <is>
          <t>avverkningsanmälan</t>
        </is>
      </c>
      <c r="C1061" t="inlineStr">
        <is>
          <t>Föryngringsavverkning</t>
        </is>
      </c>
      <c r="D1061" s="1" t="n">
        <v>45510</v>
      </c>
      <c r="E1061" s="1" t="n">
        <v>46313</v>
      </c>
      <c r="F1061" t="inlineStr">
        <is>
          <t>SÖDERMANLANDS LÄN</t>
        </is>
      </c>
      <c r="G1061" t="inlineStr">
        <is>
          <t>FLEN</t>
        </is>
      </c>
      <c r="I1061" t="n">
        <v>2.1</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6141-2023</t>
        </is>
      </c>
      <c r="B1062" t="inlineStr">
        <is>
          <t>avverkningsanmälan</t>
        </is>
      </c>
      <c r="C1062" t="inlineStr">
        <is>
          <t>Föryngringsavverkning</t>
        </is>
      </c>
      <c r="D1062" s="1" t="n">
        <v>44964</v>
      </c>
      <c r="E1062" s="1" t="n">
        <v>46313</v>
      </c>
      <c r="F1062" t="inlineStr">
        <is>
          <t>SÖDERMANLANDS LÄN</t>
        </is>
      </c>
      <c r="G1062" t="inlineStr">
        <is>
          <t>NYKÖPING</t>
        </is>
      </c>
      <c r="I1062" t="n">
        <v>5.4</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56869-2023</t>
        </is>
      </c>
      <c r="B1063" t="inlineStr">
        <is>
          <t>avverkningsanmälan</t>
        </is>
      </c>
      <c r="C1063" t="inlineStr">
        <is>
          <t>Föryngringsavverkning</t>
        </is>
      </c>
      <c r="D1063" s="1" t="n">
        <v>45239</v>
      </c>
      <c r="E1063" s="1" t="n">
        <v>46313</v>
      </c>
      <c r="F1063" t="inlineStr">
        <is>
          <t>SÖDERMANLANDS LÄN</t>
        </is>
      </c>
      <c r="G1063" t="inlineStr">
        <is>
          <t>FLEN</t>
        </is>
      </c>
      <c r="H1063" t="inlineStr">
        <is>
          <t>Övriga statliga verk och myndigheter</t>
        </is>
      </c>
      <c r="I1063" t="n">
        <v>1.5</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34817-2022</t>
        </is>
      </c>
      <c r="B1064" t="inlineStr">
        <is>
          <t>avverkningsanmälan</t>
        </is>
      </c>
      <c r="C1064" t="inlineStr">
        <is>
          <t>Föryngringsavverkning</t>
        </is>
      </c>
      <c r="D1064" s="1" t="n">
        <v>44796</v>
      </c>
      <c r="E1064" s="1" t="n">
        <v>46313</v>
      </c>
      <c r="F1064" t="inlineStr">
        <is>
          <t>SÖDERMANLANDS LÄN</t>
        </is>
      </c>
      <c r="G1064" t="inlineStr">
        <is>
          <t>FLEN</t>
        </is>
      </c>
      <c r="I1064" t="n">
        <v>3.8</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18386-2025</t>
        </is>
      </c>
      <c r="B1065" t="inlineStr">
        <is>
          <t>avverkningsanmälan</t>
        </is>
      </c>
      <c r="C1065" t="inlineStr">
        <is>
          <t>Avverkning för annat ändamål</t>
        </is>
      </c>
      <c r="D1065" s="1" t="n">
        <v>45762</v>
      </c>
      <c r="E1065" s="1" t="n">
        <v>46313</v>
      </c>
      <c r="F1065" t="inlineStr">
        <is>
          <t>SÖDERMANLANDS LÄN</t>
        </is>
      </c>
      <c r="G1065" t="inlineStr">
        <is>
          <t>KATRINEHOLM</t>
        </is>
      </c>
      <c r="I1065" t="n">
        <v>0.5</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56928-2023</t>
        </is>
      </c>
      <c r="B1066" t="inlineStr">
        <is>
          <t>avverkningsanmälan</t>
        </is>
      </c>
      <c r="C1066" t="inlineStr">
        <is>
          <t>Föryngringsavverkning</t>
        </is>
      </c>
      <c r="D1066" s="1" t="n">
        <v>45244</v>
      </c>
      <c r="E1066" s="1" t="n">
        <v>46313</v>
      </c>
      <c r="F1066" t="inlineStr">
        <is>
          <t>SÖDERMANLANDS LÄN</t>
        </is>
      </c>
      <c r="G1066" t="inlineStr">
        <is>
          <t>NYKÖPING</t>
        </is>
      </c>
      <c r="H1066" t="inlineStr">
        <is>
          <t>Övriga Aktiebolag</t>
        </is>
      </c>
      <c r="I1066" t="n">
        <v>0.6</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7398-2024</t>
        </is>
      </c>
      <c r="B1067" t="inlineStr">
        <is>
          <t>avverkningsanmälan</t>
        </is>
      </c>
      <c r="C1067" t="inlineStr">
        <is>
          <t>Föryngringsavverkning</t>
        </is>
      </c>
      <c r="D1067" s="1" t="n">
        <v>45345</v>
      </c>
      <c r="E1067" s="1" t="n">
        <v>46313</v>
      </c>
      <c r="F1067" t="inlineStr">
        <is>
          <t>SÖDERMANLANDS LÄN</t>
        </is>
      </c>
      <c r="G1067" t="inlineStr">
        <is>
          <t>KATRINEHOLM</t>
        </is>
      </c>
      <c r="I1067" t="n">
        <v>4.4</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4387-2024</t>
        </is>
      </c>
      <c r="B1068" t="inlineStr">
        <is>
          <t>avverkningsanmälan</t>
        </is>
      </c>
      <c r="C1068" t="inlineStr">
        <is>
          <t>Föryngringsavverkning</t>
        </is>
      </c>
      <c r="D1068" s="1" t="n">
        <v>45327</v>
      </c>
      <c r="E1068" s="1" t="n">
        <v>46313</v>
      </c>
      <c r="F1068" t="inlineStr">
        <is>
          <t>SÖDERMANLANDS LÄN</t>
        </is>
      </c>
      <c r="G1068" t="inlineStr">
        <is>
          <t>KATRINEHOLM</t>
        </is>
      </c>
      <c r="I1068" t="n">
        <v>1.2</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52290-2024</t>
        </is>
      </c>
      <c r="B1069" t="inlineStr">
        <is>
          <t>avverkningsanmälan</t>
        </is>
      </c>
      <c r="C1069" t="inlineStr">
        <is>
          <t>Föryngringsavverkning</t>
        </is>
      </c>
      <c r="D1069" s="1" t="n">
        <v>45608</v>
      </c>
      <c r="E1069" s="1" t="n">
        <v>46313</v>
      </c>
      <c r="F1069" t="inlineStr">
        <is>
          <t>SÖDERMANLANDS LÄN</t>
        </is>
      </c>
      <c r="G1069" t="inlineStr">
        <is>
          <t>ESKILSTUNA</t>
        </is>
      </c>
      <c r="H1069" t="inlineStr">
        <is>
          <t>Övriga Aktiebolag</t>
        </is>
      </c>
      <c r="I1069" t="n">
        <v>0.4</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14078-2022</t>
        </is>
      </c>
      <c r="B1070" t="inlineStr">
        <is>
          <t>avverkningsanmälan</t>
        </is>
      </c>
      <c r="C1070" t="inlineStr">
        <is>
          <t>Föryngringsavverkning</t>
        </is>
      </c>
      <c r="D1070" s="1" t="n">
        <v>44650</v>
      </c>
      <c r="E1070" s="1" t="n">
        <v>46313</v>
      </c>
      <c r="F1070" t="inlineStr">
        <is>
          <t>SÖDERMANLANDS LÄN</t>
        </is>
      </c>
      <c r="G1070" t="inlineStr">
        <is>
          <t>GNESTA</t>
        </is>
      </c>
      <c r="I1070" t="n">
        <v>6.7</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14257-2024</t>
        </is>
      </c>
      <c r="B1071" t="inlineStr">
        <is>
          <t>avverkningsanmälan</t>
        </is>
      </c>
      <c r="C1071" t="inlineStr">
        <is>
          <t>Föryngringsavverkning</t>
        </is>
      </c>
      <c r="D1071" s="1" t="n">
        <v>45393</v>
      </c>
      <c r="E1071" s="1" t="n">
        <v>46313</v>
      </c>
      <c r="F1071" t="inlineStr">
        <is>
          <t>SÖDERMANLANDS LÄN</t>
        </is>
      </c>
      <c r="G1071" t="inlineStr">
        <is>
          <t>NYKÖPING</t>
        </is>
      </c>
      <c r="I1071" t="n">
        <v>4.2</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14313-2024</t>
        </is>
      </c>
      <c r="B1072" t="inlineStr">
        <is>
          <t>avverkningsanmälan</t>
        </is>
      </c>
      <c r="C1072" t="inlineStr">
        <is>
          <t>Föryngringsavverkning</t>
        </is>
      </c>
      <c r="D1072" s="1" t="n">
        <v>45393</v>
      </c>
      <c r="E1072" s="1" t="n">
        <v>46313</v>
      </c>
      <c r="F1072" t="inlineStr">
        <is>
          <t>SÖDERMANLANDS LÄN</t>
        </is>
      </c>
      <c r="G1072" t="inlineStr">
        <is>
          <t>KATRINEHOLM</t>
        </is>
      </c>
      <c r="I1072" t="n">
        <v>3.1</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45282-2022</t>
        </is>
      </c>
      <c r="B1073" t="inlineStr">
        <is>
          <t>avverkningsanmälan</t>
        </is>
      </c>
      <c r="C1073" t="inlineStr">
        <is>
          <t>Föryngringsavverkning</t>
        </is>
      </c>
      <c r="D1073" s="1" t="n">
        <v>44844</v>
      </c>
      <c r="E1073" s="1" t="n">
        <v>46313</v>
      </c>
      <c r="F1073" t="inlineStr">
        <is>
          <t>SÖDERMANLANDS LÄN</t>
        </is>
      </c>
      <c r="G1073" t="inlineStr">
        <is>
          <t>NYKÖPING</t>
        </is>
      </c>
      <c r="H1073" t="inlineStr">
        <is>
          <t>Holmen skog AB</t>
        </is>
      </c>
      <c r="I1073" t="n">
        <v>2.3</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30968-2022</t>
        </is>
      </c>
      <c r="B1074" t="inlineStr">
        <is>
          <t>avverkningsanmälan</t>
        </is>
      </c>
      <c r="C1074" t="inlineStr">
        <is>
          <t>Avverkning för att bevara och utveckla /försöksver</t>
        </is>
      </c>
      <c r="D1074" s="1" t="n">
        <v>44768</v>
      </c>
      <c r="E1074" s="1" t="n">
        <v>46313</v>
      </c>
      <c r="F1074" t="inlineStr">
        <is>
          <t>SÖDERMANLANDS LÄN</t>
        </is>
      </c>
      <c r="G1074" t="inlineStr">
        <is>
          <t>ESKILSTUNA</t>
        </is>
      </c>
      <c r="H1074" t="inlineStr">
        <is>
          <t>Sveaskog</t>
        </is>
      </c>
      <c r="I1074" t="n">
        <v>3.8</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12938-2023</t>
        </is>
      </c>
      <c r="B1075" t="inlineStr">
        <is>
          <t>avverkningsanmälan</t>
        </is>
      </c>
      <c r="C1075" t="inlineStr">
        <is>
          <t>Föryngringsavverkning</t>
        </is>
      </c>
      <c r="D1075" s="1" t="n">
        <v>45001</v>
      </c>
      <c r="E1075" s="1" t="n">
        <v>46313</v>
      </c>
      <c r="F1075" t="inlineStr">
        <is>
          <t>SÖDERMANLANDS LÄN</t>
        </is>
      </c>
      <c r="G1075" t="inlineStr">
        <is>
          <t>KATRINEHOLM</t>
        </is>
      </c>
      <c r="I1075" t="n">
        <v>0.4</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49470-2023</t>
        </is>
      </c>
      <c r="B1076" t="inlineStr">
        <is>
          <t>avverkningsanmälan</t>
        </is>
      </c>
      <c r="C1076" t="inlineStr">
        <is>
          <t>Föryngringsavverkning</t>
        </is>
      </c>
      <c r="D1076" s="1" t="n">
        <v>45211</v>
      </c>
      <c r="E1076" s="1" t="n">
        <v>46313</v>
      </c>
      <c r="F1076" t="inlineStr">
        <is>
          <t>SÖDERMANLANDS LÄN</t>
        </is>
      </c>
      <c r="G1076" t="inlineStr">
        <is>
          <t>ESKILSTUNA</t>
        </is>
      </c>
      <c r="I1076" t="n">
        <v>2</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29148-2024</t>
        </is>
      </c>
      <c r="B1077" t="inlineStr">
        <is>
          <t>avverkningsanmälan</t>
        </is>
      </c>
      <c r="C1077" t="inlineStr">
        <is>
          <t>Föryngringsavverkning</t>
        </is>
      </c>
      <c r="D1077" s="1" t="n">
        <v>45482</v>
      </c>
      <c r="E1077" s="1" t="n">
        <v>46313</v>
      </c>
      <c r="F1077" t="inlineStr">
        <is>
          <t>SÖDERMANLANDS LÄN</t>
        </is>
      </c>
      <c r="G1077" t="inlineStr">
        <is>
          <t>FLEN</t>
        </is>
      </c>
      <c r="I1077" t="n">
        <v>3.8</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970-2024</t>
        </is>
      </c>
      <c r="B1078" t="inlineStr">
        <is>
          <t>avverkningsanmälan</t>
        </is>
      </c>
      <c r="C1078" t="inlineStr">
        <is>
          <t>Föryngringsavverkning</t>
        </is>
      </c>
      <c r="D1078" s="1" t="n">
        <v>45301</v>
      </c>
      <c r="E1078" s="1" t="n">
        <v>46313</v>
      </c>
      <c r="F1078" t="inlineStr">
        <is>
          <t>SÖDERMANLANDS LÄN</t>
        </is>
      </c>
      <c r="G1078" t="inlineStr">
        <is>
          <t>ESKILSTUNA</t>
        </is>
      </c>
      <c r="I1078" t="n">
        <v>4.5</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49775-2024</t>
        </is>
      </c>
      <c r="B1079" t="inlineStr">
        <is>
          <t>avverkningsanmälan</t>
        </is>
      </c>
      <c r="C1079" t="inlineStr">
        <is>
          <t>Föryngringsavverkning</t>
        </is>
      </c>
      <c r="D1079" s="1" t="n">
        <v>45597</v>
      </c>
      <c r="E1079" s="1" t="n">
        <v>46313</v>
      </c>
      <c r="F1079" t="inlineStr">
        <is>
          <t>SÖDERMANLANDS LÄN</t>
        </is>
      </c>
      <c r="G1079" t="inlineStr">
        <is>
          <t>FLEN</t>
        </is>
      </c>
      <c r="I1079" t="n">
        <v>1.1</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35469-2023</t>
        </is>
      </c>
      <c r="B1080" t="inlineStr">
        <is>
          <t>avverkningsanmälan</t>
        </is>
      </c>
      <c r="C1080" t="inlineStr">
        <is>
          <t>Föryngringsavverkning</t>
        </is>
      </c>
      <c r="D1080" s="1" t="n">
        <v>45146</v>
      </c>
      <c r="E1080" s="1" t="n">
        <v>46313</v>
      </c>
      <c r="F1080" t="inlineStr">
        <is>
          <t>SÖDERMANLANDS LÄN</t>
        </is>
      </c>
      <c r="G1080" t="inlineStr">
        <is>
          <t>NYKÖPING</t>
        </is>
      </c>
      <c r="H1080" t="inlineStr">
        <is>
          <t>Holmen skog AB</t>
        </is>
      </c>
      <c r="I1080" t="n">
        <v>1.1</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52472-2023</t>
        </is>
      </c>
      <c r="B1081" t="inlineStr">
        <is>
          <t>avverkningsanmälan</t>
        </is>
      </c>
      <c r="C1081" t="inlineStr">
        <is>
          <t>Föryngringsavverkning</t>
        </is>
      </c>
      <c r="D1081" s="1" t="n">
        <v>45225</v>
      </c>
      <c r="E1081" s="1" t="n">
        <v>46313</v>
      </c>
      <c r="F1081" t="inlineStr">
        <is>
          <t>SÖDERMANLANDS LÄN</t>
        </is>
      </c>
      <c r="G1081" t="inlineStr">
        <is>
          <t>FLEN</t>
        </is>
      </c>
      <c r="I1081" t="n">
        <v>1.5</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45149-2023</t>
        </is>
      </c>
      <c r="B1082" t="inlineStr">
        <is>
          <t>avverkningsanmälan</t>
        </is>
      </c>
      <c r="C1082" t="inlineStr">
        <is>
          <t>Föryngringsavverkning</t>
        </is>
      </c>
      <c r="D1082" s="1" t="n">
        <v>45191</v>
      </c>
      <c r="E1082" s="1" t="n">
        <v>46313</v>
      </c>
      <c r="F1082" t="inlineStr">
        <is>
          <t>SÖDERMANLANDS LÄN</t>
        </is>
      </c>
      <c r="G1082" t="inlineStr">
        <is>
          <t>VINGÅKER</t>
        </is>
      </c>
      <c r="I1082" t="n">
        <v>1.5</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2341-2023</t>
        </is>
      </c>
      <c r="B1083" t="inlineStr">
        <is>
          <t>avverkningsanmälan</t>
        </is>
      </c>
      <c r="C1083" t="inlineStr">
        <is>
          <t>Föryngringsavverkning</t>
        </is>
      </c>
      <c r="D1083" s="1" t="n">
        <v>44942</v>
      </c>
      <c r="E1083" s="1" t="n">
        <v>46313</v>
      </c>
      <c r="F1083" t="inlineStr">
        <is>
          <t>SÖDERMANLANDS LÄN</t>
        </is>
      </c>
      <c r="G1083" t="inlineStr">
        <is>
          <t>ESKILSTUNA</t>
        </is>
      </c>
      <c r="I1083" t="n">
        <v>5.5</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7043-2023</t>
        </is>
      </c>
      <c r="B1084" t="inlineStr">
        <is>
          <t>avverkningsanmälan</t>
        </is>
      </c>
      <c r="C1084" t="inlineStr">
        <is>
          <t>Föryngringsavverkning</t>
        </is>
      </c>
      <c r="D1084" s="1" t="n">
        <v>44968</v>
      </c>
      <c r="E1084" s="1" t="n">
        <v>46313</v>
      </c>
      <c r="F1084" t="inlineStr">
        <is>
          <t>SÖDERMANLANDS LÄN</t>
        </is>
      </c>
      <c r="G1084" t="inlineStr">
        <is>
          <t>NYKÖPING</t>
        </is>
      </c>
      <c r="I1084" t="n">
        <v>3.6</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65595-2021</t>
        </is>
      </c>
      <c r="B1085" t="inlineStr">
        <is>
          <t>avverkningsanmälan</t>
        </is>
      </c>
      <c r="C1085" t="inlineStr">
        <is>
          <t>Föryngringsavverkning</t>
        </is>
      </c>
      <c r="D1085" s="1" t="n">
        <v>44516</v>
      </c>
      <c r="E1085" s="1" t="n">
        <v>46313</v>
      </c>
      <c r="F1085" t="inlineStr">
        <is>
          <t>SÖDERMANLANDS LÄN</t>
        </is>
      </c>
      <c r="G1085" t="inlineStr">
        <is>
          <t>ESKILSTUNA</t>
        </is>
      </c>
      <c r="I1085" t="n">
        <v>9.5</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8437-2024</t>
        </is>
      </c>
      <c r="B1086" t="inlineStr">
        <is>
          <t>avverkningsanmälan</t>
        </is>
      </c>
      <c r="C1086" t="inlineStr">
        <is>
          <t>Föryngringsavverkning</t>
        </is>
      </c>
      <c r="D1086" s="1" t="n">
        <v>45353</v>
      </c>
      <c r="E1086" s="1" t="n">
        <v>46313</v>
      </c>
      <c r="F1086" t="inlineStr">
        <is>
          <t>SÖDERMANLANDS LÄN</t>
        </is>
      </c>
      <c r="G1086" t="inlineStr">
        <is>
          <t>GNESTA</t>
        </is>
      </c>
      <c r="I1086" t="n">
        <v>0.5</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52980-2023</t>
        </is>
      </c>
      <c r="B1087" t="inlineStr">
        <is>
          <t>avverkningsanmälan</t>
        </is>
      </c>
      <c r="C1087" t="inlineStr">
        <is>
          <t>Föryngringsavverkning</t>
        </is>
      </c>
      <c r="D1087" s="1" t="n">
        <v>45226</v>
      </c>
      <c r="E1087" s="1" t="n">
        <v>46313</v>
      </c>
      <c r="F1087" t="inlineStr">
        <is>
          <t>SÖDERMANLANDS LÄN</t>
        </is>
      </c>
      <c r="G1087" t="inlineStr">
        <is>
          <t>FLEN</t>
        </is>
      </c>
      <c r="I1087" t="n">
        <v>1.3</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8955-2024</t>
        </is>
      </c>
      <c r="B1088" t="inlineStr">
        <is>
          <t>avverkningsanmälan</t>
        </is>
      </c>
      <c r="C1088" t="inlineStr">
        <is>
          <t>Föryngringsavverkning</t>
        </is>
      </c>
      <c r="D1088" s="1" t="n">
        <v>45357</v>
      </c>
      <c r="E1088" s="1" t="n">
        <v>46313</v>
      </c>
      <c r="F1088" t="inlineStr">
        <is>
          <t>SÖDERMANLANDS LÄN</t>
        </is>
      </c>
      <c r="G1088" t="inlineStr">
        <is>
          <t>KATRINEHOLM</t>
        </is>
      </c>
      <c r="I1088" t="n">
        <v>1.2</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11796-2022</t>
        </is>
      </c>
      <c r="B1089" t="inlineStr">
        <is>
          <t>avverkningsanmälan</t>
        </is>
      </c>
      <c r="C1089" t="inlineStr">
        <is>
          <t>Föryngringsavverkning</t>
        </is>
      </c>
      <c r="D1089" s="1" t="n">
        <v>44634</v>
      </c>
      <c r="E1089" s="1" t="n">
        <v>46313</v>
      </c>
      <c r="F1089" t="inlineStr">
        <is>
          <t>SÖDERMANLANDS LÄN</t>
        </is>
      </c>
      <c r="G1089" t="inlineStr">
        <is>
          <t>ESKILSTUNA</t>
        </is>
      </c>
      <c r="I1089" t="n">
        <v>1.6</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46569-2022</t>
        </is>
      </c>
      <c r="B1090" t="inlineStr">
        <is>
          <t>avverkningsanmälan</t>
        </is>
      </c>
      <c r="C1090" t="inlineStr">
        <is>
          <t>Föryngringsavverkning</t>
        </is>
      </c>
      <c r="D1090" s="1" t="n">
        <v>44847</v>
      </c>
      <c r="E1090" s="1" t="n">
        <v>46313</v>
      </c>
      <c r="F1090" t="inlineStr">
        <is>
          <t>SÖDERMANLANDS LÄN</t>
        </is>
      </c>
      <c r="G1090" t="inlineStr">
        <is>
          <t>KATRINEHOLM</t>
        </is>
      </c>
      <c r="I1090" t="n">
        <v>1.7</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13849-2023</t>
        </is>
      </c>
      <c r="B1091" t="inlineStr">
        <is>
          <t>avverkningsanmälan</t>
        </is>
      </c>
      <c r="C1091" t="inlineStr">
        <is>
          <t>Föryngringsavverkning</t>
        </is>
      </c>
      <c r="D1091" s="1" t="n">
        <v>45007</v>
      </c>
      <c r="E1091" s="1" t="n">
        <v>46313</v>
      </c>
      <c r="F1091" t="inlineStr">
        <is>
          <t>SÖDERMANLANDS LÄN</t>
        </is>
      </c>
      <c r="G1091" t="inlineStr">
        <is>
          <t>ESKILSTUNA</t>
        </is>
      </c>
      <c r="I1091" t="n">
        <v>1.3</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1788-2023</t>
        </is>
      </c>
      <c r="B1092" t="inlineStr">
        <is>
          <t>avverkningsanmälan</t>
        </is>
      </c>
      <c r="C1092" t="inlineStr">
        <is>
          <t>Föryngringsavverkning</t>
        </is>
      </c>
      <c r="D1092" s="1" t="n">
        <v>44937</v>
      </c>
      <c r="E1092" s="1" t="n">
        <v>46313</v>
      </c>
      <c r="F1092" t="inlineStr">
        <is>
          <t>SÖDERMANLANDS LÄN</t>
        </is>
      </c>
      <c r="G1092" t="inlineStr">
        <is>
          <t>VINGÅKER</t>
        </is>
      </c>
      <c r="I1092" t="n">
        <v>1.5</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37733-2023</t>
        </is>
      </c>
      <c r="B1093" t="inlineStr">
        <is>
          <t>avverkningsanmälan</t>
        </is>
      </c>
      <c r="C1093" t="inlineStr">
        <is>
          <t>Föryngringsavverkning</t>
        </is>
      </c>
      <c r="D1093" s="1" t="n">
        <v>45159</v>
      </c>
      <c r="E1093" s="1" t="n">
        <v>46313</v>
      </c>
      <c r="F1093" t="inlineStr">
        <is>
          <t>SÖDERMANLANDS LÄN</t>
        </is>
      </c>
      <c r="G1093" t="inlineStr">
        <is>
          <t>NYKÖPING</t>
        </is>
      </c>
      <c r="H1093" t="inlineStr">
        <is>
          <t>Kommuner</t>
        </is>
      </c>
      <c r="I1093" t="n">
        <v>3.9</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19098-2022</t>
        </is>
      </c>
      <c r="B1094" t="inlineStr">
        <is>
          <t>avverkningsanmälan</t>
        </is>
      </c>
      <c r="C1094" t="inlineStr">
        <is>
          <t>Föryngringsavverkning</t>
        </is>
      </c>
      <c r="D1094" s="1" t="n">
        <v>44691</v>
      </c>
      <c r="E1094" s="1" t="n">
        <v>46313</v>
      </c>
      <c r="F1094" t="inlineStr">
        <is>
          <t>SÖDERMANLANDS LÄN</t>
        </is>
      </c>
      <c r="G1094" t="inlineStr">
        <is>
          <t>KATRINEHOLM</t>
        </is>
      </c>
      <c r="I1094" t="n">
        <v>5.5</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68401-2021</t>
        </is>
      </c>
      <c r="B1095" t="inlineStr">
        <is>
          <t>avverkningsanmälan</t>
        </is>
      </c>
      <c r="C1095" t="inlineStr">
        <is>
          <t>Föryngringsavverkning</t>
        </is>
      </c>
      <c r="D1095" s="1" t="n">
        <v>44529</v>
      </c>
      <c r="E1095" s="1" t="n">
        <v>46313</v>
      </c>
      <c r="F1095" t="inlineStr">
        <is>
          <t>SÖDERMANLANDS LÄN</t>
        </is>
      </c>
      <c r="G1095" t="inlineStr">
        <is>
          <t>NYKÖPING</t>
        </is>
      </c>
      <c r="H1095" t="inlineStr">
        <is>
          <t>Övriga Aktiebolag</t>
        </is>
      </c>
      <c r="I1095" t="n">
        <v>16</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51530-2023</t>
        </is>
      </c>
      <c r="B1096" t="inlineStr">
        <is>
          <t>avverkningsanmälan</t>
        </is>
      </c>
      <c r="C1096" t="inlineStr">
        <is>
          <t>Föryngringsavverkning</t>
        </is>
      </c>
      <c r="D1096" s="1" t="n">
        <v>45222</v>
      </c>
      <c r="E1096" s="1" t="n">
        <v>46313</v>
      </c>
      <c r="F1096" t="inlineStr">
        <is>
          <t>SÖDERMANLANDS LÄN</t>
        </is>
      </c>
      <c r="G1096" t="inlineStr">
        <is>
          <t>KATRINEHOLM</t>
        </is>
      </c>
      <c r="I1096" t="n">
        <v>0.9</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62948-2023</t>
        </is>
      </c>
      <c r="B1097" t="inlineStr">
        <is>
          <t>avverkningsanmälan</t>
        </is>
      </c>
      <c r="C1097" t="inlineStr">
        <is>
          <t>Föryngringsavverkning</t>
        </is>
      </c>
      <c r="D1097" s="1" t="n">
        <v>45271</v>
      </c>
      <c r="E1097" s="1" t="n">
        <v>46313</v>
      </c>
      <c r="F1097" t="inlineStr">
        <is>
          <t>SÖDERMANLANDS LÄN</t>
        </is>
      </c>
      <c r="G1097" t="inlineStr">
        <is>
          <t>NYKÖPING</t>
        </is>
      </c>
      <c r="I1097" t="n">
        <v>1.2</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14034-2024</t>
        </is>
      </c>
      <c r="B1098" t="inlineStr">
        <is>
          <t>avverkningsanmälan</t>
        </is>
      </c>
      <c r="C1098" t="inlineStr">
        <is>
          <t>Föryngringsavverkning</t>
        </is>
      </c>
      <c r="D1098" s="1" t="n">
        <v>45392</v>
      </c>
      <c r="E1098" s="1" t="n">
        <v>46313</v>
      </c>
      <c r="F1098" t="inlineStr">
        <is>
          <t>SÖDERMANLANDS LÄN</t>
        </is>
      </c>
      <c r="G1098" t="inlineStr">
        <is>
          <t>STRÄNGNÄS</t>
        </is>
      </c>
      <c r="I1098" t="n">
        <v>7</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53904-2022</t>
        </is>
      </c>
      <c r="B1099" t="inlineStr">
        <is>
          <t>avverkningsanmälan</t>
        </is>
      </c>
      <c r="C1099" t="inlineStr">
        <is>
          <t>Föryngringsavverkning</t>
        </is>
      </c>
      <c r="D1099" s="1" t="n">
        <v>44880</v>
      </c>
      <c r="E1099" s="1" t="n">
        <v>46313</v>
      </c>
      <c r="F1099" t="inlineStr">
        <is>
          <t>SÖDERMANLANDS LÄN</t>
        </is>
      </c>
      <c r="G1099" t="inlineStr">
        <is>
          <t>STRÄNGNÄS</t>
        </is>
      </c>
      <c r="I1099" t="n">
        <v>2.9</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36001-2024</t>
        </is>
      </c>
      <c r="B1100" t="inlineStr">
        <is>
          <t>avverkningsanmälan</t>
        </is>
      </c>
      <c r="C1100" t="inlineStr">
        <is>
          <t>Föryngringsavverkning</t>
        </is>
      </c>
      <c r="D1100" s="1" t="n">
        <v>45533</v>
      </c>
      <c r="E1100" s="1" t="n">
        <v>46313</v>
      </c>
      <c r="F1100" t="inlineStr">
        <is>
          <t>SÖDERMANLANDS LÄN</t>
        </is>
      </c>
      <c r="G1100" t="inlineStr">
        <is>
          <t>KATRINEHOLM</t>
        </is>
      </c>
      <c r="I1100" t="n">
        <v>1</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864-2023</t>
        </is>
      </c>
      <c r="B1101" t="inlineStr">
        <is>
          <t>avverkningsanmälan</t>
        </is>
      </c>
      <c r="C1101" t="inlineStr">
        <is>
          <t>Föryngringsavverkning</t>
        </is>
      </c>
      <c r="D1101" s="1" t="n">
        <v>44931</v>
      </c>
      <c r="E1101" s="1" t="n">
        <v>46313</v>
      </c>
      <c r="F1101" t="inlineStr">
        <is>
          <t>SÖDERMANLANDS LÄN</t>
        </is>
      </c>
      <c r="G1101" t="inlineStr">
        <is>
          <t>STRÄNGNÄS</t>
        </is>
      </c>
      <c r="I1101" t="n">
        <v>1.3</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36-2023</t>
        </is>
      </c>
      <c r="B1102" t="inlineStr">
        <is>
          <t>avverkningsanmälan</t>
        </is>
      </c>
      <c r="C1102" t="inlineStr">
        <is>
          <t>Föryngringsavverkning</t>
        </is>
      </c>
      <c r="D1102" s="1" t="n">
        <v>44928</v>
      </c>
      <c r="E1102" s="1" t="n">
        <v>46313</v>
      </c>
      <c r="F1102" t="inlineStr">
        <is>
          <t>SÖDERMANLANDS LÄN</t>
        </is>
      </c>
      <c r="G1102" t="inlineStr">
        <is>
          <t>KATRINEHOLM</t>
        </is>
      </c>
      <c r="I1102" t="n">
        <v>3.7</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49614-2023</t>
        </is>
      </c>
      <c r="B1103" t="inlineStr">
        <is>
          <t>avverkningsanmälan</t>
        </is>
      </c>
      <c r="C1103" t="inlineStr">
        <is>
          <t>Föryngringsavverkning</t>
        </is>
      </c>
      <c r="D1103" s="1" t="n">
        <v>45211</v>
      </c>
      <c r="E1103" s="1" t="n">
        <v>46313</v>
      </c>
      <c r="F1103" t="inlineStr">
        <is>
          <t>SÖDERMANLANDS LÄN</t>
        </is>
      </c>
      <c r="G1103" t="inlineStr">
        <is>
          <t>GNESTA</t>
        </is>
      </c>
      <c r="I1103" t="n">
        <v>3.9</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67736-2021</t>
        </is>
      </c>
      <c r="B1104" t="inlineStr">
        <is>
          <t>avverkningsanmälan</t>
        </is>
      </c>
      <c r="C1104" t="inlineStr">
        <is>
          <t>Föryngringsavverkning</t>
        </is>
      </c>
      <c r="D1104" s="1" t="n">
        <v>44525</v>
      </c>
      <c r="E1104" s="1" t="n">
        <v>46313</v>
      </c>
      <c r="F1104" t="inlineStr">
        <is>
          <t>SÖDERMANLANDS LÄN</t>
        </is>
      </c>
      <c r="G1104" t="inlineStr">
        <is>
          <t>NYKÖPING</t>
        </is>
      </c>
      <c r="I1104" t="n">
        <v>1.9</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3315-2023</t>
        </is>
      </c>
      <c r="B1105" t="inlineStr">
        <is>
          <t>avverkningsanmälan</t>
        </is>
      </c>
      <c r="C1105" t="inlineStr">
        <is>
          <t>Föryngringsavverkning</t>
        </is>
      </c>
      <c r="D1105" s="1" t="n">
        <v>44945</v>
      </c>
      <c r="E1105" s="1" t="n">
        <v>46313</v>
      </c>
      <c r="F1105" t="inlineStr">
        <is>
          <t>SÖDERMANLANDS LÄN</t>
        </is>
      </c>
      <c r="G1105" t="inlineStr">
        <is>
          <t>KATRINEHOLM</t>
        </is>
      </c>
      <c r="I1105" t="n">
        <v>0.8</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72117-2021</t>
        </is>
      </c>
      <c r="B1106" t="inlineStr">
        <is>
          <t>avverkningsanmälan</t>
        </is>
      </c>
      <c r="C1106" t="inlineStr">
        <is>
          <t>Föryngringsavverkning</t>
        </is>
      </c>
      <c r="D1106" s="1" t="n">
        <v>44543</v>
      </c>
      <c r="E1106" s="1" t="n">
        <v>46313</v>
      </c>
      <c r="F1106" t="inlineStr">
        <is>
          <t>SÖDERMANLANDS LÄN</t>
        </is>
      </c>
      <c r="G1106" t="inlineStr">
        <is>
          <t>NYKÖPING</t>
        </is>
      </c>
      <c r="I1106" t="n">
        <v>14.9</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43533-2024</t>
        </is>
      </c>
      <c r="B1107" t="inlineStr">
        <is>
          <t>avverkningsanmälan</t>
        </is>
      </c>
      <c r="C1107" t="inlineStr">
        <is>
          <t>Föryngringsavverkning</t>
        </is>
      </c>
      <c r="D1107" s="1" t="n">
        <v>45569</v>
      </c>
      <c r="E1107" s="1" t="n">
        <v>46313</v>
      </c>
      <c r="F1107" t="inlineStr">
        <is>
          <t>SÖDERMANLANDS LÄN</t>
        </is>
      </c>
      <c r="G1107" t="inlineStr">
        <is>
          <t>GNESTA</t>
        </is>
      </c>
      <c r="I1107" t="n">
        <v>1.2</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42726-2023</t>
        </is>
      </c>
      <c r="B1108" t="inlineStr">
        <is>
          <t>avverkningsanmälan</t>
        </is>
      </c>
      <c r="C1108" t="inlineStr">
        <is>
          <t>Föryngringsavverkning</t>
        </is>
      </c>
      <c r="D1108" s="1" t="n">
        <v>45181</v>
      </c>
      <c r="E1108" s="1" t="n">
        <v>46313</v>
      </c>
      <c r="F1108" t="inlineStr">
        <is>
          <t>SÖDERMANLANDS LÄN</t>
        </is>
      </c>
      <c r="G1108" t="inlineStr">
        <is>
          <t>STRÄNGNÄS</t>
        </is>
      </c>
      <c r="I1108" t="n">
        <v>2.7</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55673-2024</t>
        </is>
      </c>
      <c r="B1109" t="inlineStr">
        <is>
          <t>avverkningsanmälan</t>
        </is>
      </c>
      <c r="C1109" t="inlineStr">
        <is>
          <t>Föryngringsavverkning</t>
        </is>
      </c>
      <c r="D1109" s="1" t="n">
        <v>45622</v>
      </c>
      <c r="E1109" s="1" t="n">
        <v>46313</v>
      </c>
      <c r="F1109" t="inlineStr">
        <is>
          <t>SÖDERMANLANDS LÄN</t>
        </is>
      </c>
      <c r="G1109" t="inlineStr">
        <is>
          <t>ESKILSTUNA</t>
        </is>
      </c>
      <c r="I1109" t="n">
        <v>0.5</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2093-2025</t>
        </is>
      </c>
      <c r="B1110" t="inlineStr">
        <is>
          <t>avverkningsanmälan</t>
        </is>
      </c>
      <c r="C1110" t="inlineStr">
        <is>
          <t>Föryngringsavverkning</t>
        </is>
      </c>
      <c r="D1110" s="1" t="n">
        <v>45672</v>
      </c>
      <c r="E1110" s="1" t="n">
        <v>46313</v>
      </c>
      <c r="F1110" t="inlineStr">
        <is>
          <t>SÖDERMANLANDS LÄN</t>
        </is>
      </c>
      <c r="G1110" t="inlineStr">
        <is>
          <t>KATRINEHOLM</t>
        </is>
      </c>
      <c r="I1110" t="n">
        <v>1.4</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4959-2022</t>
        </is>
      </c>
      <c r="B1111" t="inlineStr">
        <is>
          <t>avverkningsanmälan</t>
        </is>
      </c>
      <c r="C1111" t="inlineStr">
        <is>
          <t>Föryngringsavverkning</t>
        </is>
      </c>
      <c r="D1111" s="1" t="n">
        <v>44593</v>
      </c>
      <c r="E1111" s="1" t="n">
        <v>46313</v>
      </c>
      <c r="F1111" t="inlineStr">
        <is>
          <t>SÖDERMANLANDS LÄN</t>
        </is>
      </c>
      <c r="G1111" t="inlineStr">
        <is>
          <t>VINGÅKER</t>
        </is>
      </c>
      <c r="I1111" t="n">
        <v>3.7</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68020-2021</t>
        </is>
      </c>
      <c r="B1112" t="inlineStr">
        <is>
          <t>avverkningsanmälan</t>
        </is>
      </c>
      <c r="C1112" t="inlineStr">
        <is>
          <t>Föryngringsavverkning</t>
        </is>
      </c>
      <c r="D1112" s="1" t="n">
        <v>44525</v>
      </c>
      <c r="E1112" s="1" t="n">
        <v>46313</v>
      </c>
      <c r="F1112" t="inlineStr">
        <is>
          <t>SÖDERMANLANDS LÄN</t>
        </is>
      </c>
      <c r="G1112" t="inlineStr">
        <is>
          <t>ESKILSTUNA</t>
        </is>
      </c>
      <c r="I1112" t="n">
        <v>0.4</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25227-2022</t>
        </is>
      </c>
      <c r="B1113" t="inlineStr">
        <is>
          <t>avverkningsanmälan</t>
        </is>
      </c>
      <c r="C1113" t="inlineStr">
        <is>
          <t>Föryngringsavverkning</t>
        </is>
      </c>
      <c r="D1113" s="1" t="n">
        <v>44729</v>
      </c>
      <c r="E1113" s="1" t="n">
        <v>46313</v>
      </c>
      <c r="F1113" t="inlineStr">
        <is>
          <t>SÖDERMANLANDS LÄN</t>
        </is>
      </c>
      <c r="G1113" t="inlineStr">
        <is>
          <t>ESKILSTUNA</t>
        </is>
      </c>
      <c r="H1113" t="inlineStr">
        <is>
          <t>Kyrkan</t>
        </is>
      </c>
      <c r="I1113" t="n">
        <v>0.9</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37361-2024</t>
        </is>
      </c>
      <c r="B1114" t="inlineStr">
        <is>
          <t>avverkningsanmälan</t>
        </is>
      </c>
      <c r="C1114" t="inlineStr">
        <is>
          <t>Föryngringsavverkning</t>
        </is>
      </c>
      <c r="D1114" s="1" t="n">
        <v>45540</v>
      </c>
      <c r="E1114" s="1" t="n">
        <v>46313</v>
      </c>
      <c r="F1114" t="inlineStr">
        <is>
          <t>SÖDERMANLANDS LÄN</t>
        </is>
      </c>
      <c r="G1114" t="inlineStr">
        <is>
          <t>NYKÖPING</t>
        </is>
      </c>
      <c r="H1114" t="inlineStr">
        <is>
          <t>Holmen skog AB</t>
        </is>
      </c>
      <c r="I1114" t="n">
        <v>1.1</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5349-2022</t>
        </is>
      </c>
      <c r="B1115" t="inlineStr">
        <is>
          <t>avverkningsanmälan</t>
        </is>
      </c>
      <c r="C1115" t="inlineStr">
        <is>
          <t>Föryngringsavverkning</t>
        </is>
      </c>
      <c r="D1115" s="1" t="n">
        <v>44594</v>
      </c>
      <c r="E1115" s="1" t="n">
        <v>46313</v>
      </c>
      <c r="F1115" t="inlineStr">
        <is>
          <t>SÖDERMANLANDS LÄN</t>
        </is>
      </c>
      <c r="G1115" t="inlineStr">
        <is>
          <t>VINGÅKER</t>
        </is>
      </c>
      <c r="I1115" t="n">
        <v>1.2</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39226-2023</t>
        </is>
      </c>
      <c r="B1116" t="inlineStr">
        <is>
          <t>avverkningsanmälan</t>
        </is>
      </c>
      <c r="C1116" t="inlineStr">
        <is>
          <t>Föryngringsavverkning</t>
        </is>
      </c>
      <c r="D1116" s="1" t="n">
        <v>45166</v>
      </c>
      <c r="E1116" s="1" t="n">
        <v>46313</v>
      </c>
      <c r="F1116" t="inlineStr">
        <is>
          <t>SÖDERMANLANDS LÄN</t>
        </is>
      </c>
      <c r="G1116" t="inlineStr">
        <is>
          <t>FLEN</t>
        </is>
      </c>
      <c r="I1116" t="n">
        <v>3.5</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63732-2021</t>
        </is>
      </c>
      <c r="B1117" t="inlineStr">
        <is>
          <t>avverkningsanmälan</t>
        </is>
      </c>
      <c r="C1117" t="inlineStr">
        <is>
          <t>Föryngringsavverkning</t>
        </is>
      </c>
      <c r="D1117" s="1" t="n">
        <v>44508</v>
      </c>
      <c r="E1117" s="1" t="n">
        <v>46313</v>
      </c>
      <c r="F1117" t="inlineStr">
        <is>
          <t>SÖDERMANLANDS LÄN</t>
        </is>
      </c>
      <c r="G1117" t="inlineStr">
        <is>
          <t>STRÄNGNÄS</t>
        </is>
      </c>
      <c r="I1117" t="n">
        <v>6.1</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3341-2022</t>
        </is>
      </c>
      <c r="B1118" t="inlineStr">
        <is>
          <t>avverkningsanmälan</t>
        </is>
      </c>
      <c r="C1118" t="inlineStr">
        <is>
          <t>Föryngringsavverkning</t>
        </is>
      </c>
      <c r="D1118" s="1" t="n">
        <v>44582</v>
      </c>
      <c r="E1118" s="1" t="n">
        <v>46313</v>
      </c>
      <c r="F1118" t="inlineStr">
        <is>
          <t>SÖDERMANLANDS LÄN</t>
        </is>
      </c>
      <c r="G1118" t="inlineStr">
        <is>
          <t>ESKILSTUNA</t>
        </is>
      </c>
      <c r="I1118" t="n">
        <v>2.8</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62579-2023</t>
        </is>
      </c>
      <c r="B1119" t="inlineStr">
        <is>
          <t>avverkningsanmälan</t>
        </is>
      </c>
      <c r="C1119" t="inlineStr">
        <is>
          <t>Avverkning för annat ändamål</t>
        </is>
      </c>
      <c r="D1119" s="1" t="n">
        <v>45270</v>
      </c>
      <c r="E1119" s="1" t="n">
        <v>46313</v>
      </c>
      <c r="F1119" t="inlineStr">
        <is>
          <t>SÖDERMANLANDS LÄN</t>
        </is>
      </c>
      <c r="G1119" t="inlineStr">
        <is>
          <t>FLEN</t>
        </is>
      </c>
      <c r="I1119" t="n">
        <v>6</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7163-2023</t>
        </is>
      </c>
      <c r="B1120" t="inlineStr">
        <is>
          <t>avverkningsanmälan</t>
        </is>
      </c>
      <c r="C1120" t="inlineStr">
        <is>
          <t>Föryngringsavverkning</t>
        </is>
      </c>
      <c r="D1120" s="1" t="n">
        <v>44970</v>
      </c>
      <c r="E1120" s="1" t="n">
        <v>46313</v>
      </c>
      <c r="F1120" t="inlineStr">
        <is>
          <t>SÖDERMANLANDS LÄN</t>
        </is>
      </c>
      <c r="G1120" t="inlineStr">
        <is>
          <t>FLEN</t>
        </is>
      </c>
      <c r="H1120" t="inlineStr">
        <is>
          <t>Kommuner</t>
        </is>
      </c>
      <c r="I1120" t="n">
        <v>11.2</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41137-2022</t>
        </is>
      </c>
      <c r="B1121" t="inlineStr">
        <is>
          <t>avverkningsanmälan</t>
        </is>
      </c>
      <c r="C1121" t="inlineStr">
        <is>
          <t>Föryngringsavverkning</t>
        </is>
      </c>
      <c r="D1121" s="1" t="n">
        <v>44825</v>
      </c>
      <c r="E1121" s="1" t="n">
        <v>46313</v>
      </c>
      <c r="F1121" t="inlineStr">
        <is>
          <t>SÖDERMANLANDS LÄN</t>
        </is>
      </c>
      <c r="G1121" t="inlineStr">
        <is>
          <t>NYKÖPING</t>
        </is>
      </c>
      <c r="I1121" t="n">
        <v>1</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6519-2023</t>
        </is>
      </c>
      <c r="B1122" t="inlineStr">
        <is>
          <t>avverkningsanmälan</t>
        </is>
      </c>
      <c r="C1122" t="inlineStr">
        <is>
          <t>Avverkning för annat ändamål</t>
        </is>
      </c>
      <c r="D1122" s="1" t="n">
        <v>44965</v>
      </c>
      <c r="E1122" s="1" t="n">
        <v>46313</v>
      </c>
      <c r="F1122" t="inlineStr">
        <is>
          <t>SÖDERMANLANDS LÄN</t>
        </is>
      </c>
      <c r="G1122" t="inlineStr">
        <is>
          <t>NYKÖPING</t>
        </is>
      </c>
      <c r="H1122" t="inlineStr">
        <is>
          <t>Kyrkan</t>
        </is>
      </c>
      <c r="I1122" t="n">
        <v>1.2</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44720-2022</t>
        </is>
      </c>
      <c r="B1123" t="inlineStr">
        <is>
          <t>avverkningsanmälan</t>
        </is>
      </c>
      <c r="C1123" t="inlineStr">
        <is>
          <t>Föryngringsavverkning</t>
        </is>
      </c>
      <c r="D1123" s="1" t="n">
        <v>44840</v>
      </c>
      <c r="E1123" s="1" t="n">
        <v>46313</v>
      </c>
      <c r="F1123" t="inlineStr">
        <is>
          <t>SÖDERMANLANDS LÄN</t>
        </is>
      </c>
      <c r="G1123" t="inlineStr">
        <is>
          <t>TROSA</t>
        </is>
      </c>
      <c r="I1123" t="n">
        <v>0.9</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57538-2022</t>
        </is>
      </c>
      <c r="B1124" t="inlineStr">
        <is>
          <t>avverkningsanmälan</t>
        </is>
      </c>
      <c r="C1124" t="inlineStr">
        <is>
          <t>Föryngringsavverkning</t>
        </is>
      </c>
      <c r="D1124" s="1" t="n">
        <v>44889</v>
      </c>
      <c r="E1124" s="1" t="n">
        <v>46313</v>
      </c>
      <c r="F1124" t="inlineStr">
        <is>
          <t>SÖDERMANLANDS LÄN</t>
        </is>
      </c>
      <c r="G1124" t="inlineStr">
        <is>
          <t>ESKILSTUNA</t>
        </is>
      </c>
      <c r="I1124" t="n">
        <v>3.3</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58518-2021</t>
        </is>
      </c>
      <c r="B1125" t="inlineStr">
        <is>
          <t>avverkningsanmälan</t>
        </is>
      </c>
      <c r="C1125" t="inlineStr">
        <is>
          <t>Föryngringsavverkning</t>
        </is>
      </c>
      <c r="D1125" s="1" t="n">
        <v>44488</v>
      </c>
      <c r="E1125" s="1" t="n">
        <v>46313</v>
      </c>
      <c r="F1125" t="inlineStr">
        <is>
          <t>SÖDERMANLANDS LÄN</t>
        </is>
      </c>
      <c r="G1125" t="inlineStr">
        <is>
          <t>STRÄNGNÄS</t>
        </is>
      </c>
      <c r="I1125" t="n">
        <v>1.4</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20826-2022</t>
        </is>
      </c>
      <c r="B1126" t="inlineStr">
        <is>
          <t>avverkningsanmälan</t>
        </is>
      </c>
      <c r="C1126" t="inlineStr">
        <is>
          <t>Föryngringsavverkning</t>
        </is>
      </c>
      <c r="D1126" s="1" t="n">
        <v>44701</v>
      </c>
      <c r="E1126" s="1" t="n">
        <v>46313</v>
      </c>
      <c r="F1126" t="inlineStr">
        <is>
          <t>SÖDERMANLANDS LÄN</t>
        </is>
      </c>
      <c r="G1126" t="inlineStr">
        <is>
          <t>KATRINEHOLM</t>
        </is>
      </c>
      <c r="I1126" t="n">
        <v>6.8</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20846-2022</t>
        </is>
      </c>
      <c r="B1127" t="inlineStr">
        <is>
          <t>avverkningsanmälan</t>
        </is>
      </c>
      <c r="C1127" t="inlineStr">
        <is>
          <t>Föryngringsavverkning</t>
        </is>
      </c>
      <c r="D1127" s="1" t="n">
        <v>44701</v>
      </c>
      <c r="E1127" s="1" t="n">
        <v>46313</v>
      </c>
      <c r="F1127" t="inlineStr">
        <is>
          <t>SÖDERMANLANDS LÄN</t>
        </is>
      </c>
      <c r="G1127" t="inlineStr">
        <is>
          <t>KATRINEHOLM</t>
        </is>
      </c>
      <c r="I1127" t="n">
        <v>0.8</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38607-2023</t>
        </is>
      </c>
      <c r="B1128" t="inlineStr">
        <is>
          <t>avverkningsanmälan</t>
        </is>
      </c>
      <c r="C1128" t="inlineStr">
        <is>
          <t>Föryngringsavverkning</t>
        </is>
      </c>
      <c r="D1128" s="1" t="n">
        <v>45162</v>
      </c>
      <c r="E1128" s="1" t="n">
        <v>46313</v>
      </c>
      <c r="F1128" t="inlineStr">
        <is>
          <t>SÖDERMANLANDS LÄN</t>
        </is>
      </c>
      <c r="G1128" t="inlineStr">
        <is>
          <t>NYKÖPING</t>
        </is>
      </c>
      <c r="H1128" t="inlineStr">
        <is>
          <t>Kommuner</t>
        </is>
      </c>
      <c r="I1128" t="n">
        <v>4.9</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55779-2022</t>
        </is>
      </c>
      <c r="B1129" t="inlineStr">
        <is>
          <t>avverkningsanmälan</t>
        </is>
      </c>
      <c r="C1129" t="inlineStr">
        <is>
          <t>Föryngringsavverkning</t>
        </is>
      </c>
      <c r="D1129" s="1" t="n">
        <v>44886</v>
      </c>
      <c r="E1129" s="1" t="n">
        <v>46313</v>
      </c>
      <c r="F1129" t="inlineStr">
        <is>
          <t>SÖDERMANLANDS LÄN</t>
        </is>
      </c>
      <c r="G1129" t="inlineStr">
        <is>
          <t>ESKILSTUNA</t>
        </is>
      </c>
      <c r="I1129" t="n">
        <v>0.8</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46882-2023</t>
        </is>
      </c>
      <c r="B1130" t="inlineStr">
        <is>
          <t>avverkningsanmälan</t>
        </is>
      </c>
      <c r="C1130" t="inlineStr">
        <is>
          <t>Föryngringsavverkning</t>
        </is>
      </c>
      <c r="D1130" s="1" t="n">
        <v>45201</v>
      </c>
      <c r="E1130" s="1" t="n">
        <v>46313</v>
      </c>
      <c r="F1130" t="inlineStr">
        <is>
          <t>SÖDERMANLANDS LÄN</t>
        </is>
      </c>
      <c r="G1130" t="inlineStr">
        <is>
          <t>STRÄNGNÄS</t>
        </is>
      </c>
      <c r="I1130" t="n">
        <v>8.5</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60748-2021</t>
        </is>
      </c>
      <c r="B1131" t="inlineStr">
        <is>
          <t>avverkningsanmälan</t>
        </is>
      </c>
      <c r="C1131" t="inlineStr">
        <is>
          <t>Föryngringsavverkning</t>
        </is>
      </c>
      <c r="D1131" s="1" t="n">
        <v>44496</v>
      </c>
      <c r="E1131" s="1" t="n">
        <v>46313</v>
      </c>
      <c r="F1131" t="inlineStr">
        <is>
          <t>SÖDERMANLANDS LÄN</t>
        </is>
      </c>
      <c r="G1131" t="inlineStr">
        <is>
          <t>STRÄNGNÄS</t>
        </is>
      </c>
      <c r="I1131" t="n">
        <v>1.9</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32325-2023</t>
        </is>
      </c>
      <c r="B1132" t="inlineStr">
        <is>
          <t>avverkningsanmälan</t>
        </is>
      </c>
      <c r="C1132" t="inlineStr">
        <is>
          <t>Föryngringsavverkning</t>
        </is>
      </c>
      <c r="D1132" s="1" t="n">
        <v>45120</v>
      </c>
      <c r="E1132" s="1" t="n">
        <v>46313</v>
      </c>
      <c r="F1132" t="inlineStr">
        <is>
          <t>SÖDERMANLANDS LÄN</t>
        </is>
      </c>
      <c r="G1132" t="inlineStr">
        <is>
          <t>VINGÅKER</t>
        </is>
      </c>
      <c r="H1132" t="inlineStr">
        <is>
          <t>Sveaskog</t>
        </is>
      </c>
      <c r="I1132" t="n">
        <v>2.3</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36096-2023</t>
        </is>
      </c>
      <c r="B1133" t="inlineStr">
        <is>
          <t>avverkningsanmälan</t>
        </is>
      </c>
      <c r="C1133" t="inlineStr">
        <is>
          <t>Föryngringsavverkning</t>
        </is>
      </c>
      <c r="D1133" s="1" t="n">
        <v>45149</v>
      </c>
      <c r="E1133" s="1" t="n">
        <v>46313</v>
      </c>
      <c r="F1133" t="inlineStr">
        <is>
          <t>SÖDERMANLANDS LÄN</t>
        </is>
      </c>
      <c r="G1133" t="inlineStr">
        <is>
          <t>FLEN</t>
        </is>
      </c>
      <c r="H1133" t="inlineStr">
        <is>
          <t>Kyrkan</t>
        </is>
      </c>
      <c r="I1133" t="n">
        <v>2.1</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2087-2024</t>
        </is>
      </c>
      <c r="B1134" t="inlineStr">
        <is>
          <t>avverkningsanmälan</t>
        </is>
      </c>
      <c r="C1134" t="inlineStr">
        <is>
          <t>Föryngringsavverkning</t>
        </is>
      </c>
      <c r="D1134" s="1" t="n">
        <v>45309</v>
      </c>
      <c r="E1134" s="1" t="n">
        <v>46313</v>
      </c>
      <c r="F1134" t="inlineStr">
        <is>
          <t>SÖDERMANLANDS LÄN</t>
        </is>
      </c>
      <c r="G1134" t="inlineStr">
        <is>
          <t>FLEN</t>
        </is>
      </c>
      <c r="I1134" t="n">
        <v>1.9</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12930-2023</t>
        </is>
      </c>
      <c r="B1135" t="inlineStr">
        <is>
          <t>avverkningsanmälan</t>
        </is>
      </c>
      <c r="C1135" t="inlineStr">
        <is>
          <t>Föryngringsavverkning</t>
        </is>
      </c>
      <c r="D1135" s="1" t="n">
        <v>45001</v>
      </c>
      <c r="E1135" s="1" t="n">
        <v>46313</v>
      </c>
      <c r="F1135" t="inlineStr">
        <is>
          <t>SÖDERMANLANDS LÄN</t>
        </is>
      </c>
      <c r="G1135" t="inlineStr">
        <is>
          <t>KATRINEHOLM</t>
        </is>
      </c>
      <c r="I1135" t="n">
        <v>0.7</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25823-2022</t>
        </is>
      </c>
      <c r="B1136" t="inlineStr">
        <is>
          <t>avverkningsanmälan</t>
        </is>
      </c>
      <c r="C1136" t="inlineStr">
        <is>
          <t>Föryngringsavverkning</t>
        </is>
      </c>
      <c r="D1136" s="1" t="n">
        <v>44733</v>
      </c>
      <c r="E1136" s="1" t="n">
        <v>46313</v>
      </c>
      <c r="F1136" t="inlineStr">
        <is>
          <t>SÖDERMANLANDS LÄN</t>
        </is>
      </c>
      <c r="G1136" t="inlineStr">
        <is>
          <t>FLEN</t>
        </is>
      </c>
      <c r="I1136" t="n">
        <v>8.699999999999999</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12716-2023</t>
        </is>
      </c>
      <c r="B1137" t="inlineStr">
        <is>
          <t>avverkningsanmälan</t>
        </is>
      </c>
      <c r="C1137" t="inlineStr">
        <is>
          <t>Föryngringsavverkning</t>
        </is>
      </c>
      <c r="D1137" s="1" t="n">
        <v>44999</v>
      </c>
      <c r="E1137" s="1" t="n">
        <v>46313</v>
      </c>
      <c r="F1137" t="inlineStr">
        <is>
          <t>SÖDERMANLANDS LÄN</t>
        </is>
      </c>
      <c r="G1137" t="inlineStr">
        <is>
          <t>VINGÅKER</t>
        </is>
      </c>
      <c r="H1137" t="inlineStr">
        <is>
          <t>Kommuner</t>
        </is>
      </c>
      <c r="I1137" t="n">
        <v>1.4</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23031-2024</t>
        </is>
      </c>
      <c r="B1138" t="inlineStr">
        <is>
          <t>avverkningsanmälan</t>
        </is>
      </c>
      <c r="C1138" t="inlineStr">
        <is>
          <t>Avverkning för att bevara och utveckla /försöksver</t>
        </is>
      </c>
      <c r="D1138" s="1" t="n">
        <v>45450</v>
      </c>
      <c r="E1138" s="1" t="n">
        <v>46313</v>
      </c>
      <c r="F1138" t="inlineStr">
        <is>
          <t>SÖDERMANLANDS LÄN</t>
        </is>
      </c>
      <c r="G1138" t="inlineStr">
        <is>
          <t>KATRINEHOLM</t>
        </is>
      </c>
      <c r="I1138" t="n">
        <v>0.6</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48858-2023</t>
        </is>
      </c>
      <c r="B1139" t="inlineStr">
        <is>
          <t>avverkningsanmälan</t>
        </is>
      </c>
      <c r="C1139" t="inlineStr">
        <is>
          <t>Föryngringsavverkning</t>
        </is>
      </c>
      <c r="D1139" s="1" t="n">
        <v>45209</v>
      </c>
      <c r="E1139" s="1" t="n">
        <v>46313</v>
      </c>
      <c r="F1139" t="inlineStr">
        <is>
          <t>SÖDERMANLANDS LÄN</t>
        </is>
      </c>
      <c r="G1139" t="inlineStr">
        <is>
          <t>FLEN</t>
        </is>
      </c>
      <c r="I1139" t="n">
        <v>5</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56442-2022</t>
        </is>
      </c>
      <c r="B1140" t="inlineStr">
        <is>
          <t>avverkningsanmälan</t>
        </is>
      </c>
      <c r="C1140" t="inlineStr">
        <is>
          <t>Föryngringsavverkning</t>
        </is>
      </c>
      <c r="D1140" s="1" t="n">
        <v>44892</v>
      </c>
      <c r="E1140" s="1" t="n">
        <v>46313</v>
      </c>
      <c r="F1140" t="inlineStr">
        <is>
          <t>SÖDERMANLANDS LÄN</t>
        </is>
      </c>
      <c r="G1140" t="inlineStr">
        <is>
          <t>GNESTA</t>
        </is>
      </c>
      <c r="I1140" t="n">
        <v>1.4</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38895-2023</t>
        </is>
      </c>
      <c r="B1141" t="inlineStr">
        <is>
          <t>avverkningsanmälan</t>
        </is>
      </c>
      <c r="C1141" t="inlineStr">
        <is>
          <t>Avverkning för annat ändamål</t>
        </is>
      </c>
      <c r="D1141" s="1" t="n">
        <v>45163</v>
      </c>
      <c r="E1141" s="1" t="n">
        <v>46313</v>
      </c>
      <c r="F1141" t="inlineStr">
        <is>
          <t>SÖDERMANLANDS LÄN</t>
        </is>
      </c>
      <c r="G1141" t="inlineStr">
        <is>
          <t>ESKILSTUNA</t>
        </is>
      </c>
      <c r="I1141" t="n">
        <v>2.9</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38149-2024</t>
        </is>
      </c>
      <c r="B1142" t="inlineStr">
        <is>
          <t>avverkningsanmälan</t>
        </is>
      </c>
      <c r="C1142" t="inlineStr">
        <is>
          <t>Avverkning för annat ändamål</t>
        </is>
      </c>
      <c r="D1142" s="1" t="n">
        <v>45545</v>
      </c>
      <c r="E1142" s="1" t="n">
        <v>46313</v>
      </c>
      <c r="F1142" t="inlineStr">
        <is>
          <t>SÖDERMANLANDS LÄN</t>
        </is>
      </c>
      <c r="G1142" t="inlineStr">
        <is>
          <t>NYKÖPING</t>
        </is>
      </c>
      <c r="I1142" t="n">
        <v>5.6</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45882-2022</t>
        </is>
      </c>
      <c r="B1143" t="inlineStr">
        <is>
          <t>avverkningsanmälan</t>
        </is>
      </c>
      <c r="C1143" t="inlineStr">
        <is>
          <t>Föryngringsavverkning</t>
        </is>
      </c>
      <c r="D1143" s="1" t="n">
        <v>44844</v>
      </c>
      <c r="E1143" s="1" t="n">
        <v>46313</v>
      </c>
      <c r="F1143" t="inlineStr">
        <is>
          <t>SÖDERMANLANDS LÄN</t>
        </is>
      </c>
      <c r="G1143" t="inlineStr">
        <is>
          <t>ESKILSTUNA</t>
        </is>
      </c>
      <c r="I1143" t="n">
        <v>4.8</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45884-2022</t>
        </is>
      </c>
      <c r="B1144" t="inlineStr">
        <is>
          <t>avverkningsanmälan</t>
        </is>
      </c>
      <c r="C1144" t="inlineStr">
        <is>
          <t>Föryngringsavverkning</t>
        </is>
      </c>
      <c r="D1144" s="1" t="n">
        <v>44844</v>
      </c>
      <c r="E1144" s="1" t="n">
        <v>46313</v>
      </c>
      <c r="F1144" t="inlineStr">
        <is>
          <t>SÖDERMANLANDS LÄN</t>
        </is>
      </c>
      <c r="G1144" t="inlineStr">
        <is>
          <t>ESKILSTUNA</t>
        </is>
      </c>
      <c r="I1144" t="n">
        <v>1</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55741-2022</t>
        </is>
      </c>
      <c r="B1145" t="inlineStr">
        <is>
          <t>avverkningsanmälan</t>
        </is>
      </c>
      <c r="C1145" t="inlineStr">
        <is>
          <t>Föryngringsavverkning</t>
        </is>
      </c>
      <c r="D1145" s="1" t="n">
        <v>44883</v>
      </c>
      <c r="E1145" s="1" t="n">
        <v>46313</v>
      </c>
      <c r="F1145" t="inlineStr">
        <is>
          <t>SÖDERMANLANDS LÄN</t>
        </is>
      </c>
      <c r="G1145" t="inlineStr">
        <is>
          <t>ESKILSTUNA</t>
        </is>
      </c>
      <c r="I1145" t="n">
        <v>1.2</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55856-2022</t>
        </is>
      </c>
      <c r="B1146" t="inlineStr">
        <is>
          <t>avverkningsanmälan</t>
        </is>
      </c>
      <c r="C1146" t="inlineStr">
        <is>
          <t>Föryngringsavverkning</t>
        </is>
      </c>
      <c r="D1146" s="1" t="n">
        <v>44888</v>
      </c>
      <c r="E1146" s="1" t="n">
        <v>46313</v>
      </c>
      <c r="F1146" t="inlineStr">
        <is>
          <t>SÖDERMANLANDS LÄN</t>
        </is>
      </c>
      <c r="G1146" t="inlineStr">
        <is>
          <t>KATRINEHOLM</t>
        </is>
      </c>
      <c r="I1146" t="n">
        <v>5.6</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37542-2022</t>
        </is>
      </c>
      <c r="B1147" t="inlineStr">
        <is>
          <t>avverkningsanmälan</t>
        </is>
      </c>
      <c r="C1147" t="inlineStr">
        <is>
          <t>Föryngringsavverkning</t>
        </is>
      </c>
      <c r="D1147" s="1" t="n">
        <v>44809</v>
      </c>
      <c r="E1147" s="1" t="n">
        <v>46313</v>
      </c>
      <c r="F1147" t="inlineStr">
        <is>
          <t>SÖDERMANLANDS LÄN</t>
        </is>
      </c>
      <c r="G1147" t="inlineStr">
        <is>
          <t>KATRINEHOLM</t>
        </is>
      </c>
      <c r="I1147" t="n">
        <v>1.3</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5822-2023</t>
        </is>
      </c>
      <c r="B1148" t="inlineStr">
        <is>
          <t>avverkningsanmälan</t>
        </is>
      </c>
      <c r="C1148" t="inlineStr">
        <is>
          <t>Föryngringsavverkning</t>
        </is>
      </c>
      <c r="D1148" s="1" t="n">
        <v>44958</v>
      </c>
      <c r="E1148" s="1" t="n">
        <v>46313</v>
      </c>
      <c r="F1148" t="inlineStr">
        <is>
          <t>SÖDERMANLANDS LÄN</t>
        </is>
      </c>
      <c r="G1148" t="inlineStr">
        <is>
          <t>GNESTA</t>
        </is>
      </c>
      <c r="I1148" t="n">
        <v>2</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48709-2022</t>
        </is>
      </c>
      <c r="B1149" t="inlineStr">
        <is>
          <t>avverkningsanmälan</t>
        </is>
      </c>
      <c r="C1149" t="inlineStr">
        <is>
          <t>Föryngringsavverkning</t>
        </is>
      </c>
      <c r="D1149" s="1" t="n">
        <v>44859</v>
      </c>
      <c r="E1149" s="1" t="n">
        <v>46313</v>
      </c>
      <c r="F1149" t="inlineStr">
        <is>
          <t>SÖDERMANLANDS LÄN</t>
        </is>
      </c>
      <c r="G1149" t="inlineStr">
        <is>
          <t>NYKÖPING</t>
        </is>
      </c>
      <c r="H1149" t="inlineStr">
        <is>
          <t>Holmen skog AB</t>
        </is>
      </c>
      <c r="I1149" t="n">
        <v>0.8</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15284-2023</t>
        </is>
      </c>
      <c r="B1150" t="inlineStr">
        <is>
          <t>avverkningsanmälan</t>
        </is>
      </c>
      <c r="C1150" t="inlineStr">
        <is>
          <t>Föryngringsavverkning</t>
        </is>
      </c>
      <c r="D1150" s="1" t="n">
        <v>45019</v>
      </c>
      <c r="E1150" s="1" t="n">
        <v>46313</v>
      </c>
      <c r="F1150" t="inlineStr">
        <is>
          <t>SÖDERMANLANDS LÄN</t>
        </is>
      </c>
      <c r="G1150" t="inlineStr">
        <is>
          <t>KATRINEHOLM</t>
        </is>
      </c>
      <c r="H1150" t="inlineStr">
        <is>
          <t>Allmännings- och besparingsskogar</t>
        </is>
      </c>
      <c r="I1150" t="n">
        <v>17.4</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38745-2023</t>
        </is>
      </c>
      <c r="B1151" t="inlineStr">
        <is>
          <t>avverkningsanmälan</t>
        </is>
      </c>
      <c r="C1151" t="inlineStr">
        <is>
          <t>Föryngringsavverkning</t>
        </is>
      </c>
      <c r="D1151" s="1" t="n">
        <v>45161</v>
      </c>
      <c r="E1151" s="1" t="n">
        <v>46313</v>
      </c>
      <c r="F1151" t="inlineStr">
        <is>
          <t>SÖDERMANLANDS LÄN</t>
        </is>
      </c>
      <c r="G1151" t="inlineStr">
        <is>
          <t>NYKÖPING</t>
        </is>
      </c>
      <c r="I1151" t="n">
        <v>2.2</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36636-2022</t>
        </is>
      </c>
      <c r="B1152" t="inlineStr">
        <is>
          <t>avverkningsanmälan</t>
        </is>
      </c>
      <c r="C1152" t="inlineStr">
        <is>
          <t>Föryngringsavverkning</t>
        </is>
      </c>
      <c r="D1152" s="1" t="n">
        <v>44804</v>
      </c>
      <c r="E1152" s="1" t="n">
        <v>46313</v>
      </c>
      <c r="F1152" t="inlineStr">
        <is>
          <t>SÖDERMANLANDS LÄN</t>
        </is>
      </c>
      <c r="G1152" t="inlineStr">
        <is>
          <t>ESKILSTUNA</t>
        </is>
      </c>
      <c r="I1152" t="n">
        <v>1.5</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10435-2022</t>
        </is>
      </c>
      <c r="B1153" t="inlineStr">
        <is>
          <t>avverkningsanmälan</t>
        </is>
      </c>
      <c r="C1153" t="inlineStr">
        <is>
          <t>Föryngringsavverkning</t>
        </is>
      </c>
      <c r="D1153" s="1" t="n">
        <v>44623</v>
      </c>
      <c r="E1153" s="1" t="n">
        <v>46313</v>
      </c>
      <c r="F1153" t="inlineStr">
        <is>
          <t>SÖDERMANLANDS LÄN</t>
        </is>
      </c>
      <c r="G1153" t="inlineStr">
        <is>
          <t>NYKÖPING</t>
        </is>
      </c>
      <c r="I1153" t="n">
        <v>6.4</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10440-2022</t>
        </is>
      </c>
      <c r="B1154" t="inlineStr">
        <is>
          <t>avverkningsanmälan</t>
        </is>
      </c>
      <c r="C1154" t="inlineStr">
        <is>
          <t>Avverkning för annat ändamål</t>
        </is>
      </c>
      <c r="D1154" s="1" t="n">
        <v>44623</v>
      </c>
      <c r="E1154" s="1" t="n">
        <v>46313</v>
      </c>
      <c r="F1154" t="inlineStr">
        <is>
          <t>SÖDERMANLANDS LÄN</t>
        </is>
      </c>
      <c r="G1154" t="inlineStr">
        <is>
          <t>VINGÅKER</t>
        </is>
      </c>
      <c r="I1154" t="n">
        <v>1.1</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34739-2023</t>
        </is>
      </c>
      <c r="B1155" t="inlineStr">
        <is>
          <t>avverkningsanmälan</t>
        </is>
      </c>
      <c r="C1155" t="inlineStr">
        <is>
          <t>Föryngringsavverkning</t>
        </is>
      </c>
      <c r="D1155" s="1" t="n">
        <v>45141</v>
      </c>
      <c r="E1155" s="1" t="n">
        <v>46313</v>
      </c>
      <c r="F1155" t="inlineStr">
        <is>
          <t>SÖDERMANLANDS LÄN</t>
        </is>
      </c>
      <c r="G1155" t="inlineStr">
        <is>
          <t>KATRINEHOLM</t>
        </is>
      </c>
      <c r="I1155" t="n">
        <v>1.4</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53413-2022</t>
        </is>
      </c>
      <c r="B1156" t="inlineStr">
        <is>
          <t>avverkningsanmälan</t>
        </is>
      </c>
      <c r="C1156" t="inlineStr">
        <is>
          <t>Föryngringsavverkning</t>
        </is>
      </c>
      <c r="D1156" s="1" t="n">
        <v>44879</v>
      </c>
      <c r="E1156" s="1" t="n">
        <v>46313</v>
      </c>
      <c r="F1156" t="inlineStr">
        <is>
          <t>SÖDERMANLANDS LÄN</t>
        </is>
      </c>
      <c r="G1156" t="inlineStr">
        <is>
          <t>NYKÖPING</t>
        </is>
      </c>
      <c r="H1156" t="inlineStr">
        <is>
          <t>Övriga Aktiebolag</t>
        </is>
      </c>
      <c r="I1156" t="n">
        <v>8.800000000000001</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7644-2023</t>
        </is>
      </c>
      <c r="B1157" t="inlineStr">
        <is>
          <t>avverkningsanmälan</t>
        </is>
      </c>
      <c r="C1157" t="inlineStr">
        <is>
          <t>Föryngringsavverkning</t>
        </is>
      </c>
      <c r="D1157" s="1" t="n">
        <v>44972</v>
      </c>
      <c r="E1157" s="1" t="n">
        <v>46313</v>
      </c>
      <c r="F1157" t="inlineStr">
        <is>
          <t>SÖDERMANLANDS LÄN</t>
        </is>
      </c>
      <c r="G1157" t="inlineStr">
        <is>
          <t>GNESTA</t>
        </is>
      </c>
      <c r="I1157" t="n">
        <v>2.3</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5835-2024</t>
        </is>
      </c>
      <c r="B1158" t="inlineStr">
        <is>
          <t>avverkningsanmälan</t>
        </is>
      </c>
      <c r="C1158" t="inlineStr">
        <is>
          <t>Föryngringsavverkning</t>
        </is>
      </c>
      <c r="D1158" s="1" t="n">
        <v>45335</v>
      </c>
      <c r="E1158" s="1" t="n">
        <v>46313</v>
      </c>
      <c r="F1158" t="inlineStr">
        <is>
          <t>SÖDERMANLANDS LÄN</t>
        </is>
      </c>
      <c r="G1158" t="inlineStr">
        <is>
          <t>NYKÖPING</t>
        </is>
      </c>
      <c r="H1158" t="inlineStr">
        <is>
          <t>Holmen skog AB</t>
        </is>
      </c>
      <c r="I1158" t="n">
        <v>0.8</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66867-2021</t>
        </is>
      </c>
      <c r="B1159" t="inlineStr">
        <is>
          <t>avverkningsanmälan</t>
        </is>
      </c>
      <c r="C1159" t="inlineStr">
        <is>
          <t>Föryngringsavverkning</t>
        </is>
      </c>
      <c r="D1159" s="1" t="n">
        <v>44522</v>
      </c>
      <c r="E1159" s="1" t="n">
        <v>46313</v>
      </c>
      <c r="F1159" t="inlineStr">
        <is>
          <t>SÖDERMANLANDS LÄN</t>
        </is>
      </c>
      <c r="G1159" t="inlineStr">
        <is>
          <t>FLEN</t>
        </is>
      </c>
      <c r="H1159" t="inlineStr">
        <is>
          <t>Kyrkan</t>
        </is>
      </c>
      <c r="I1159" t="n">
        <v>0.5</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24382-2023</t>
        </is>
      </c>
      <c r="B1160" t="inlineStr">
        <is>
          <t>avverkningsanmälan</t>
        </is>
      </c>
      <c r="C1160" t="inlineStr">
        <is>
          <t>Föryngringsavverkning</t>
        </is>
      </c>
      <c r="D1160" s="1" t="n">
        <v>45076</v>
      </c>
      <c r="E1160" s="1" t="n">
        <v>46313</v>
      </c>
      <c r="F1160" t="inlineStr">
        <is>
          <t>SÖDERMANLANDS LÄN</t>
        </is>
      </c>
      <c r="G1160" t="inlineStr">
        <is>
          <t>VINGÅKER</t>
        </is>
      </c>
      <c r="I1160" t="n">
        <v>3.4</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24414-2023</t>
        </is>
      </c>
      <c r="B1161" t="inlineStr">
        <is>
          <t>avverkningsanmälan</t>
        </is>
      </c>
      <c r="C1161" t="inlineStr">
        <is>
          <t>Föryngringsavverkning</t>
        </is>
      </c>
      <c r="D1161" s="1" t="n">
        <v>45076</v>
      </c>
      <c r="E1161" s="1" t="n">
        <v>46313</v>
      </c>
      <c r="F1161" t="inlineStr">
        <is>
          <t>SÖDERMANLANDS LÄN</t>
        </is>
      </c>
      <c r="G1161" t="inlineStr">
        <is>
          <t>VINGÅKER</t>
        </is>
      </c>
      <c r="I1161" t="n">
        <v>1.9</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8273-2025</t>
        </is>
      </c>
      <c r="B1162" t="inlineStr">
        <is>
          <t>avverkningsanmälan</t>
        </is>
      </c>
      <c r="C1162" t="inlineStr">
        <is>
          <t>Föryngringsavverkning</t>
        </is>
      </c>
      <c r="D1162" s="1" t="n">
        <v>45708</v>
      </c>
      <c r="E1162" s="1" t="n">
        <v>46313</v>
      </c>
      <c r="F1162" t="inlineStr">
        <is>
          <t>SÖDERMANLANDS LÄN</t>
        </is>
      </c>
      <c r="G1162" t="inlineStr">
        <is>
          <t>ESKILSTUNA</t>
        </is>
      </c>
      <c r="I1162" t="n">
        <v>2.4</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12153-2025</t>
        </is>
      </c>
      <c r="B1163" t="inlineStr">
        <is>
          <t>avverkningsanmälan</t>
        </is>
      </c>
      <c r="C1163" t="inlineStr">
        <is>
          <t>Föryngringsavverkning</t>
        </is>
      </c>
      <c r="D1163" s="1" t="n">
        <v>45729</v>
      </c>
      <c r="E1163" s="1" t="n">
        <v>46313</v>
      </c>
      <c r="F1163" t="inlineStr">
        <is>
          <t>SÖDERMANLANDS LÄN</t>
        </is>
      </c>
      <c r="G1163" t="inlineStr">
        <is>
          <t>NYKÖPING</t>
        </is>
      </c>
      <c r="I1163" t="n">
        <v>0.7</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36366-2023</t>
        </is>
      </c>
      <c r="B1164" t="inlineStr">
        <is>
          <t>avverkningsanmälan</t>
        </is>
      </c>
      <c r="C1164" t="inlineStr">
        <is>
          <t>Föryngringsavverkning</t>
        </is>
      </c>
      <c r="D1164" s="1" t="n">
        <v>45152</v>
      </c>
      <c r="E1164" s="1" t="n">
        <v>46313</v>
      </c>
      <c r="F1164" t="inlineStr">
        <is>
          <t>SÖDERMANLANDS LÄN</t>
        </is>
      </c>
      <c r="G1164" t="inlineStr">
        <is>
          <t>KATRINEHOLM</t>
        </is>
      </c>
      <c r="I1164" t="n">
        <v>0.8</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780-2023</t>
        </is>
      </c>
      <c r="B1165" t="inlineStr">
        <is>
          <t>avverkningsanmälan</t>
        </is>
      </c>
      <c r="C1165" t="inlineStr">
        <is>
          <t>Föryngringsavverkning</t>
        </is>
      </c>
      <c r="D1165" s="1" t="n">
        <v>44931</v>
      </c>
      <c r="E1165" s="1" t="n">
        <v>46313</v>
      </c>
      <c r="F1165" t="inlineStr">
        <is>
          <t>SÖDERMANLANDS LÄN</t>
        </is>
      </c>
      <c r="G1165" t="inlineStr">
        <is>
          <t>FLEN</t>
        </is>
      </c>
      <c r="H1165" t="inlineStr">
        <is>
          <t>Holmen skog AB</t>
        </is>
      </c>
      <c r="I1165" t="n">
        <v>1.3</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13863-2022</t>
        </is>
      </c>
      <c r="B1166" t="inlineStr">
        <is>
          <t>avverkningsanmälan</t>
        </is>
      </c>
      <c r="C1166" t="inlineStr">
        <is>
          <t>Föryngringsavverkning</t>
        </is>
      </c>
      <c r="D1166" s="1" t="n">
        <v>44649</v>
      </c>
      <c r="E1166" s="1" t="n">
        <v>46313</v>
      </c>
      <c r="F1166" t="inlineStr">
        <is>
          <t>SÖDERMANLANDS LÄN</t>
        </is>
      </c>
      <c r="G1166" t="inlineStr">
        <is>
          <t>NYKÖPING</t>
        </is>
      </c>
      <c r="I1166" t="n">
        <v>2.9</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27975-2022</t>
        </is>
      </c>
      <c r="B1167" t="inlineStr">
        <is>
          <t>avverkningsanmälan</t>
        </is>
      </c>
      <c r="C1167" t="inlineStr">
        <is>
          <t>Föryngringsavverkning</t>
        </is>
      </c>
      <c r="D1167" s="1" t="n">
        <v>44744</v>
      </c>
      <c r="E1167" s="1" t="n">
        <v>46313</v>
      </c>
      <c r="F1167" t="inlineStr">
        <is>
          <t>SÖDERMANLANDS LÄN</t>
        </is>
      </c>
      <c r="G1167" t="inlineStr">
        <is>
          <t>NYKÖPING</t>
        </is>
      </c>
      <c r="I1167" t="n">
        <v>1.3</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2900-2024</t>
        </is>
      </c>
      <c r="B1168" t="inlineStr">
        <is>
          <t>avverkningsanmälan</t>
        </is>
      </c>
      <c r="C1168" t="inlineStr">
        <is>
          <t>Föryngringsavverkning</t>
        </is>
      </c>
      <c r="D1168" s="1" t="n">
        <v>45315</v>
      </c>
      <c r="E1168" s="1" t="n">
        <v>46313</v>
      </c>
      <c r="F1168" t="inlineStr">
        <is>
          <t>SÖDERMANLANDS LÄN</t>
        </is>
      </c>
      <c r="G1168" t="inlineStr">
        <is>
          <t>NYKÖPING</t>
        </is>
      </c>
      <c r="H1168" t="inlineStr">
        <is>
          <t>Kyrkan</t>
        </is>
      </c>
      <c r="I1168" t="n">
        <v>2.2</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35178-2023</t>
        </is>
      </c>
      <c r="B1169" t="inlineStr">
        <is>
          <t>avverkningsanmälan</t>
        </is>
      </c>
      <c r="C1169" t="inlineStr">
        <is>
          <t>Föryngringsavverkning</t>
        </is>
      </c>
      <c r="D1169" s="1" t="n">
        <v>45145</v>
      </c>
      <c r="E1169" s="1" t="n">
        <v>46313</v>
      </c>
      <c r="F1169" t="inlineStr">
        <is>
          <t>SÖDERMANLANDS LÄN</t>
        </is>
      </c>
      <c r="G1169" t="inlineStr">
        <is>
          <t>NYKÖPING</t>
        </is>
      </c>
      <c r="H1169" t="inlineStr">
        <is>
          <t>Holmen skog AB</t>
        </is>
      </c>
      <c r="I1169" t="n">
        <v>0.5</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52546-2023</t>
        </is>
      </c>
      <c r="B1170" t="inlineStr">
        <is>
          <t>avverkningsanmälan</t>
        </is>
      </c>
      <c r="C1170" t="inlineStr">
        <is>
          <t>Föryngringsavverkning</t>
        </is>
      </c>
      <c r="D1170" s="1" t="n">
        <v>45218</v>
      </c>
      <c r="E1170" s="1" t="n">
        <v>46313</v>
      </c>
      <c r="F1170" t="inlineStr">
        <is>
          <t>SÖDERMANLANDS LÄN</t>
        </is>
      </c>
      <c r="G1170" t="inlineStr">
        <is>
          <t>NYKÖPING</t>
        </is>
      </c>
      <c r="I1170" t="n">
        <v>1.8</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9894-2023</t>
        </is>
      </c>
      <c r="B1171" t="inlineStr">
        <is>
          <t>avverkningsanmälan</t>
        </is>
      </c>
      <c r="C1171" t="inlineStr">
        <is>
          <t>Föryngringsavverkning</t>
        </is>
      </c>
      <c r="D1171" s="1" t="n">
        <v>44979</v>
      </c>
      <c r="E1171" s="1" t="n">
        <v>46313</v>
      </c>
      <c r="F1171" t="inlineStr">
        <is>
          <t>SÖDERMANLANDS LÄN</t>
        </is>
      </c>
      <c r="G1171" t="inlineStr">
        <is>
          <t>FLEN</t>
        </is>
      </c>
      <c r="I1171" t="n">
        <v>0.6</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9932-2023</t>
        </is>
      </c>
      <c r="B1172" t="inlineStr">
        <is>
          <t>avverkningsanmälan</t>
        </is>
      </c>
      <c r="C1172" t="inlineStr">
        <is>
          <t>Föryngringsavverkning</t>
        </is>
      </c>
      <c r="D1172" s="1" t="n">
        <v>44985</v>
      </c>
      <c r="E1172" s="1" t="n">
        <v>46313</v>
      </c>
      <c r="F1172" t="inlineStr">
        <is>
          <t>SÖDERMANLANDS LÄN</t>
        </is>
      </c>
      <c r="G1172" t="inlineStr">
        <is>
          <t>KATRINEHOLM</t>
        </is>
      </c>
      <c r="I1172" t="n">
        <v>0.3</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61830-2023</t>
        </is>
      </c>
      <c r="B1173" t="inlineStr">
        <is>
          <t>avverkningsanmälan</t>
        </is>
      </c>
      <c r="C1173" t="inlineStr">
        <is>
          <t>Avverkning för annat ändamål</t>
        </is>
      </c>
      <c r="D1173" s="1" t="n">
        <v>45266</v>
      </c>
      <c r="E1173" s="1" t="n">
        <v>46313</v>
      </c>
      <c r="F1173" t="inlineStr">
        <is>
          <t>SÖDERMANLANDS LÄN</t>
        </is>
      </c>
      <c r="G1173" t="inlineStr">
        <is>
          <t>ESKILSTUNA</t>
        </is>
      </c>
      <c r="I1173" t="n">
        <v>1.2</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51244-2024</t>
        </is>
      </c>
      <c r="B1174" t="inlineStr">
        <is>
          <t>avverkningsanmälan</t>
        </is>
      </c>
      <c r="C1174" t="inlineStr">
        <is>
          <t>Föryngringsavverkning</t>
        </is>
      </c>
      <c r="D1174" s="1" t="n">
        <v>45603</v>
      </c>
      <c r="E1174" s="1" t="n">
        <v>46313</v>
      </c>
      <c r="F1174" t="inlineStr">
        <is>
          <t>SÖDERMANLANDS LÄN</t>
        </is>
      </c>
      <c r="G1174" t="inlineStr">
        <is>
          <t>NYKÖPING</t>
        </is>
      </c>
      <c r="H1174" t="inlineStr">
        <is>
          <t>Sveaskog</t>
        </is>
      </c>
      <c r="I1174" t="n">
        <v>1.1</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39310-2023</t>
        </is>
      </c>
      <c r="B1175" t="inlineStr">
        <is>
          <t>avverkningsanmälan</t>
        </is>
      </c>
      <c r="C1175" t="inlineStr">
        <is>
          <t>Föryngringsavverkning</t>
        </is>
      </c>
      <c r="D1175" s="1" t="n">
        <v>45166</v>
      </c>
      <c r="E1175" s="1" t="n">
        <v>46313</v>
      </c>
      <c r="F1175" t="inlineStr">
        <is>
          <t>SÖDERMANLANDS LÄN</t>
        </is>
      </c>
      <c r="G1175" t="inlineStr">
        <is>
          <t>NYKÖPING</t>
        </is>
      </c>
      <c r="H1175" t="inlineStr">
        <is>
          <t>Holmen skog AB</t>
        </is>
      </c>
      <c r="I1175" t="n">
        <v>1.1</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1714-2023</t>
        </is>
      </c>
      <c r="B1176" t="inlineStr">
        <is>
          <t>avverkningsanmälan</t>
        </is>
      </c>
      <c r="C1176" t="inlineStr">
        <is>
          <t>Föryngringsavverkning</t>
        </is>
      </c>
      <c r="D1176" s="1" t="n">
        <v>44938</v>
      </c>
      <c r="E1176" s="1" t="n">
        <v>46313</v>
      </c>
      <c r="F1176" t="inlineStr">
        <is>
          <t>SÖDERMANLANDS LÄN</t>
        </is>
      </c>
      <c r="G1176" t="inlineStr">
        <is>
          <t>VINGÅKER</t>
        </is>
      </c>
      <c r="I1176" t="n">
        <v>1.7</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38846-2023</t>
        </is>
      </c>
      <c r="B1177" t="inlineStr">
        <is>
          <t>avverkningsanmälan</t>
        </is>
      </c>
      <c r="C1177" t="inlineStr">
        <is>
          <t>Föryngringsavverkning</t>
        </is>
      </c>
      <c r="D1177" s="1" t="n">
        <v>45163</v>
      </c>
      <c r="E1177" s="1" t="n">
        <v>46313</v>
      </c>
      <c r="F1177" t="inlineStr">
        <is>
          <t>SÖDERMANLANDS LÄN</t>
        </is>
      </c>
      <c r="G1177" t="inlineStr">
        <is>
          <t>NYKÖPING</t>
        </is>
      </c>
      <c r="H1177" t="inlineStr">
        <is>
          <t>Holmen skog AB</t>
        </is>
      </c>
      <c r="I1177" t="n">
        <v>2.4</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38058-2024</t>
        </is>
      </c>
      <c r="B1178" t="inlineStr">
        <is>
          <t>avverkningsanmälan</t>
        </is>
      </c>
      <c r="C1178" t="inlineStr">
        <is>
          <t>Föryngringsavverkning</t>
        </is>
      </c>
      <c r="D1178" s="1" t="n">
        <v>45544</v>
      </c>
      <c r="E1178" s="1" t="n">
        <v>46313</v>
      </c>
      <c r="F1178" t="inlineStr">
        <is>
          <t>SÖDERMANLANDS LÄN</t>
        </is>
      </c>
      <c r="G1178" t="inlineStr">
        <is>
          <t>ESKILSTUNA</t>
        </is>
      </c>
      <c r="I1178" t="n">
        <v>2.6</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16981-2023</t>
        </is>
      </c>
      <c r="B1179" t="inlineStr">
        <is>
          <t>avverkningsanmälan</t>
        </is>
      </c>
      <c r="C1179" t="inlineStr">
        <is>
          <t>Föryngringsavverkning</t>
        </is>
      </c>
      <c r="D1179" s="1" t="n">
        <v>45033</v>
      </c>
      <c r="E1179" s="1" t="n">
        <v>46313</v>
      </c>
      <c r="F1179" t="inlineStr">
        <is>
          <t>SÖDERMANLANDS LÄN</t>
        </is>
      </c>
      <c r="G1179" t="inlineStr">
        <is>
          <t>NYKÖPING</t>
        </is>
      </c>
      <c r="H1179" t="inlineStr">
        <is>
          <t>Holmen skog AB</t>
        </is>
      </c>
      <c r="I1179" t="n">
        <v>16.5</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38034-2023</t>
        </is>
      </c>
      <c r="B1180" t="inlineStr">
        <is>
          <t>avverkningsanmälan</t>
        </is>
      </c>
      <c r="C1180" t="inlineStr">
        <is>
          <t>Föryngringsavverkning</t>
        </is>
      </c>
      <c r="D1180" s="1" t="n">
        <v>45160</v>
      </c>
      <c r="E1180" s="1" t="n">
        <v>46313</v>
      </c>
      <c r="F1180" t="inlineStr">
        <is>
          <t>SÖDERMANLANDS LÄN</t>
        </is>
      </c>
      <c r="G1180" t="inlineStr">
        <is>
          <t>NYKÖPING</t>
        </is>
      </c>
      <c r="H1180" t="inlineStr">
        <is>
          <t>Kommuner</t>
        </is>
      </c>
      <c r="I1180" t="n">
        <v>1.7</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42590-2022</t>
        </is>
      </c>
      <c r="B1181" t="inlineStr">
        <is>
          <t>avverkningsanmälan</t>
        </is>
      </c>
      <c r="C1181" t="inlineStr">
        <is>
          <t>Föryngringsavverkning</t>
        </is>
      </c>
      <c r="D1181" s="1" t="n">
        <v>44831</v>
      </c>
      <c r="E1181" s="1" t="n">
        <v>46313</v>
      </c>
      <c r="F1181" t="inlineStr">
        <is>
          <t>SÖDERMANLANDS LÄN</t>
        </is>
      </c>
      <c r="G1181" t="inlineStr">
        <is>
          <t>KATRINEHOLM</t>
        </is>
      </c>
      <c r="I1181" t="n">
        <v>1.7</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53335-2023</t>
        </is>
      </c>
      <c r="B1182" t="inlineStr">
        <is>
          <t>avverkningsanmälan</t>
        </is>
      </c>
      <c r="C1182" t="inlineStr">
        <is>
          <t>Avverkning för annat ändamål</t>
        </is>
      </c>
      <c r="D1182" s="1" t="n">
        <v>45229</v>
      </c>
      <c r="E1182" s="1" t="n">
        <v>46313</v>
      </c>
      <c r="F1182" t="inlineStr">
        <is>
          <t>SÖDERMANLANDS LÄN</t>
        </is>
      </c>
      <c r="G1182" t="inlineStr">
        <is>
          <t>NYKÖPING</t>
        </is>
      </c>
      <c r="I1182" t="n">
        <v>1.6</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48520-2023</t>
        </is>
      </c>
      <c r="B1183" t="inlineStr">
        <is>
          <t>avverkningsanmälan</t>
        </is>
      </c>
      <c r="C1183" t="inlineStr">
        <is>
          <t>Föryngringsavverkning</t>
        </is>
      </c>
      <c r="D1183" s="1" t="n">
        <v>45208</v>
      </c>
      <c r="E1183" s="1" t="n">
        <v>46313</v>
      </c>
      <c r="F1183" t="inlineStr">
        <is>
          <t>SÖDERMANLANDS LÄN</t>
        </is>
      </c>
      <c r="G1183" t="inlineStr">
        <is>
          <t>KATRINEHOLM</t>
        </is>
      </c>
      <c r="I1183" t="n">
        <v>1</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9693-2024</t>
        </is>
      </c>
      <c r="B1184" t="inlineStr">
        <is>
          <t>avverkningsanmälan</t>
        </is>
      </c>
      <c r="C1184" t="inlineStr">
        <is>
          <t>Föryngringsavverkning</t>
        </is>
      </c>
      <c r="D1184" s="1" t="n">
        <v>45362</v>
      </c>
      <c r="E1184" s="1" t="n">
        <v>46313</v>
      </c>
      <c r="F1184" t="inlineStr">
        <is>
          <t>SÖDERMANLANDS LÄN</t>
        </is>
      </c>
      <c r="G1184" t="inlineStr">
        <is>
          <t>KATRINEHOLM</t>
        </is>
      </c>
      <c r="I1184" t="n">
        <v>5.9</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58842-2022</t>
        </is>
      </c>
      <c r="B1185" t="inlineStr">
        <is>
          <t>avverkningsanmälan</t>
        </is>
      </c>
      <c r="C1185" t="inlineStr">
        <is>
          <t>Avverkning för annat ändamål</t>
        </is>
      </c>
      <c r="D1185" s="1" t="n">
        <v>44903</v>
      </c>
      <c r="E1185" s="1" t="n">
        <v>46313</v>
      </c>
      <c r="F1185" t="inlineStr">
        <is>
          <t>SÖDERMANLANDS LÄN</t>
        </is>
      </c>
      <c r="G1185" t="inlineStr">
        <is>
          <t>VINGÅKER</t>
        </is>
      </c>
      <c r="I1185" t="n">
        <v>2.6</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17360-2022</t>
        </is>
      </c>
      <c r="B1186" t="inlineStr">
        <is>
          <t>avverkningsanmälan</t>
        </is>
      </c>
      <c r="C1186" t="inlineStr">
        <is>
          <t>Föryngringsavverkning</t>
        </is>
      </c>
      <c r="D1186" s="1" t="n">
        <v>44678</v>
      </c>
      <c r="E1186" s="1" t="n">
        <v>46313</v>
      </c>
      <c r="F1186" t="inlineStr">
        <is>
          <t>SÖDERMANLANDS LÄN</t>
        </is>
      </c>
      <c r="G1186" t="inlineStr">
        <is>
          <t>KATRINEHOLM</t>
        </is>
      </c>
      <c r="I1186" t="n">
        <v>4.5</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55296-2022</t>
        </is>
      </c>
      <c r="B1187" t="inlineStr">
        <is>
          <t>avverkningsanmälan</t>
        </is>
      </c>
      <c r="C1187" t="inlineStr">
        <is>
          <t>Avverkning för annat ändamål</t>
        </is>
      </c>
      <c r="D1187" s="1" t="n">
        <v>44887</v>
      </c>
      <c r="E1187" s="1" t="n">
        <v>46313</v>
      </c>
      <c r="F1187" t="inlineStr">
        <is>
          <t>SÖDERMANLANDS LÄN</t>
        </is>
      </c>
      <c r="G1187" t="inlineStr">
        <is>
          <t>KATRINEHOLM</t>
        </is>
      </c>
      <c r="I1187" t="n">
        <v>1.4</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32818-2023</t>
        </is>
      </c>
      <c r="B1188" t="inlineStr">
        <is>
          <t>avverkningsanmälan</t>
        </is>
      </c>
      <c r="C1188" t="inlineStr">
        <is>
          <t>Föryngringsavverkning</t>
        </is>
      </c>
      <c r="D1188" s="1" t="n">
        <v>45124</v>
      </c>
      <c r="E1188" s="1" t="n">
        <v>46313</v>
      </c>
      <c r="F1188" t="inlineStr">
        <is>
          <t>SÖDERMANLANDS LÄN</t>
        </is>
      </c>
      <c r="G1188" t="inlineStr">
        <is>
          <t>KATRINEHOLM</t>
        </is>
      </c>
      <c r="I1188" t="n">
        <v>3.4</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17435-2022</t>
        </is>
      </c>
      <c r="B1189" t="inlineStr">
        <is>
          <t>avverkningsanmälan</t>
        </is>
      </c>
      <c r="C1189" t="inlineStr">
        <is>
          <t>Föryngringsavverkning</t>
        </is>
      </c>
      <c r="D1189" s="1" t="n">
        <v>44678</v>
      </c>
      <c r="E1189" s="1" t="n">
        <v>46313</v>
      </c>
      <c r="F1189" t="inlineStr">
        <is>
          <t>SÖDERMANLANDS LÄN</t>
        </is>
      </c>
      <c r="G1189" t="inlineStr">
        <is>
          <t>VINGÅKER</t>
        </is>
      </c>
      <c r="I1189" t="n">
        <v>2</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30375-2022</t>
        </is>
      </c>
      <c r="B1190" t="inlineStr">
        <is>
          <t>avverkningsanmälan</t>
        </is>
      </c>
      <c r="C1190" t="inlineStr">
        <is>
          <t>Föryngringsavverkning</t>
        </is>
      </c>
      <c r="D1190" s="1" t="n">
        <v>44760</v>
      </c>
      <c r="E1190" s="1" t="n">
        <v>46313</v>
      </c>
      <c r="F1190" t="inlineStr">
        <is>
          <t>SÖDERMANLANDS LÄN</t>
        </is>
      </c>
      <c r="G1190" t="inlineStr">
        <is>
          <t>STRÄNGNÄS</t>
        </is>
      </c>
      <c r="I1190" t="n">
        <v>5</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10271-2024</t>
        </is>
      </c>
      <c r="B1191" t="inlineStr">
        <is>
          <t>avverkningsanmälan</t>
        </is>
      </c>
      <c r="C1191" t="inlineStr">
        <is>
          <t>Föryngringsavverkning</t>
        </is>
      </c>
      <c r="D1191" s="1" t="n">
        <v>45365</v>
      </c>
      <c r="E1191" s="1" t="n">
        <v>46313</v>
      </c>
      <c r="F1191" t="inlineStr">
        <is>
          <t>SÖDERMANLANDS LÄN</t>
        </is>
      </c>
      <c r="G1191" t="inlineStr">
        <is>
          <t>ESKILSTUNA</t>
        </is>
      </c>
      <c r="I1191" t="n">
        <v>2.2</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43386-2022</t>
        </is>
      </c>
      <c r="B1192" t="inlineStr">
        <is>
          <t>avverkningsanmälan</t>
        </is>
      </c>
      <c r="C1192" t="inlineStr">
        <is>
          <t>Föryngringsavverkning</t>
        </is>
      </c>
      <c r="D1192" s="1" t="n">
        <v>44834</v>
      </c>
      <c r="E1192" s="1" t="n">
        <v>46313</v>
      </c>
      <c r="F1192" t="inlineStr">
        <is>
          <t>SÖDERMANLANDS LÄN</t>
        </is>
      </c>
      <c r="G1192" t="inlineStr">
        <is>
          <t>STRÄNGNÄS</t>
        </is>
      </c>
      <c r="I1192" t="n">
        <v>5.1</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35600-2023</t>
        </is>
      </c>
      <c r="B1193" t="inlineStr">
        <is>
          <t>avverkningsanmälan</t>
        </is>
      </c>
      <c r="C1193" t="inlineStr">
        <is>
          <t>Föryngringsavverkning</t>
        </is>
      </c>
      <c r="D1193" s="1" t="n">
        <v>45147</v>
      </c>
      <c r="E1193" s="1" t="n">
        <v>46313</v>
      </c>
      <c r="F1193" t="inlineStr">
        <is>
          <t>SÖDERMANLANDS LÄN</t>
        </is>
      </c>
      <c r="G1193" t="inlineStr">
        <is>
          <t>FLEN</t>
        </is>
      </c>
      <c r="I1193" t="n">
        <v>1.4</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57546-2022</t>
        </is>
      </c>
      <c r="B1194" t="inlineStr">
        <is>
          <t>avverkningsanmälan</t>
        </is>
      </c>
      <c r="C1194" t="inlineStr">
        <is>
          <t>Föryngringsavverkning</t>
        </is>
      </c>
      <c r="D1194" s="1" t="n">
        <v>44889</v>
      </c>
      <c r="E1194" s="1" t="n">
        <v>46313</v>
      </c>
      <c r="F1194" t="inlineStr">
        <is>
          <t>SÖDERMANLANDS LÄN</t>
        </is>
      </c>
      <c r="G1194" t="inlineStr">
        <is>
          <t>ESKILSTUNA</t>
        </is>
      </c>
      <c r="I1194" t="n">
        <v>1.4</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12546-2025</t>
        </is>
      </c>
      <c r="B1195" t="inlineStr">
        <is>
          <t>avverkningsanmälan</t>
        </is>
      </c>
      <c r="C1195" t="inlineStr">
        <is>
          <t>Avverkning för annat ändamål</t>
        </is>
      </c>
      <c r="D1195" s="1" t="n">
        <v>45730</v>
      </c>
      <c r="E1195" s="1" t="n">
        <v>46313</v>
      </c>
      <c r="F1195" t="inlineStr">
        <is>
          <t>SÖDERMANLANDS LÄN</t>
        </is>
      </c>
      <c r="G1195" t="inlineStr">
        <is>
          <t>STRÄNGNÄS</t>
        </is>
      </c>
      <c r="I1195" t="n">
        <v>9</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6810-2023</t>
        </is>
      </c>
      <c r="B1196" t="inlineStr">
        <is>
          <t>avverkningsanmälan</t>
        </is>
      </c>
      <c r="C1196" t="inlineStr">
        <is>
          <t>Föryngringsavverkning</t>
        </is>
      </c>
      <c r="D1196" s="1" t="n">
        <v>44964</v>
      </c>
      <c r="E1196" s="1" t="n">
        <v>46313</v>
      </c>
      <c r="F1196" t="inlineStr">
        <is>
          <t>SÖDERMANLANDS LÄN</t>
        </is>
      </c>
      <c r="G1196" t="inlineStr">
        <is>
          <t>KATRINEHOLM</t>
        </is>
      </c>
      <c r="I1196" t="n">
        <v>0.6</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11635-2023</t>
        </is>
      </c>
      <c r="B1197" t="inlineStr">
        <is>
          <t>avverkningsanmälan</t>
        </is>
      </c>
      <c r="C1197" t="inlineStr">
        <is>
          <t>Föryngringsavverkning</t>
        </is>
      </c>
      <c r="D1197" s="1" t="n">
        <v>44994</v>
      </c>
      <c r="E1197" s="1" t="n">
        <v>46313</v>
      </c>
      <c r="F1197" t="inlineStr">
        <is>
          <t>SÖDERMANLANDS LÄN</t>
        </is>
      </c>
      <c r="G1197" t="inlineStr">
        <is>
          <t>KATRINEHOLM</t>
        </is>
      </c>
      <c r="I1197" t="n">
        <v>4.3</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34732-2022</t>
        </is>
      </c>
      <c r="B1198" t="inlineStr">
        <is>
          <t>avverkningsanmälan</t>
        </is>
      </c>
      <c r="C1198" t="inlineStr">
        <is>
          <t>Föryngringsavverkning</t>
        </is>
      </c>
      <c r="D1198" s="1" t="n">
        <v>44795</v>
      </c>
      <c r="E1198" s="1" t="n">
        <v>46313</v>
      </c>
      <c r="F1198" t="inlineStr">
        <is>
          <t>SÖDERMANLANDS LÄN</t>
        </is>
      </c>
      <c r="G1198" t="inlineStr">
        <is>
          <t>KATRINEHOLM</t>
        </is>
      </c>
      <c r="I1198" t="n">
        <v>3</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7223-2023</t>
        </is>
      </c>
      <c r="B1199" t="inlineStr">
        <is>
          <t>avverkningsanmälan</t>
        </is>
      </c>
      <c r="C1199" t="inlineStr">
        <is>
          <t>Föryngringsavverkning</t>
        </is>
      </c>
      <c r="D1199" s="1" t="n">
        <v>44970</v>
      </c>
      <c r="E1199" s="1" t="n">
        <v>46313</v>
      </c>
      <c r="F1199" t="inlineStr">
        <is>
          <t>SÖDERMANLANDS LÄN</t>
        </is>
      </c>
      <c r="G1199" t="inlineStr">
        <is>
          <t>NYKÖPING</t>
        </is>
      </c>
      <c r="H1199" t="inlineStr">
        <is>
          <t>Holmen skog AB</t>
        </is>
      </c>
      <c r="I1199" t="n">
        <v>3.2</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62020-2022</t>
        </is>
      </c>
      <c r="B1200" t="inlineStr">
        <is>
          <t>avverkningsanmälan</t>
        </is>
      </c>
      <c r="C1200" t="inlineStr">
        <is>
          <t>Föryngringsavverkning</t>
        </is>
      </c>
      <c r="D1200" s="1" t="n">
        <v>44918</v>
      </c>
      <c r="E1200" s="1" t="n">
        <v>46313</v>
      </c>
      <c r="F1200" t="inlineStr">
        <is>
          <t>SÖDERMANLANDS LÄN</t>
        </is>
      </c>
      <c r="G1200" t="inlineStr">
        <is>
          <t>GNESTA</t>
        </is>
      </c>
      <c r="H1200" t="inlineStr">
        <is>
          <t>Kommuner</t>
        </is>
      </c>
      <c r="I1200" t="n">
        <v>0.6</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18192-2023</t>
        </is>
      </c>
      <c r="B1201" t="inlineStr">
        <is>
          <t>avverkningsanmälan</t>
        </is>
      </c>
      <c r="C1201" t="inlineStr">
        <is>
          <t>Föryngringsavverkning</t>
        </is>
      </c>
      <c r="D1201" s="1" t="n">
        <v>45041</v>
      </c>
      <c r="E1201" s="1" t="n">
        <v>46313</v>
      </c>
      <c r="F1201" t="inlineStr">
        <is>
          <t>SÖDERMANLANDS LÄN</t>
        </is>
      </c>
      <c r="G1201" t="inlineStr">
        <is>
          <t>ESKILSTUNA</t>
        </is>
      </c>
      <c r="I1201" t="n">
        <v>0.7</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35864-2023</t>
        </is>
      </c>
      <c r="B1202" t="inlineStr">
        <is>
          <t>avverkningsanmälan</t>
        </is>
      </c>
      <c r="C1202" t="inlineStr">
        <is>
          <t>Föryngringsavverkning</t>
        </is>
      </c>
      <c r="D1202" s="1" t="n">
        <v>45147</v>
      </c>
      <c r="E1202" s="1" t="n">
        <v>46313</v>
      </c>
      <c r="F1202" t="inlineStr">
        <is>
          <t>SÖDERMANLANDS LÄN</t>
        </is>
      </c>
      <c r="G1202" t="inlineStr">
        <is>
          <t>KATRINEHOLM</t>
        </is>
      </c>
      <c r="H1202" t="inlineStr">
        <is>
          <t>Övriga Aktiebolag</t>
        </is>
      </c>
      <c r="I1202" t="n">
        <v>4.7</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48785-2022</t>
        </is>
      </c>
      <c r="B1203" t="inlineStr">
        <is>
          <t>avverkningsanmälan</t>
        </is>
      </c>
      <c r="C1203" t="inlineStr">
        <is>
          <t>Föryngringsavverkning</t>
        </is>
      </c>
      <c r="D1203" s="1" t="n">
        <v>44859</v>
      </c>
      <c r="E1203" s="1" t="n">
        <v>46313</v>
      </c>
      <c r="F1203" t="inlineStr">
        <is>
          <t>SÖDERMANLANDS LÄN</t>
        </is>
      </c>
      <c r="G1203" t="inlineStr">
        <is>
          <t>FLEN</t>
        </is>
      </c>
      <c r="H1203" t="inlineStr">
        <is>
          <t>Holmen skog AB</t>
        </is>
      </c>
      <c r="I1203" t="n">
        <v>2.2</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2476-2022</t>
        </is>
      </c>
      <c r="B1204" t="inlineStr">
        <is>
          <t>avverkningsanmälan</t>
        </is>
      </c>
      <c r="C1204" t="inlineStr">
        <is>
          <t>Föryngringsavverkning</t>
        </is>
      </c>
      <c r="D1204" s="1" t="n">
        <v>44579</v>
      </c>
      <c r="E1204" s="1" t="n">
        <v>46313</v>
      </c>
      <c r="F1204" t="inlineStr">
        <is>
          <t>SÖDERMANLANDS LÄN</t>
        </is>
      </c>
      <c r="G1204" t="inlineStr">
        <is>
          <t>GNESTA</t>
        </is>
      </c>
      <c r="I1204" t="n">
        <v>4.3</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18182-2023</t>
        </is>
      </c>
      <c r="B1205" t="inlineStr">
        <is>
          <t>avverkningsanmälan</t>
        </is>
      </c>
      <c r="C1205" t="inlineStr">
        <is>
          <t>Föryngringsavverkning</t>
        </is>
      </c>
      <c r="D1205" s="1" t="n">
        <v>45041</v>
      </c>
      <c r="E1205" s="1" t="n">
        <v>46313</v>
      </c>
      <c r="F1205" t="inlineStr">
        <is>
          <t>SÖDERMANLANDS LÄN</t>
        </is>
      </c>
      <c r="G1205" t="inlineStr">
        <is>
          <t>VINGÅKER</t>
        </is>
      </c>
      <c r="I1205" t="n">
        <v>1.3</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10350-2023</t>
        </is>
      </c>
      <c r="B1206" t="inlineStr">
        <is>
          <t>avverkningsanmälan</t>
        </is>
      </c>
      <c r="C1206" t="inlineStr">
        <is>
          <t>Föryngringsavverkning</t>
        </is>
      </c>
      <c r="D1206" s="1" t="n">
        <v>44987</v>
      </c>
      <c r="E1206" s="1" t="n">
        <v>46313</v>
      </c>
      <c r="F1206" t="inlineStr">
        <is>
          <t>SÖDERMANLANDS LÄN</t>
        </is>
      </c>
      <c r="G1206" t="inlineStr">
        <is>
          <t>STRÄNGNÄS</t>
        </is>
      </c>
      <c r="I1206" t="n">
        <v>0.6</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59159-2022</t>
        </is>
      </c>
      <c r="B1207" t="inlineStr">
        <is>
          <t>avverkningsanmälan</t>
        </is>
      </c>
      <c r="C1207" t="inlineStr">
        <is>
          <t>Föryngringsavverkning</t>
        </is>
      </c>
      <c r="D1207" s="1" t="n">
        <v>44896</v>
      </c>
      <c r="E1207" s="1" t="n">
        <v>46313</v>
      </c>
      <c r="F1207" t="inlineStr">
        <is>
          <t>SÖDERMANLANDS LÄN</t>
        </is>
      </c>
      <c r="G1207" t="inlineStr">
        <is>
          <t>NYKÖPING</t>
        </is>
      </c>
      <c r="I1207" t="n">
        <v>1.5</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55763-2022</t>
        </is>
      </c>
      <c r="B1208" t="inlineStr">
        <is>
          <t>avverkningsanmälan</t>
        </is>
      </c>
      <c r="C1208" t="inlineStr">
        <is>
          <t>Föryngringsavverkning</t>
        </is>
      </c>
      <c r="D1208" s="1" t="n">
        <v>44886</v>
      </c>
      <c r="E1208" s="1" t="n">
        <v>46313</v>
      </c>
      <c r="F1208" t="inlineStr">
        <is>
          <t>SÖDERMANLANDS LÄN</t>
        </is>
      </c>
      <c r="G1208" t="inlineStr">
        <is>
          <t>ESKILSTUNA</t>
        </is>
      </c>
      <c r="I1208" t="n">
        <v>15</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42246-2022</t>
        </is>
      </c>
      <c r="B1209" t="inlineStr">
        <is>
          <t>avverkningsanmälan</t>
        </is>
      </c>
      <c r="C1209" t="inlineStr">
        <is>
          <t>Föryngringsavverkning</t>
        </is>
      </c>
      <c r="D1209" s="1" t="n">
        <v>44830</v>
      </c>
      <c r="E1209" s="1" t="n">
        <v>46313</v>
      </c>
      <c r="F1209" t="inlineStr">
        <is>
          <t>SÖDERMANLANDS LÄN</t>
        </is>
      </c>
      <c r="G1209" t="inlineStr">
        <is>
          <t>NYKÖPING</t>
        </is>
      </c>
      <c r="I1209" t="n">
        <v>2.4</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38735-2023</t>
        </is>
      </c>
      <c r="B1210" t="inlineStr">
        <is>
          <t>avverkningsanmälan</t>
        </is>
      </c>
      <c r="C1210" t="inlineStr">
        <is>
          <t>Föryngringsavverkning</t>
        </is>
      </c>
      <c r="D1210" s="1" t="n">
        <v>45161</v>
      </c>
      <c r="E1210" s="1" t="n">
        <v>46313</v>
      </c>
      <c r="F1210" t="inlineStr">
        <is>
          <t>SÖDERMANLANDS LÄN</t>
        </is>
      </c>
      <c r="G1210" t="inlineStr">
        <is>
          <t>NYKÖPING</t>
        </is>
      </c>
      <c r="I1210" t="n">
        <v>0.4</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70265-2021</t>
        </is>
      </c>
      <c r="B1211" t="inlineStr">
        <is>
          <t>avverkningsanmälan</t>
        </is>
      </c>
      <c r="C1211" t="inlineStr">
        <is>
          <t>Föryngringsavverkning</t>
        </is>
      </c>
      <c r="D1211" s="1" t="n">
        <v>44536</v>
      </c>
      <c r="E1211" s="1" t="n">
        <v>46313</v>
      </c>
      <c r="F1211" t="inlineStr">
        <is>
          <t>SÖDERMANLANDS LÄN</t>
        </is>
      </c>
      <c r="G1211" t="inlineStr">
        <is>
          <t>ESKILSTUNA</t>
        </is>
      </c>
      <c r="H1211" t="inlineStr">
        <is>
          <t>Sveaskog</t>
        </is>
      </c>
      <c r="I1211" t="n">
        <v>1.8</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3824-2024</t>
        </is>
      </c>
      <c r="B1212" t="inlineStr">
        <is>
          <t>avverkningsanmälan</t>
        </is>
      </c>
      <c r="C1212" t="inlineStr">
        <is>
          <t>Föryngringsavverkning</t>
        </is>
      </c>
      <c r="D1212" s="1" t="n">
        <v>45321</v>
      </c>
      <c r="E1212" s="1" t="n">
        <v>46313</v>
      </c>
      <c r="F1212" t="inlineStr">
        <is>
          <t>SÖDERMANLANDS LÄN</t>
        </is>
      </c>
      <c r="G1212" t="inlineStr">
        <is>
          <t>STRÄNGNÄS</t>
        </is>
      </c>
      <c r="I1212" t="n">
        <v>3.2</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57154-2023</t>
        </is>
      </c>
      <c r="B1213" t="inlineStr">
        <is>
          <t>avverkningsanmälan</t>
        </is>
      </c>
      <c r="C1213" t="inlineStr">
        <is>
          <t>Föryngringsavverkning</t>
        </is>
      </c>
      <c r="D1213" s="1" t="n">
        <v>45245</v>
      </c>
      <c r="E1213" s="1" t="n">
        <v>46313</v>
      </c>
      <c r="F1213" t="inlineStr">
        <is>
          <t>SÖDERMANLANDS LÄN</t>
        </is>
      </c>
      <c r="G1213" t="inlineStr">
        <is>
          <t>KATRINEHOLM</t>
        </is>
      </c>
      <c r="H1213" t="inlineStr">
        <is>
          <t>Allmännings- och besparingsskogar</t>
        </is>
      </c>
      <c r="I1213" t="n">
        <v>9.300000000000001</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57541-2022</t>
        </is>
      </c>
      <c r="B1214" t="inlineStr">
        <is>
          <t>avverkningsanmälan</t>
        </is>
      </c>
      <c r="C1214" t="inlineStr">
        <is>
          <t>Föryngringsavverkning</t>
        </is>
      </c>
      <c r="D1214" s="1" t="n">
        <v>44889</v>
      </c>
      <c r="E1214" s="1" t="n">
        <v>46313</v>
      </c>
      <c r="F1214" t="inlineStr">
        <is>
          <t>SÖDERMANLANDS LÄN</t>
        </is>
      </c>
      <c r="G1214" t="inlineStr">
        <is>
          <t>ESKILSTUNA</t>
        </is>
      </c>
      <c r="I1214" t="n">
        <v>2.3</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45425-2024</t>
        </is>
      </c>
      <c r="B1215" t="inlineStr">
        <is>
          <t>avverkningsanmälan</t>
        </is>
      </c>
      <c r="C1215" t="inlineStr">
        <is>
          <t>Föryngringsavverkning</t>
        </is>
      </c>
      <c r="D1215" s="1" t="n">
        <v>45576</v>
      </c>
      <c r="E1215" s="1" t="n">
        <v>46313</v>
      </c>
      <c r="F1215" t="inlineStr">
        <is>
          <t>SÖDERMANLANDS LÄN</t>
        </is>
      </c>
      <c r="G1215" t="inlineStr">
        <is>
          <t>VINGÅKER</t>
        </is>
      </c>
      <c r="I1215" t="n">
        <v>0.7</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33683-2023</t>
        </is>
      </c>
      <c r="B1216" t="inlineStr">
        <is>
          <t>avverkningsanmälan</t>
        </is>
      </c>
      <c r="C1216" t="inlineStr">
        <is>
          <t>Föryngringsavverkning</t>
        </is>
      </c>
      <c r="D1216" s="1" t="n">
        <v>45132</v>
      </c>
      <c r="E1216" s="1" t="n">
        <v>46313</v>
      </c>
      <c r="F1216" t="inlineStr">
        <is>
          <t>SÖDERMANLANDS LÄN</t>
        </is>
      </c>
      <c r="G1216" t="inlineStr">
        <is>
          <t>NYKÖPING</t>
        </is>
      </c>
      <c r="H1216" t="inlineStr">
        <is>
          <t>Holmen skog AB</t>
        </is>
      </c>
      <c r="I1216" t="n">
        <v>0.9</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52068-2023</t>
        </is>
      </c>
      <c r="B1217" t="inlineStr">
        <is>
          <t>avverkningsanmälan</t>
        </is>
      </c>
      <c r="C1217" t="inlineStr">
        <is>
          <t>Föryngringsavverkning</t>
        </is>
      </c>
      <c r="D1217" s="1" t="n">
        <v>45216</v>
      </c>
      <c r="E1217" s="1" t="n">
        <v>46313</v>
      </c>
      <c r="F1217" t="inlineStr">
        <is>
          <t>SÖDERMANLANDS LÄN</t>
        </is>
      </c>
      <c r="G1217" t="inlineStr">
        <is>
          <t>NYKÖPING</t>
        </is>
      </c>
      <c r="I1217" t="n">
        <v>3.7</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57265-2022</t>
        </is>
      </c>
      <c r="B1218" t="inlineStr">
        <is>
          <t>avverkningsanmälan</t>
        </is>
      </c>
      <c r="C1218" t="inlineStr">
        <is>
          <t>Föryngringsavverkning</t>
        </is>
      </c>
      <c r="D1218" s="1" t="n">
        <v>44895</v>
      </c>
      <c r="E1218" s="1" t="n">
        <v>46313</v>
      </c>
      <c r="F1218" t="inlineStr">
        <is>
          <t>SÖDERMANLANDS LÄN</t>
        </is>
      </c>
      <c r="G1218" t="inlineStr">
        <is>
          <t>KATRINEHOLM</t>
        </is>
      </c>
      <c r="I1218" t="n">
        <v>2</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131-2023</t>
        </is>
      </c>
      <c r="B1219" t="inlineStr">
        <is>
          <t>avverkningsanmälan</t>
        </is>
      </c>
      <c r="C1219" t="inlineStr">
        <is>
          <t>Föryngringsavverkning</t>
        </is>
      </c>
      <c r="D1219" s="1" t="n">
        <v>44918</v>
      </c>
      <c r="E1219" s="1" t="n">
        <v>46313</v>
      </c>
      <c r="F1219" t="inlineStr">
        <is>
          <t>SÖDERMANLANDS LÄN</t>
        </is>
      </c>
      <c r="G1219" t="inlineStr">
        <is>
          <t>VINGÅKER</t>
        </is>
      </c>
      <c r="I1219" t="n">
        <v>3.8</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2448-2024</t>
        </is>
      </c>
      <c r="B1220" t="inlineStr">
        <is>
          <t>avverkningsanmälan</t>
        </is>
      </c>
      <c r="C1220" t="inlineStr">
        <is>
          <t>Föryngringsavverkning</t>
        </is>
      </c>
      <c r="D1220" s="1" t="n">
        <v>45311</v>
      </c>
      <c r="E1220" s="1" t="n">
        <v>46313</v>
      </c>
      <c r="F1220" t="inlineStr">
        <is>
          <t>SÖDERMANLANDS LÄN</t>
        </is>
      </c>
      <c r="G1220" t="inlineStr">
        <is>
          <t>FLEN</t>
        </is>
      </c>
      <c r="I1220" t="n">
        <v>0.8</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68389-2021</t>
        </is>
      </c>
      <c r="B1221" t="inlineStr">
        <is>
          <t>avverkningsanmälan</t>
        </is>
      </c>
      <c r="C1221" t="inlineStr">
        <is>
          <t>Föryngringsavverkning</t>
        </is>
      </c>
      <c r="D1221" s="1" t="n">
        <v>44529</v>
      </c>
      <c r="E1221" s="1" t="n">
        <v>46313</v>
      </c>
      <c r="F1221" t="inlineStr">
        <is>
          <t>SÖDERMANLANDS LÄN</t>
        </is>
      </c>
      <c r="G1221" t="inlineStr">
        <is>
          <t>GNESTA</t>
        </is>
      </c>
      <c r="I1221" t="n">
        <v>3.8</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19645-2024</t>
        </is>
      </c>
      <c r="B1222" t="inlineStr">
        <is>
          <t>avverkningsanmälan</t>
        </is>
      </c>
      <c r="C1222" t="inlineStr">
        <is>
          <t>Föryngringsavverkning</t>
        </is>
      </c>
      <c r="D1222" s="1" t="n">
        <v>45432</v>
      </c>
      <c r="E1222" s="1" t="n">
        <v>46313</v>
      </c>
      <c r="F1222" t="inlineStr">
        <is>
          <t>SÖDERMANLANDS LÄN</t>
        </is>
      </c>
      <c r="G1222" t="inlineStr">
        <is>
          <t>VINGÅKER</t>
        </is>
      </c>
      <c r="I1222" t="n">
        <v>1.2</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4200-2025</t>
        </is>
      </c>
      <c r="B1223" t="inlineStr">
        <is>
          <t>avverkningsanmälan</t>
        </is>
      </c>
      <c r="C1223" t="inlineStr">
        <is>
          <t>Avverkning för att bevara och utveckla /försöksver</t>
        </is>
      </c>
      <c r="D1223" s="1" t="n">
        <v>45685</v>
      </c>
      <c r="E1223" s="1" t="n">
        <v>46313</v>
      </c>
      <c r="F1223" t="inlineStr">
        <is>
          <t>SÖDERMANLANDS LÄN</t>
        </is>
      </c>
      <c r="G1223" t="inlineStr">
        <is>
          <t>ESKILSTUNA</t>
        </is>
      </c>
      <c r="I1223" t="n">
        <v>8</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4216-2022</t>
        </is>
      </c>
      <c r="B1224" t="inlineStr">
        <is>
          <t>avverkningsanmälan</t>
        </is>
      </c>
      <c r="C1224" t="inlineStr">
        <is>
          <t>Föryngringsavverkning</t>
        </is>
      </c>
      <c r="D1224" s="1" t="n">
        <v>44588</v>
      </c>
      <c r="E1224" s="1" t="n">
        <v>46313</v>
      </c>
      <c r="F1224" t="inlineStr">
        <is>
          <t>SÖDERMANLANDS LÄN</t>
        </is>
      </c>
      <c r="G1224" t="inlineStr">
        <is>
          <t>FLEN</t>
        </is>
      </c>
      <c r="I1224" t="n">
        <v>3.2</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9167-2023</t>
        </is>
      </c>
      <c r="B1225" t="inlineStr">
        <is>
          <t>avverkningsanmälan</t>
        </is>
      </c>
      <c r="C1225" t="inlineStr">
        <is>
          <t>Föryngringsavverkning</t>
        </is>
      </c>
      <c r="D1225" s="1" t="n">
        <v>44980</v>
      </c>
      <c r="E1225" s="1" t="n">
        <v>46313</v>
      </c>
      <c r="F1225" t="inlineStr">
        <is>
          <t>SÖDERMANLANDS LÄN</t>
        </is>
      </c>
      <c r="G1225" t="inlineStr">
        <is>
          <t>NYKÖPING</t>
        </is>
      </c>
      <c r="I1225" t="n">
        <v>6.9</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51763-2022</t>
        </is>
      </c>
      <c r="B1226" t="inlineStr">
        <is>
          <t>avverkningsanmälan</t>
        </is>
      </c>
      <c r="C1226" t="inlineStr">
        <is>
          <t>Föryngringsavverkning</t>
        </is>
      </c>
      <c r="D1226" s="1" t="n">
        <v>44872</v>
      </c>
      <c r="E1226" s="1" t="n">
        <v>46313</v>
      </c>
      <c r="F1226" t="inlineStr">
        <is>
          <t>SÖDERMANLANDS LÄN</t>
        </is>
      </c>
      <c r="G1226" t="inlineStr">
        <is>
          <t>STRÄNGNÄS</t>
        </is>
      </c>
      <c r="I1226" t="n">
        <v>2.8</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51872-2022</t>
        </is>
      </c>
      <c r="B1227" t="inlineStr">
        <is>
          <t>avverkningsanmälan</t>
        </is>
      </c>
      <c r="C1227" t="inlineStr">
        <is>
          <t>Föryngringsavverkning</t>
        </is>
      </c>
      <c r="D1227" s="1" t="n">
        <v>44872</v>
      </c>
      <c r="E1227" s="1" t="n">
        <v>46313</v>
      </c>
      <c r="F1227" t="inlineStr">
        <is>
          <t>SÖDERMANLANDS LÄN</t>
        </is>
      </c>
      <c r="G1227" t="inlineStr">
        <is>
          <t>FLEN</t>
        </is>
      </c>
      <c r="I1227" t="n">
        <v>2.1</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9200-2023</t>
        </is>
      </c>
      <c r="B1228" t="inlineStr">
        <is>
          <t>avverkningsanmälan</t>
        </is>
      </c>
      <c r="C1228" t="inlineStr">
        <is>
          <t>Föryngringsavverkning</t>
        </is>
      </c>
      <c r="D1228" s="1" t="n">
        <v>44976</v>
      </c>
      <c r="E1228" s="1" t="n">
        <v>46313</v>
      </c>
      <c r="F1228" t="inlineStr">
        <is>
          <t>SÖDERMANLANDS LÄN</t>
        </is>
      </c>
      <c r="G1228" t="inlineStr">
        <is>
          <t>NYKÖPING</t>
        </is>
      </c>
      <c r="I1228" t="n">
        <v>11.1</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18604-2023</t>
        </is>
      </c>
      <c r="B1229" t="inlineStr">
        <is>
          <t>avverkningsanmälan</t>
        </is>
      </c>
      <c r="C1229" t="inlineStr">
        <is>
          <t>Avverkning för annat ändamål</t>
        </is>
      </c>
      <c r="D1229" s="1" t="n">
        <v>45043</v>
      </c>
      <c r="E1229" s="1" t="n">
        <v>46313</v>
      </c>
      <c r="F1229" t="inlineStr">
        <is>
          <t>SÖDERMANLANDS LÄN</t>
        </is>
      </c>
      <c r="G1229" t="inlineStr">
        <is>
          <t>NYKÖPING</t>
        </is>
      </c>
      <c r="I1229" t="n">
        <v>2.9</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65161-2023</t>
        </is>
      </c>
      <c r="B1230" t="inlineStr">
        <is>
          <t>avverkningsanmälan</t>
        </is>
      </c>
      <c r="C1230" t="inlineStr">
        <is>
          <t>Föryngringsavverkning</t>
        </is>
      </c>
      <c r="D1230" s="1" t="n">
        <v>45288</v>
      </c>
      <c r="E1230" s="1" t="n">
        <v>46313</v>
      </c>
      <c r="F1230" t="inlineStr">
        <is>
          <t>SÖDERMANLANDS LÄN</t>
        </is>
      </c>
      <c r="G1230" t="inlineStr">
        <is>
          <t>STRÄNGNÄS</t>
        </is>
      </c>
      <c r="I1230" t="n">
        <v>0.5</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50756-2023</t>
        </is>
      </c>
      <c r="B1231" t="inlineStr">
        <is>
          <t>avverkningsanmälan</t>
        </is>
      </c>
      <c r="C1231" t="inlineStr">
        <is>
          <t>Föryngringsavverkning</t>
        </is>
      </c>
      <c r="D1231" s="1" t="n">
        <v>45210</v>
      </c>
      <c r="E1231" s="1" t="n">
        <v>46313</v>
      </c>
      <c r="F1231" t="inlineStr">
        <is>
          <t>SÖDERMANLANDS LÄN</t>
        </is>
      </c>
      <c r="G1231" t="inlineStr">
        <is>
          <t>VINGÅKER</t>
        </is>
      </c>
      <c r="I1231" t="n">
        <v>3.2</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27238-2023</t>
        </is>
      </c>
      <c r="B1232" t="inlineStr">
        <is>
          <t>avverkningsanmälan</t>
        </is>
      </c>
      <c r="C1232" t="inlineStr">
        <is>
          <t>Föryngringsavverkning</t>
        </is>
      </c>
      <c r="D1232" s="1" t="n">
        <v>45096</v>
      </c>
      <c r="E1232" s="1" t="n">
        <v>46313</v>
      </c>
      <c r="F1232" t="inlineStr">
        <is>
          <t>SÖDERMANLANDS LÄN</t>
        </is>
      </c>
      <c r="G1232" t="inlineStr">
        <is>
          <t>VINGÅKER</t>
        </is>
      </c>
      <c r="H1232" t="inlineStr">
        <is>
          <t>Sveaskog</t>
        </is>
      </c>
      <c r="I1232" t="n">
        <v>2.5</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543-2024</t>
        </is>
      </c>
      <c r="B1233" t="inlineStr">
        <is>
          <t>avverkningsanmälan</t>
        </is>
      </c>
      <c r="C1233" t="inlineStr">
        <is>
          <t>Föryngringsavverkning</t>
        </is>
      </c>
      <c r="D1233" s="1" t="n">
        <v>45299</v>
      </c>
      <c r="E1233" s="1" t="n">
        <v>46313</v>
      </c>
      <c r="F1233" t="inlineStr">
        <is>
          <t>SÖDERMANLANDS LÄN</t>
        </is>
      </c>
      <c r="G1233" t="inlineStr">
        <is>
          <t>FLEN</t>
        </is>
      </c>
      <c r="I1233" t="n">
        <v>3</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50776-2022</t>
        </is>
      </c>
      <c r="B1234" t="inlineStr">
        <is>
          <t>avverkningsanmälan</t>
        </is>
      </c>
      <c r="C1234" t="inlineStr">
        <is>
          <t>Föryngringsavverkning</t>
        </is>
      </c>
      <c r="D1234" s="1" t="n">
        <v>44867</v>
      </c>
      <c r="E1234" s="1" t="n">
        <v>46313</v>
      </c>
      <c r="F1234" t="inlineStr">
        <is>
          <t>SÖDERMANLANDS LÄN</t>
        </is>
      </c>
      <c r="G1234" t="inlineStr">
        <is>
          <t>NYKÖPING</t>
        </is>
      </c>
      <c r="I1234" t="n">
        <v>13.4</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48877-2022</t>
        </is>
      </c>
      <c r="B1235" t="inlineStr">
        <is>
          <t>avverkningsanmälan</t>
        </is>
      </c>
      <c r="C1235" t="inlineStr">
        <is>
          <t>Föryngringsavverkning</t>
        </is>
      </c>
      <c r="D1235" s="1" t="n">
        <v>44859</v>
      </c>
      <c r="E1235" s="1" t="n">
        <v>46313</v>
      </c>
      <c r="F1235" t="inlineStr">
        <is>
          <t>SÖDERMANLANDS LÄN</t>
        </is>
      </c>
      <c r="G1235" t="inlineStr">
        <is>
          <t>KATRINEHOLM</t>
        </is>
      </c>
      <c r="I1235" t="n">
        <v>1</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16617-2025</t>
        </is>
      </c>
      <c r="B1236" t="inlineStr">
        <is>
          <t>avverkningsanmälan</t>
        </is>
      </c>
      <c r="C1236" t="inlineStr">
        <is>
          <t>Föryngringsavverkning</t>
        </is>
      </c>
      <c r="D1236" s="1" t="n">
        <v>45754</v>
      </c>
      <c r="E1236" s="1" t="n">
        <v>46313</v>
      </c>
      <c r="F1236" t="inlineStr">
        <is>
          <t>SÖDERMANLANDS LÄN</t>
        </is>
      </c>
      <c r="G1236" t="inlineStr">
        <is>
          <t>VINGÅKER</t>
        </is>
      </c>
      <c r="H1236" t="inlineStr">
        <is>
          <t>Sveaskog</t>
        </is>
      </c>
      <c r="I1236" t="n">
        <v>9</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6298-2024</t>
        </is>
      </c>
      <c r="B1237" t="inlineStr">
        <is>
          <t>avverkningsanmälan</t>
        </is>
      </c>
      <c r="C1237" t="inlineStr">
        <is>
          <t>Föryngringsavverkning</t>
        </is>
      </c>
      <c r="D1237" s="1" t="n">
        <v>45338</v>
      </c>
      <c r="E1237" s="1" t="n">
        <v>46313</v>
      </c>
      <c r="F1237" t="inlineStr">
        <is>
          <t>SÖDERMANLANDS LÄN</t>
        </is>
      </c>
      <c r="G1237" t="inlineStr">
        <is>
          <t>KATRINEHOLM</t>
        </is>
      </c>
      <c r="I1237" t="n">
        <v>1.4</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64397-2021</t>
        </is>
      </c>
      <c r="B1238" t="inlineStr">
        <is>
          <t>avverkningsanmälan</t>
        </is>
      </c>
      <c r="C1238" t="inlineStr">
        <is>
          <t>Föryngringsavverkning</t>
        </is>
      </c>
      <c r="D1238" s="1" t="n">
        <v>44511</v>
      </c>
      <c r="E1238" s="1" t="n">
        <v>46313</v>
      </c>
      <c r="F1238" t="inlineStr">
        <is>
          <t>SÖDERMANLANDS LÄN</t>
        </is>
      </c>
      <c r="G1238" t="inlineStr">
        <is>
          <t>VINGÅKER</t>
        </is>
      </c>
      <c r="I1238" t="n">
        <v>0.8</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57356-2022</t>
        </is>
      </c>
      <c r="B1239" t="inlineStr">
        <is>
          <t>avverkningsanmälan</t>
        </is>
      </c>
      <c r="C1239" t="inlineStr">
        <is>
          <t>Föryngringsavverkning</t>
        </is>
      </c>
      <c r="D1239" s="1" t="n">
        <v>44896</v>
      </c>
      <c r="E1239" s="1" t="n">
        <v>46313</v>
      </c>
      <c r="F1239" t="inlineStr">
        <is>
          <t>SÖDERMANLANDS LÄN</t>
        </is>
      </c>
      <c r="G1239" t="inlineStr">
        <is>
          <t>FLEN</t>
        </is>
      </c>
      <c r="H1239" t="inlineStr">
        <is>
          <t>Övriga statliga verk och myndigheter</t>
        </is>
      </c>
      <c r="I1239" t="n">
        <v>0.9</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38472-2023</t>
        </is>
      </c>
      <c r="B1240" t="inlineStr">
        <is>
          <t>avverkningsanmälan</t>
        </is>
      </c>
      <c r="C1240" t="inlineStr">
        <is>
          <t>Föryngringsavverkning</t>
        </is>
      </c>
      <c r="D1240" s="1" t="n">
        <v>45162</v>
      </c>
      <c r="E1240" s="1" t="n">
        <v>46313</v>
      </c>
      <c r="F1240" t="inlineStr">
        <is>
          <t>SÖDERMANLANDS LÄN</t>
        </is>
      </c>
      <c r="G1240" t="inlineStr">
        <is>
          <t>NYKÖPING</t>
        </is>
      </c>
      <c r="H1240" t="inlineStr">
        <is>
          <t>Kommuner</t>
        </is>
      </c>
      <c r="I1240" t="n">
        <v>2.7</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70613-2021</t>
        </is>
      </c>
      <c r="B1241" t="inlineStr">
        <is>
          <t>avverkningsanmälan</t>
        </is>
      </c>
      <c r="C1241" t="inlineStr">
        <is>
          <t>Föryngringsavverkning</t>
        </is>
      </c>
      <c r="D1241" s="1" t="n">
        <v>44537</v>
      </c>
      <c r="E1241" s="1" t="n">
        <v>46313</v>
      </c>
      <c r="F1241" t="inlineStr">
        <is>
          <t>SÖDERMANLANDS LÄN</t>
        </is>
      </c>
      <c r="G1241" t="inlineStr">
        <is>
          <t>ESKILSTUNA</t>
        </is>
      </c>
      <c r="I1241" t="n">
        <v>1.9</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34539-2022</t>
        </is>
      </c>
      <c r="B1242" t="inlineStr">
        <is>
          <t>avverkningsanmälan</t>
        </is>
      </c>
      <c r="C1242" t="inlineStr">
        <is>
          <t>Föryngringsavverkning</t>
        </is>
      </c>
      <c r="D1242" s="1" t="n">
        <v>44793</v>
      </c>
      <c r="E1242" s="1" t="n">
        <v>46313</v>
      </c>
      <c r="F1242" t="inlineStr">
        <is>
          <t>SÖDERMANLANDS LÄN</t>
        </is>
      </c>
      <c r="G1242" t="inlineStr">
        <is>
          <t>KATRINEHOLM</t>
        </is>
      </c>
      <c r="I1242" t="n">
        <v>1</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3982-2024</t>
        </is>
      </c>
      <c r="B1243" t="inlineStr">
        <is>
          <t>avverkningsanmälan</t>
        </is>
      </c>
      <c r="C1243" t="inlineStr">
        <is>
          <t>Föryngringsavverkning</t>
        </is>
      </c>
      <c r="D1243" s="1" t="n">
        <v>45322</v>
      </c>
      <c r="E1243" s="1" t="n">
        <v>46313</v>
      </c>
      <c r="F1243" t="inlineStr">
        <is>
          <t>SÖDERMANLANDS LÄN</t>
        </is>
      </c>
      <c r="G1243" t="inlineStr">
        <is>
          <t>KATRINEHOLM</t>
        </is>
      </c>
      <c r="I1243" t="n">
        <v>3.7</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3115-2024</t>
        </is>
      </c>
      <c r="B1244" t="inlineStr">
        <is>
          <t>avverkningsanmälan</t>
        </is>
      </c>
      <c r="C1244" t="inlineStr">
        <is>
          <t>Föryngringsavverkning</t>
        </is>
      </c>
      <c r="D1244" s="1" t="n">
        <v>45316</v>
      </c>
      <c r="E1244" s="1" t="n">
        <v>46313</v>
      </c>
      <c r="F1244" t="inlineStr">
        <is>
          <t>SÖDERMANLANDS LÄN</t>
        </is>
      </c>
      <c r="G1244" t="inlineStr">
        <is>
          <t>KATRINEHOLM</t>
        </is>
      </c>
      <c r="I1244" t="n">
        <v>0.6</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22530-2023</t>
        </is>
      </c>
      <c r="B1245" t="inlineStr">
        <is>
          <t>avverkningsanmälan</t>
        </is>
      </c>
      <c r="C1245" t="inlineStr">
        <is>
          <t>Föryngringsavverkning</t>
        </is>
      </c>
      <c r="D1245" s="1" t="n">
        <v>45071</v>
      </c>
      <c r="E1245" s="1" t="n">
        <v>46313</v>
      </c>
      <c r="F1245" t="inlineStr">
        <is>
          <t>SÖDERMANLANDS LÄN</t>
        </is>
      </c>
      <c r="G1245" t="inlineStr">
        <is>
          <t>STRÄNGNÄS</t>
        </is>
      </c>
      <c r="I1245" t="n">
        <v>2.1</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4885-2024</t>
        </is>
      </c>
      <c r="B1246" t="inlineStr">
        <is>
          <t>avverkningsanmälan</t>
        </is>
      </c>
      <c r="C1246" t="inlineStr">
        <is>
          <t>Föryngringsavverkning</t>
        </is>
      </c>
      <c r="D1246" s="1" t="n">
        <v>45329</v>
      </c>
      <c r="E1246" s="1" t="n">
        <v>46313</v>
      </c>
      <c r="F1246" t="inlineStr">
        <is>
          <t>SÖDERMANLANDS LÄN</t>
        </is>
      </c>
      <c r="G1246" t="inlineStr">
        <is>
          <t>NYKÖPING</t>
        </is>
      </c>
      <c r="I1246" t="n">
        <v>4.2</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65614-2021</t>
        </is>
      </c>
      <c r="B1247" t="inlineStr">
        <is>
          <t>avverkningsanmälan</t>
        </is>
      </c>
      <c r="C1247" t="inlineStr">
        <is>
          <t>Föryngringsavverkning</t>
        </is>
      </c>
      <c r="D1247" s="1" t="n">
        <v>44516</v>
      </c>
      <c r="E1247" s="1" t="n">
        <v>46313</v>
      </c>
      <c r="F1247" t="inlineStr">
        <is>
          <t>SÖDERMANLANDS LÄN</t>
        </is>
      </c>
      <c r="G1247" t="inlineStr">
        <is>
          <t>ESKILSTUNA</t>
        </is>
      </c>
      <c r="I1247" t="n">
        <v>6.2</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5841-2025</t>
        </is>
      </c>
      <c r="B1248" t="inlineStr">
        <is>
          <t>avverkningsanmälan</t>
        </is>
      </c>
      <c r="C1248" t="inlineStr">
        <is>
          <t>Föryngringsavverkning</t>
        </is>
      </c>
      <c r="D1248" s="1" t="n">
        <v>45695</v>
      </c>
      <c r="E1248" s="1" t="n">
        <v>46313</v>
      </c>
      <c r="F1248" t="inlineStr">
        <is>
          <t>SÖDERMANLANDS LÄN</t>
        </is>
      </c>
      <c r="G1248" t="inlineStr">
        <is>
          <t>ESKILSTUNA</t>
        </is>
      </c>
      <c r="I1248" t="n">
        <v>2.2</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5842-2025</t>
        </is>
      </c>
      <c r="B1249" t="inlineStr">
        <is>
          <t>avverkningsanmälan</t>
        </is>
      </c>
      <c r="C1249" t="inlineStr">
        <is>
          <t>Föryngringsavverkning</t>
        </is>
      </c>
      <c r="D1249" s="1" t="n">
        <v>45695</v>
      </c>
      <c r="E1249" s="1" t="n">
        <v>46313</v>
      </c>
      <c r="F1249" t="inlineStr">
        <is>
          <t>SÖDERMANLANDS LÄN</t>
        </is>
      </c>
      <c r="G1249" t="inlineStr">
        <is>
          <t>ESKILSTUNA</t>
        </is>
      </c>
      <c r="I1249" t="n">
        <v>2.5</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7054-2022</t>
        </is>
      </c>
      <c r="B1250" t="inlineStr">
        <is>
          <t>avverkningsanmälan</t>
        </is>
      </c>
      <c r="C1250" t="inlineStr">
        <is>
          <t>Avverkning för annat ändamål</t>
        </is>
      </c>
      <c r="D1250" s="1" t="n">
        <v>44603</v>
      </c>
      <c r="E1250" s="1" t="n">
        <v>46313</v>
      </c>
      <c r="F1250" t="inlineStr">
        <is>
          <t>SÖDERMANLANDS LÄN</t>
        </is>
      </c>
      <c r="G1250" t="inlineStr">
        <is>
          <t>GNESTA</t>
        </is>
      </c>
      <c r="I1250" t="n">
        <v>0.8</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23705-2023</t>
        </is>
      </c>
      <c r="B1251" t="inlineStr">
        <is>
          <t>avverkningsanmälan</t>
        </is>
      </c>
      <c r="C1251" t="inlineStr">
        <is>
          <t>Föryngringsavverkning</t>
        </is>
      </c>
      <c r="D1251" s="1" t="n">
        <v>45077</v>
      </c>
      <c r="E1251" s="1" t="n">
        <v>46313</v>
      </c>
      <c r="F1251" t="inlineStr">
        <is>
          <t>SÖDERMANLANDS LÄN</t>
        </is>
      </c>
      <c r="G1251" t="inlineStr">
        <is>
          <t>KATRINEHOLM</t>
        </is>
      </c>
      <c r="H1251" t="inlineStr">
        <is>
          <t>Kyrkan</t>
        </is>
      </c>
      <c r="I1251" t="n">
        <v>11.9</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7223-2022</t>
        </is>
      </c>
      <c r="B1252" t="inlineStr">
        <is>
          <t>avverkningsanmälan</t>
        </is>
      </c>
      <c r="C1252" t="inlineStr">
        <is>
          <t>Föryngringsavverkning</t>
        </is>
      </c>
      <c r="D1252" s="1" t="n">
        <v>44603</v>
      </c>
      <c r="E1252" s="1" t="n">
        <v>46313</v>
      </c>
      <c r="F1252" t="inlineStr">
        <is>
          <t>SÖDERMANLANDS LÄN</t>
        </is>
      </c>
      <c r="G1252" t="inlineStr">
        <is>
          <t>KATRINEHOLM</t>
        </is>
      </c>
      <c r="I1252" t="n">
        <v>0.8</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9386-2024</t>
        </is>
      </c>
      <c r="B1253" t="inlineStr">
        <is>
          <t>avverkningsanmälan</t>
        </is>
      </c>
      <c r="C1253" t="inlineStr">
        <is>
          <t>Föryngringsavverkning</t>
        </is>
      </c>
      <c r="D1253" s="1" t="n">
        <v>45359</v>
      </c>
      <c r="E1253" s="1" t="n">
        <v>46313</v>
      </c>
      <c r="F1253" t="inlineStr">
        <is>
          <t>SÖDERMANLANDS LÄN</t>
        </is>
      </c>
      <c r="G1253" t="inlineStr">
        <is>
          <t>NYKÖPING</t>
        </is>
      </c>
      <c r="H1253" t="inlineStr">
        <is>
          <t>Holmen skog AB</t>
        </is>
      </c>
      <c r="I1253" t="n">
        <v>2.2</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48826-2022</t>
        </is>
      </c>
      <c r="B1254" t="inlineStr">
        <is>
          <t>avverkningsanmälan</t>
        </is>
      </c>
      <c r="C1254" t="inlineStr">
        <is>
          <t>Föryngringsavverkning</t>
        </is>
      </c>
      <c r="D1254" s="1" t="n">
        <v>44859</v>
      </c>
      <c r="E1254" s="1" t="n">
        <v>46313</v>
      </c>
      <c r="F1254" t="inlineStr">
        <is>
          <t>SÖDERMANLANDS LÄN</t>
        </is>
      </c>
      <c r="G1254" t="inlineStr">
        <is>
          <t>FLEN</t>
        </is>
      </c>
      <c r="H1254" t="inlineStr">
        <is>
          <t>Holmen skog AB</t>
        </is>
      </c>
      <c r="I1254" t="n">
        <v>1.2</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60104-2023</t>
        </is>
      </c>
      <c r="B1255" t="inlineStr">
        <is>
          <t>avverkningsanmälan</t>
        </is>
      </c>
      <c r="C1255" t="inlineStr">
        <is>
          <t>Föryngringsavverkning</t>
        </is>
      </c>
      <c r="D1255" s="1" t="n">
        <v>45258</v>
      </c>
      <c r="E1255" s="1" t="n">
        <v>46313</v>
      </c>
      <c r="F1255" t="inlineStr">
        <is>
          <t>SÖDERMANLANDS LÄN</t>
        </is>
      </c>
      <c r="G1255" t="inlineStr">
        <is>
          <t>NYKÖPING</t>
        </is>
      </c>
      <c r="H1255" t="inlineStr">
        <is>
          <t>Övriga Aktiebolag</t>
        </is>
      </c>
      <c r="I1255" t="n">
        <v>1.1</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53121-2023</t>
        </is>
      </c>
      <c r="B1256" t="inlineStr">
        <is>
          <t>avverkningsanmälan</t>
        </is>
      </c>
      <c r="C1256" t="inlineStr">
        <is>
          <t>Föryngringsavverkning</t>
        </is>
      </c>
      <c r="D1256" s="1" t="n">
        <v>45228</v>
      </c>
      <c r="E1256" s="1" t="n">
        <v>46313</v>
      </c>
      <c r="F1256" t="inlineStr">
        <is>
          <t>SÖDERMANLANDS LÄN</t>
        </is>
      </c>
      <c r="G1256" t="inlineStr">
        <is>
          <t>FLEN</t>
        </is>
      </c>
      <c r="I1256" t="n">
        <v>0.5</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57213-2023</t>
        </is>
      </c>
      <c r="B1257" t="inlineStr">
        <is>
          <t>avverkningsanmälan</t>
        </is>
      </c>
      <c r="C1257" t="inlineStr">
        <is>
          <t>Föryngringsavverkning</t>
        </is>
      </c>
      <c r="D1257" s="1" t="n">
        <v>45245</v>
      </c>
      <c r="E1257" s="1" t="n">
        <v>46313</v>
      </c>
      <c r="F1257" t="inlineStr">
        <is>
          <t>SÖDERMANLANDS LÄN</t>
        </is>
      </c>
      <c r="G1257" t="inlineStr">
        <is>
          <t>ESKILSTUNA</t>
        </is>
      </c>
      <c r="H1257" t="inlineStr">
        <is>
          <t>Allmännings- och besparingsskogar</t>
        </is>
      </c>
      <c r="I1257" t="n">
        <v>2</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17066-2022</t>
        </is>
      </c>
      <c r="B1258" t="inlineStr">
        <is>
          <t>avverkningsanmälan</t>
        </is>
      </c>
      <c r="C1258" t="inlineStr">
        <is>
          <t>Föryngringsavverkning</t>
        </is>
      </c>
      <c r="D1258" s="1" t="n">
        <v>44676</v>
      </c>
      <c r="E1258" s="1" t="n">
        <v>46313</v>
      </c>
      <c r="F1258" t="inlineStr">
        <is>
          <t>SÖDERMANLANDS LÄN</t>
        </is>
      </c>
      <c r="G1258" t="inlineStr">
        <is>
          <t>STRÄNGNÄS</t>
        </is>
      </c>
      <c r="I1258" t="n">
        <v>1</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49011-2022</t>
        </is>
      </c>
      <c r="B1259" t="inlineStr">
        <is>
          <t>avverkningsanmälan</t>
        </is>
      </c>
      <c r="C1259" t="inlineStr">
        <is>
          <t>Föryngringsavverkning</t>
        </is>
      </c>
      <c r="D1259" s="1" t="n">
        <v>44860</v>
      </c>
      <c r="E1259" s="1" t="n">
        <v>46313</v>
      </c>
      <c r="F1259" t="inlineStr">
        <is>
          <t>SÖDERMANLANDS LÄN</t>
        </is>
      </c>
      <c r="G1259" t="inlineStr">
        <is>
          <t>GNESTA</t>
        </is>
      </c>
      <c r="I1259" t="n">
        <v>2.9</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21167-2023</t>
        </is>
      </c>
      <c r="B1260" t="inlineStr">
        <is>
          <t>avverkningsanmälan</t>
        </is>
      </c>
      <c r="C1260" t="inlineStr">
        <is>
          <t>Föryngringsavverkning</t>
        </is>
      </c>
      <c r="D1260" s="1" t="n">
        <v>45057</v>
      </c>
      <c r="E1260" s="1" t="n">
        <v>46313</v>
      </c>
      <c r="F1260" t="inlineStr">
        <is>
          <t>SÖDERMANLANDS LÄN</t>
        </is>
      </c>
      <c r="G1260" t="inlineStr">
        <is>
          <t>FLEN</t>
        </is>
      </c>
      <c r="I1260" t="n">
        <v>1.1</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52769-2023</t>
        </is>
      </c>
      <c r="B1261" t="inlineStr">
        <is>
          <t>avverkningsanmälan</t>
        </is>
      </c>
      <c r="C1261" t="inlineStr">
        <is>
          <t>Avverkning för att bevara och utveckla /försöksver</t>
        </is>
      </c>
      <c r="D1261" s="1" t="n">
        <v>45226</v>
      </c>
      <c r="E1261" s="1" t="n">
        <v>46313</v>
      </c>
      <c r="F1261" t="inlineStr">
        <is>
          <t>SÖDERMANLANDS LÄN</t>
        </is>
      </c>
      <c r="G1261" t="inlineStr">
        <is>
          <t>KATRINEHOLM</t>
        </is>
      </c>
      <c r="I1261" t="n">
        <v>0.5</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888-2023</t>
        </is>
      </c>
      <c r="B1262" t="inlineStr">
        <is>
          <t>avverkningsanmälan</t>
        </is>
      </c>
      <c r="C1262" t="inlineStr">
        <is>
          <t>Föryngringsavverkning</t>
        </is>
      </c>
      <c r="D1262" s="1" t="n">
        <v>44931</v>
      </c>
      <c r="E1262" s="1" t="n">
        <v>46313</v>
      </c>
      <c r="F1262" t="inlineStr">
        <is>
          <t>SÖDERMANLANDS LÄN</t>
        </is>
      </c>
      <c r="G1262" t="inlineStr">
        <is>
          <t>STRÄNGNÄS</t>
        </is>
      </c>
      <c r="I1262" t="n">
        <v>2</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54780-2023</t>
        </is>
      </c>
      <c r="B1263" t="inlineStr">
        <is>
          <t>avverkningsanmälan</t>
        </is>
      </c>
      <c r="C1263" t="inlineStr">
        <is>
          <t>Föryngringsavverkning</t>
        </is>
      </c>
      <c r="D1263" s="1" t="n">
        <v>45236</v>
      </c>
      <c r="E1263" s="1" t="n">
        <v>46313</v>
      </c>
      <c r="F1263" t="inlineStr">
        <is>
          <t>SÖDERMANLANDS LÄN</t>
        </is>
      </c>
      <c r="G1263" t="inlineStr">
        <is>
          <t>VINGÅKER</t>
        </is>
      </c>
      <c r="I1263" t="n">
        <v>3.2</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13086-2023</t>
        </is>
      </c>
      <c r="B1264" t="inlineStr">
        <is>
          <t>avverkningsanmälan</t>
        </is>
      </c>
      <c r="C1264" t="inlineStr">
        <is>
          <t>Föryngringsavverkning</t>
        </is>
      </c>
      <c r="D1264" s="1" t="n">
        <v>45002</v>
      </c>
      <c r="E1264" s="1" t="n">
        <v>46313</v>
      </c>
      <c r="F1264" t="inlineStr">
        <is>
          <t>SÖDERMANLANDS LÄN</t>
        </is>
      </c>
      <c r="G1264" t="inlineStr">
        <is>
          <t>KATRINEHOLM</t>
        </is>
      </c>
      <c r="I1264" t="n">
        <v>2.2</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51446-2023</t>
        </is>
      </c>
      <c r="B1265" t="inlineStr">
        <is>
          <t>avverkningsanmälan</t>
        </is>
      </c>
      <c r="C1265" t="inlineStr">
        <is>
          <t>Föryngringsavverkning</t>
        </is>
      </c>
      <c r="D1265" s="1" t="n">
        <v>45220</v>
      </c>
      <c r="E1265" s="1" t="n">
        <v>46313</v>
      </c>
      <c r="F1265" t="inlineStr">
        <is>
          <t>SÖDERMANLANDS LÄN</t>
        </is>
      </c>
      <c r="G1265" t="inlineStr">
        <is>
          <t>KATRINEHOLM</t>
        </is>
      </c>
      <c r="I1265" t="n">
        <v>8.800000000000001</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50626-2024</t>
        </is>
      </c>
      <c r="B1266" t="inlineStr">
        <is>
          <t>avverkningsanmälan</t>
        </is>
      </c>
      <c r="C1266" t="inlineStr">
        <is>
          <t>Föryngringsavverkning</t>
        </is>
      </c>
      <c r="D1266" s="1" t="n">
        <v>45601</v>
      </c>
      <c r="E1266" s="1" t="n">
        <v>46313</v>
      </c>
      <c r="F1266" t="inlineStr">
        <is>
          <t>SÖDERMANLANDS LÄN</t>
        </is>
      </c>
      <c r="G1266" t="inlineStr">
        <is>
          <t>KATRINEHOLM</t>
        </is>
      </c>
      <c r="I1266" t="n">
        <v>1</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35183-2022</t>
        </is>
      </c>
      <c r="B1267" t="inlineStr">
        <is>
          <t>avverkningsanmälan</t>
        </is>
      </c>
      <c r="C1267" t="inlineStr">
        <is>
          <t>Föryngringsavverkning</t>
        </is>
      </c>
      <c r="D1267" s="1" t="n">
        <v>44797</v>
      </c>
      <c r="E1267" s="1" t="n">
        <v>46313</v>
      </c>
      <c r="F1267" t="inlineStr">
        <is>
          <t>SÖDERMANLANDS LÄN</t>
        </is>
      </c>
      <c r="G1267" t="inlineStr">
        <is>
          <t>KATRINEHOLM</t>
        </is>
      </c>
      <c r="I1267" t="n">
        <v>4.6</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61314-2022</t>
        </is>
      </c>
      <c r="B1268" t="inlineStr">
        <is>
          <t>avverkningsanmälan</t>
        </is>
      </c>
      <c r="C1268" t="inlineStr">
        <is>
          <t>Föryngringsavverkning</t>
        </is>
      </c>
      <c r="D1268" s="1" t="n">
        <v>44915</v>
      </c>
      <c r="E1268" s="1" t="n">
        <v>46313</v>
      </c>
      <c r="F1268" t="inlineStr">
        <is>
          <t>SÖDERMANLANDS LÄN</t>
        </is>
      </c>
      <c r="G1268" t="inlineStr">
        <is>
          <t>ESKILSTUNA</t>
        </is>
      </c>
      <c r="I1268" t="n">
        <v>8.300000000000001</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64159-2021</t>
        </is>
      </c>
      <c r="B1269" t="inlineStr">
        <is>
          <t>avverkningsanmälan</t>
        </is>
      </c>
      <c r="C1269" t="inlineStr">
        <is>
          <t>Föryngringsavverkning</t>
        </is>
      </c>
      <c r="D1269" s="1" t="n">
        <v>44510</v>
      </c>
      <c r="E1269" s="1" t="n">
        <v>46313</v>
      </c>
      <c r="F1269" t="inlineStr">
        <is>
          <t>SÖDERMANLANDS LÄN</t>
        </is>
      </c>
      <c r="G1269" t="inlineStr">
        <is>
          <t>NYKÖPING</t>
        </is>
      </c>
      <c r="I1269" t="n">
        <v>1.7</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27646-2023</t>
        </is>
      </c>
      <c r="B1270" t="inlineStr">
        <is>
          <t>avverkningsanmälan</t>
        </is>
      </c>
      <c r="C1270" t="inlineStr">
        <is>
          <t>Föryngringsavverkning</t>
        </is>
      </c>
      <c r="D1270" s="1" t="n">
        <v>45097</v>
      </c>
      <c r="E1270" s="1" t="n">
        <v>46313</v>
      </c>
      <c r="F1270" t="inlineStr">
        <is>
          <t>SÖDERMANLANDS LÄN</t>
        </is>
      </c>
      <c r="G1270" t="inlineStr">
        <is>
          <t>KATRINEHOLM</t>
        </is>
      </c>
      <c r="I1270" t="n">
        <v>2.4</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13955-2023</t>
        </is>
      </c>
      <c r="B1271" t="inlineStr">
        <is>
          <t>avverkningsanmälan</t>
        </is>
      </c>
      <c r="C1271" t="inlineStr">
        <is>
          <t>Föryngringsavverkning</t>
        </is>
      </c>
      <c r="D1271" s="1" t="n">
        <v>45008</v>
      </c>
      <c r="E1271" s="1" t="n">
        <v>46313</v>
      </c>
      <c r="F1271" t="inlineStr">
        <is>
          <t>SÖDERMANLANDS LÄN</t>
        </is>
      </c>
      <c r="G1271" t="inlineStr">
        <is>
          <t>NYKÖPING</t>
        </is>
      </c>
      <c r="I1271" t="n">
        <v>1.1</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43306-2023</t>
        </is>
      </c>
      <c r="B1272" t="inlineStr">
        <is>
          <t>avverkningsanmälan</t>
        </is>
      </c>
      <c r="C1272" t="inlineStr">
        <is>
          <t>Föryngringsavverkning</t>
        </is>
      </c>
      <c r="D1272" s="1" t="n">
        <v>45183</v>
      </c>
      <c r="E1272" s="1" t="n">
        <v>46313</v>
      </c>
      <c r="F1272" t="inlineStr">
        <is>
          <t>SÖDERMANLANDS LÄN</t>
        </is>
      </c>
      <c r="G1272" t="inlineStr">
        <is>
          <t>NYKÖPING</t>
        </is>
      </c>
      <c r="I1272" t="n">
        <v>1.1</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5844-2025</t>
        </is>
      </c>
      <c r="B1273" t="inlineStr">
        <is>
          <t>avverkningsanmälan</t>
        </is>
      </c>
      <c r="C1273" t="inlineStr">
        <is>
          <t>Föryngringsavverkning</t>
        </is>
      </c>
      <c r="D1273" s="1" t="n">
        <v>45695</v>
      </c>
      <c r="E1273" s="1" t="n">
        <v>46313</v>
      </c>
      <c r="F1273" t="inlineStr">
        <is>
          <t>SÖDERMANLANDS LÄN</t>
        </is>
      </c>
      <c r="G1273" t="inlineStr">
        <is>
          <t>ESKILSTUNA</t>
        </is>
      </c>
      <c r="I1273" t="n">
        <v>1.3</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7197-2023</t>
        </is>
      </c>
      <c r="B1274" t="inlineStr">
        <is>
          <t>avverkningsanmälan</t>
        </is>
      </c>
      <c r="C1274" t="inlineStr">
        <is>
          <t>Föryngringsavverkning</t>
        </is>
      </c>
      <c r="D1274" s="1" t="n">
        <v>44965</v>
      </c>
      <c r="E1274" s="1" t="n">
        <v>46313</v>
      </c>
      <c r="F1274" t="inlineStr">
        <is>
          <t>SÖDERMANLANDS LÄN</t>
        </is>
      </c>
      <c r="G1274" t="inlineStr">
        <is>
          <t>KATRINEHOLM</t>
        </is>
      </c>
      <c r="I1274" t="n">
        <v>5.3</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13632-2023</t>
        </is>
      </c>
      <c r="B1275" t="inlineStr">
        <is>
          <t>avverkningsanmälan</t>
        </is>
      </c>
      <c r="C1275" t="inlineStr">
        <is>
          <t>Föryngringsavverkning</t>
        </is>
      </c>
      <c r="D1275" s="1" t="n">
        <v>45006</v>
      </c>
      <c r="E1275" s="1" t="n">
        <v>46313</v>
      </c>
      <c r="F1275" t="inlineStr">
        <is>
          <t>SÖDERMANLANDS LÄN</t>
        </is>
      </c>
      <c r="G1275" t="inlineStr">
        <is>
          <t>ESKILSTUNA</t>
        </is>
      </c>
      <c r="I1275" t="n">
        <v>16</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24447-2023</t>
        </is>
      </c>
      <c r="B1276" t="inlineStr">
        <is>
          <t>avverkningsanmälan</t>
        </is>
      </c>
      <c r="C1276" t="inlineStr">
        <is>
          <t>Föryngringsavverkning</t>
        </is>
      </c>
      <c r="D1276" s="1" t="n">
        <v>45082</v>
      </c>
      <c r="E1276" s="1" t="n">
        <v>46313</v>
      </c>
      <c r="F1276" t="inlineStr">
        <is>
          <t>SÖDERMANLANDS LÄN</t>
        </is>
      </c>
      <c r="G1276" t="inlineStr">
        <is>
          <t>NYKÖPING</t>
        </is>
      </c>
      <c r="I1276" t="n">
        <v>7</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5805-2022</t>
        </is>
      </c>
      <c r="B1277" t="inlineStr">
        <is>
          <t>avverkningsanmälan</t>
        </is>
      </c>
      <c r="C1277" t="inlineStr">
        <is>
          <t>Föryngringsavverkning</t>
        </is>
      </c>
      <c r="D1277" s="1" t="n">
        <v>44596</v>
      </c>
      <c r="E1277" s="1" t="n">
        <v>46313</v>
      </c>
      <c r="F1277" t="inlineStr">
        <is>
          <t>SÖDERMANLANDS LÄN</t>
        </is>
      </c>
      <c r="G1277" t="inlineStr">
        <is>
          <t>STRÄNGNÄS</t>
        </is>
      </c>
      <c r="I1277" t="n">
        <v>2.2</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25362-2023</t>
        </is>
      </c>
      <c r="B1278" t="inlineStr">
        <is>
          <t>avverkningsanmälan</t>
        </is>
      </c>
      <c r="C1278" t="inlineStr">
        <is>
          <t>Föryngringsavverkning</t>
        </is>
      </c>
      <c r="D1278" s="1" t="n">
        <v>45088</v>
      </c>
      <c r="E1278" s="1" t="n">
        <v>46313</v>
      </c>
      <c r="F1278" t="inlineStr">
        <is>
          <t>SÖDERMANLANDS LÄN</t>
        </is>
      </c>
      <c r="G1278" t="inlineStr">
        <is>
          <t>KATRINEHOLM</t>
        </is>
      </c>
      <c r="I1278" t="n">
        <v>1.5</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28394-2023</t>
        </is>
      </c>
      <c r="B1279" t="inlineStr">
        <is>
          <t>avverkningsanmälan</t>
        </is>
      </c>
      <c r="C1279" t="inlineStr">
        <is>
          <t>Föryngringsavverkning</t>
        </is>
      </c>
      <c r="D1279" s="1" t="n">
        <v>45100</v>
      </c>
      <c r="E1279" s="1" t="n">
        <v>46313</v>
      </c>
      <c r="F1279" t="inlineStr">
        <is>
          <t>SÖDERMANLANDS LÄN</t>
        </is>
      </c>
      <c r="G1279" t="inlineStr">
        <is>
          <t>KATRINEHOLM</t>
        </is>
      </c>
      <c r="I1279" t="n">
        <v>4.2</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41241-2022</t>
        </is>
      </c>
      <c r="B1280" t="inlineStr">
        <is>
          <t>avverkningsanmälan</t>
        </is>
      </c>
      <c r="C1280" t="inlineStr">
        <is>
          <t>Föryngringsavverkning</t>
        </is>
      </c>
      <c r="D1280" s="1" t="n">
        <v>44826</v>
      </c>
      <c r="E1280" s="1" t="n">
        <v>46313</v>
      </c>
      <c r="F1280" t="inlineStr">
        <is>
          <t>SÖDERMANLANDS LÄN</t>
        </is>
      </c>
      <c r="G1280" t="inlineStr">
        <is>
          <t>STRÄNGNÄS</t>
        </is>
      </c>
      <c r="I1280" t="n">
        <v>9.199999999999999</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59138-2024</t>
        </is>
      </c>
      <c r="B1281" t="inlineStr">
        <is>
          <t>avverkningsanmälan</t>
        </is>
      </c>
      <c r="C1281" t="inlineStr">
        <is>
          <t>Föryngringsavverkning</t>
        </is>
      </c>
      <c r="D1281" s="1" t="n">
        <v>45637</v>
      </c>
      <c r="E1281" s="1" t="n">
        <v>46313</v>
      </c>
      <c r="F1281" t="inlineStr">
        <is>
          <t>SÖDERMANLANDS LÄN</t>
        </is>
      </c>
      <c r="G1281" t="inlineStr">
        <is>
          <t>ESKILSTUNA</t>
        </is>
      </c>
      <c r="I1281" t="n">
        <v>4</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2428-2022</t>
        </is>
      </c>
      <c r="B1282" t="inlineStr">
        <is>
          <t>avverkningsanmälan</t>
        </is>
      </c>
      <c r="C1282" t="inlineStr">
        <is>
          <t>Föryngringsavverkning</t>
        </is>
      </c>
      <c r="D1282" s="1" t="n">
        <v>44579</v>
      </c>
      <c r="E1282" s="1" t="n">
        <v>46313</v>
      </c>
      <c r="F1282" t="inlineStr">
        <is>
          <t>SÖDERMANLANDS LÄN</t>
        </is>
      </c>
      <c r="G1282" t="inlineStr">
        <is>
          <t>NYKÖPING</t>
        </is>
      </c>
      <c r="I1282" t="n">
        <v>10.8</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17234-2022</t>
        </is>
      </c>
      <c r="B1283" t="inlineStr">
        <is>
          <t>avverkningsanmälan</t>
        </is>
      </c>
      <c r="C1283" t="inlineStr">
        <is>
          <t>Föryngringsavverkning</t>
        </is>
      </c>
      <c r="D1283" s="1" t="n">
        <v>44678</v>
      </c>
      <c r="E1283" s="1" t="n">
        <v>46313</v>
      </c>
      <c r="F1283" t="inlineStr">
        <is>
          <t>SÖDERMANLANDS LÄN</t>
        </is>
      </c>
      <c r="G1283" t="inlineStr">
        <is>
          <t>NYKÖPING</t>
        </is>
      </c>
      <c r="I1283" t="n">
        <v>3.2</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9598-2023</t>
        </is>
      </c>
      <c r="B1284" t="inlineStr">
        <is>
          <t>avverkningsanmälan</t>
        </is>
      </c>
      <c r="C1284" t="inlineStr">
        <is>
          <t>Föryngringsavverkning</t>
        </is>
      </c>
      <c r="D1284" s="1" t="n">
        <v>44983</v>
      </c>
      <c r="E1284" s="1" t="n">
        <v>46313</v>
      </c>
      <c r="F1284" t="inlineStr">
        <is>
          <t>SÖDERMANLANDS LÄN</t>
        </is>
      </c>
      <c r="G1284" t="inlineStr">
        <is>
          <t>ESKILSTUNA</t>
        </is>
      </c>
      <c r="I1284" t="n">
        <v>0.7</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19165-2024</t>
        </is>
      </c>
      <c r="B1285" t="inlineStr">
        <is>
          <t>avverkningsanmälan</t>
        </is>
      </c>
      <c r="C1285" t="inlineStr">
        <is>
          <t>Föryngringsavverkning</t>
        </is>
      </c>
      <c r="D1285" s="1" t="n">
        <v>45428</v>
      </c>
      <c r="E1285" s="1" t="n">
        <v>46313</v>
      </c>
      <c r="F1285" t="inlineStr">
        <is>
          <t>SÖDERMANLANDS LÄN</t>
        </is>
      </c>
      <c r="G1285" t="inlineStr">
        <is>
          <t>VINGÅKER</t>
        </is>
      </c>
      <c r="I1285" t="n">
        <v>3.7</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38317-2022</t>
        </is>
      </c>
      <c r="B1286" t="inlineStr">
        <is>
          <t>avverkningsanmälan</t>
        </is>
      </c>
      <c r="C1286" t="inlineStr">
        <is>
          <t>Föryngringsavverkning</t>
        </is>
      </c>
      <c r="D1286" s="1" t="n">
        <v>44812</v>
      </c>
      <c r="E1286" s="1" t="n">
        <v>46313</v>
      </c>
      <c r="F1286" t="inlineStr">
        <is>
          <t>SÖDERMANLANDS LÄN</t>
        </is>
      </c>
      <c r="G1286" t="inlineStr">
        <is>
          <t>NYKÖPING</t>
        </is>
      </c>
      <c r="I1286" t="n">
        <v>2.6</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12887-2025</t>
        </is>
      </c>
      <c r="B1287" t="inlineStr">
        <is>
          <t>avverkningsanmälan</t>
        </is>
      </c>
      <c r="C1287" t="inlineStr">
        <is>
          <t>Föryngringsavverkning</t>
        </is>
      </c>
      <c r="D1287" s="1" t="n">
        <v>45733</v>
      </c>
      <c r="E1287" s="1" t="n">
        <v>46313</v>
      </c>
      <c r="F1287" t="inlineStr">
        <is>
          <t>SÖDERMANLANDS LÄN</t>
        </is>
      </c>
      <c r="G1287" t="inlineStr">
        <is>
          <t>NYKÖPING</t>
        </is>
      </c>
      <c r="I1287" t="n">
        <v>5</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12888-2025</t>
        </is>
      </c>
      <c r="B1288" t="inlineStr">
        <is>
          <t>avverkningsanmälan</t>
        </is>
      </c>
      <c r="C1288" t="inlineStr">
        <is>
          <t>Föryngringsavverkning</t>
        </is>
      </c>
      <c r="D1288" s="1" t="n">
        <v>45733</v>
      </c>
      <c r="E1288" s="1" t="n">
        <v>46313</v>
      </c>
      <c r="F1288" t="inlineStr">
        <is>
          <t>SÖDERMANLANDS LÄN</t>
        </is>
      </c>
      <c r="G1288" t="inlineStr">
        <is>
          <t>KATRINEHOLM</t>
        </is>
      </c>
      <c r="I1288" t="n">
        <v>1.6</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7428-2025</t>
        </is>
      </c>
      <c r="B1289" t="inlineStr">
        <is>
          <t>avverkningsanmälan</t>
        </is>
      </c>
      <c r="C1289" t="inlineStr">
        <is>
          <t>Föryngringsavverkning</t>
        </is>
      </c>
      <c r="D1289" s="1" t="n">
        <v>45705</v>
      </c>
      <c r="E1289" s="1" t="n">
        <v>46313</v>
      </c>
      <c r="F1289" t="inlineStr">
        <is>
          <t>SÖDERMANLANDS LÄN</t>
        </is>
      </c>
      <c r="G1289" t="inlineStr">
        <is>
          <t>NYKÖPING</t>
        </is>
      </c>
      <c r="I1289" t="n">
        <v>2.3</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48304-2023</t>
        </is>
      </c>
      <c r="B1290" t="inlineStr">
        <is>
          <t>avverkningsanmälan</t>
        </is>
      </c>
      <c r="C1290" t="inlineStr">
        <is>
          <t>Föryngringsavverkning</t>
        </is>
      </c>
      <c r="D1290" s="1" t="n">
        <v>45205</v>
      </c>
      <c r="E1290" s="1" t="n">
        <v>46313</v>
      </c>
      <c r="F1290" t="inlineStr">
        <is>
          <t>SÖDERMANLANDS LÄN</t>
        </is>
      </c>
      <c r="G1290" t="inlineStr">
        <is>
          <t>GNESTA</t>
        </is>
      </c>
      <c r="H1290" t="inlineStr">
        <is>
          <t>Holmen skog AB</t>
        </is>
      </c>
      <c r="I1290" t="n">
        <v>0.7</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17125-2023</t>
        </is>
      </c>
      <c r="B1291" t="inlineStr">
        <is>
          <t>avverkningsanmälan</t>
        </is>
      </c>
      <c r="C1291" t="inlineStr">
        <is>
          <t>Föryngringsavverkning</t>
        </is>
      </c>
      <c r="D1291" s="1" t="n">
        <v>45034</v>
      </c>
      <c r="E1291" s="1" t="n">
        <v>46313</v>
      </c>
      <c r="F1291" t="inlineStr">
        <is>
          <t>SÖDERMANLANDS LÄN</t>
        </is>
      </c>
      <c r="G1291" t="inlineStr">
        <is>
          <t>FLEN</t>
        </is>
      </c>
      <c r="I1291" t="n">
        <v>1.7</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57304-2023</t>
        </is>
      </c>
      <c r="B1292" t="inlineStr">
        <is>
          <t>avverkningsanmälan</t>
        </is>
      </c>
      <c r="C1292" t="inlineStr">
        <is>
          <t>Avverkning för att bevara och utveckla /försöksver</t>
        </is>
      </c>
      <c r="D1292" s="1" t="n">
        <v>45245</v>
      </c>
      <c r="E1292" s="1" t="n">
        <v>46313</v>
      </c>
      <c r="F1292" t="inlineStr">
        <is>
          <t>SÖDERMANLANDS LÄN</t>
        </is>
      </c>
      <c r="G1292" t="inlineStr">
        <is>
          <t>ESKILSTUNA</t>
        </is>
      </c>
      <c r="H1292" t="inlineStr">
        <is>
          <t>Sveaskog</t>
        </is>
      </c>
      <c r="I1292" t="n">
        <v>3.3</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13626-2023</t>
        </is>
      </c>
      <c r="B1293" t="inlineStr">
        <is>
          <t>avverkningsanmälan</t>
        </is>
      </c>
      <c r="C1293" t="inlineStr">
        <is>
          <t>Föryngringsavverkning</t>
        </is>
      </c>
      <c r="D1293" s="1" t="n">
        <v>45006</v>
      </c>
      <c r="E1293" s="1" t="n">
        <v>46313</v>
      </c>
      <c r="F1293" t="inlineStr">
        <is>
          <t>SÖDERMANLANDS LÄN</t>
        </is>
      </c>
      <c r="G1293" t="inlineStr">
        <is>
          <t>ESKILSTUNA</t>
        </is>
      </c>
      <c r="I1293" t="n">
        <v>1.4</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5327-2025</t>
        </is>
      </c>
      <c r="B1294" t="inlineStr">
        <is>
          <t>avverkningsanmälan</t>
        </is>
      </c>
      <c r="C1294" t="inlineStr">
        <is>
          <t>Föryngringsavverkning</t>
        </is>
      </c>
      <c r="D1294" s="1" t="n">
        <v>45692</v>
      </c>
      <c r="E1294" s="1" t="n">
        <v>46313</v>
      </c>
      <c r="F1294" t="inlineStr">
        <is>
          <t>SÖDERMANLANDS LÄN</t>
        </is>
      </c>
      <c r="G1294" t="inlineStr">
        <is>
          <t>KATRINEHOLM</t>
        </is>
      </c>
      <c r="H1294" t="inlineStr">
        <is>
          <t>Kommuner</t>
        </is>
      </c>
      <c r="I1294" t="n">
        <v>0.5</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21133-2023</t>
        </is>
      </c>
      <c r="B1295" t="inlineStr">
        <is>
          <t>avverkningsanmälan</t>
        </is>
      </c>
      <c r="C1295" t="inlineStr">
        <is>
          <t>Föryngringsavverkning</t>
        </is>
      </c>
      <c r="D1295" s="1" t="n">
        <v>45062</v>
      </c>
      <c r="E1295" s="1" t="n">
        <v>46313</v>
      </c>
      <c r="F1295" t="inlineStr">
        <is>
          <t>SÖDERMANLANDS LÄN</t>
        </is>
      </c>
      <c r="G1295" t="inlineStr">
        <is>
          <t>ESKILSTUNA</t>
        </is>
      </c>
      <c r="I1295" t="n">
        <v>5.3</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4656-2023</t>
        </is>
      </c>
      <c r="B1296" t="inlineStr">
        <is>
          <t>avverkningsanmälan</t>
        </is>
      </c>
      <c r="C1296" t="inlineStr">
        <is>
          <t>Föryngringsavverkning</t>
        </is>
      </c>
      <c r="D1296" s="1" t="n">
        <v>44957</v>
      </c>
      <c r="E1296" s="1" t="n">
        <v>46313</v>
      </c>
      <c r="F1296" t="inlineStr">
        <is>
          <t>SÖDERMANLANDS LÄN</t>
        </is>
      </c>
      <c r="G1296" t="inlineStr">
        <is>
          <t>KATRINEHOLM</t>
        </is>
      </c>
      <c r="H1296" t="inlineStr">
        <is>
          <t>Holmen skog AB</t>
        </is>
      </c>
      <c r="I1296" t="n">
        <v>1.7</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49078-2024</t>
        </is>
      </c>
      <c r="B1297" t="inlineStr">
        <is>
          <t>avverkningsanmälan</t>
        </is>
      </c>
      <c r="C1297" t="inlineStr">
        <is>
          <t>Avverkning för annat ändamål</t>
        </is>
      </c>
      <c r="D1297" s="1" t="n">
        <v>45594</v>
      </c>
      <c r="E1297" s="1" t="n">
        <v>46313</v>
      </c>
      <c r="F1297" t="inlineStr">
        <is>
          <t>SÖDERMANLANDS LÄN</t>
        </is>
      </c>
      <c r="G1297" t="inlineStr">
        <is>
          <t>KATRINEHOLM</t>
        </is>
      </c>
      <c r="H1297" t="inlineStr">
        <is>
          <t>Övriga Aktiebolag</t>
        </is>
      </c>
      <c r="I1297" t="n">
        <v>0.4</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47456-2022</t>
        </is>
      </c>
      <c r="B1298" t="inlineStr">
        <is>
          <t>avverkningsanmälan</t>
        </is>
      </c>
      <c r="C1298" t="inlineStr">
        <is>
          <t>Föryngringsavverkning</t>
        </is>
      </c>
      <c r="D1298" s="1" t="n">
        <v>44852</v>
      </c>
      <c r="E1298" s="1" t="n">
        <v>46313</v>
      </c>
      <c r="F1298" t="inlineStr">
        <is>
          <t>SÖDERMANLANDS LÄN</t>
        </is>
      </c>
      <c r="G1298" t="inlineStr">
        <is>
          <t>KATRINEHOLM</t>
        </is>
      </c>
      <c r="I1298" t="n">
        <v>3.7</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42084-2023</t>
        </is>
      </c>
      <c r="B1299" t="inlineStr">
        <is>
          <t>avverkningsanmälan</t>
        </is>
      </c>
      <c r="C1299" t="inlineStr">
        <is>
          <t>Föryngringsavverkning</t>
        </is>
      </c>
      <c r="D1299" s="1" t="n">
        <v>45175</v>
      </c>
      <c r="E1299" s="1" t="n">
        <v>46313</v>
      </c>
      <c r="F1299" t="inlineStr">
        <is>
          <t>SÖDERMANLANDS LÄN</t>
        </is>
      </c>
      <c r="G1299" t="inlineStr">
        <is>
          <t>VINGÅKER</t>
        </is>
      </c>
      <c r="I1299" t="n">
        <v>1.4</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6725-2022</t>
        </is>
      </c>
      <c r="B1300" t="inlineStr">
        <is>
          <t>avverkningsanmälan</t>
        </is>
      </c>
      <c r="C1300" t="inlineStr">
        <is>
          <t>Föryngringsavverkning</t>
        </is>
      </c>
      <c r="D1300" s="1" t="n">
        <v>44602</v>
      </c>
      <c r="E1300" s="1" t="n">
        <v>46313</v>
      </c>
      <c r="F1300" t="inlineStr">
        <is>
          <t>SÖDERMANLANDS LÄN</t>
        </is>
      </c>
      <c r="G1300" t="inlineStr">
        <is>
          <t>FLEN</t>
        </is>
      </c>
      <c r="I1300" t="n">
        <v>5.9</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35188-2022</t>
        </is>
      </c>
      <c r="B1301" t="inlineStr">
        <is>
          <t>avverkningsanmälan</t>
        </is>
      </c>
      <c r="C1301" t="inlineStr">
        <is>
          <t>Föryngringsavverkning</t>
        </is>
      </c>
      <c r="D1301" s="1" t="n">
        <v>44797</v>
      </c>
      <c r="E1301" s="1" t="n">
        <v>46313</v>
      </c>
      <c r="F1301" t="inlineStr">
        <is>
          <t>SÖDERMANLANDS LÄN</t>
        </is>
      </c>
      <c r="G1301" t="inlineStr">
        <is>
          <t>KATRINEHOLM</t>
        </is>
      </c>
      <c r="I1301" t="n">
        <v>3</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3185-2022</t>
        </is>
      </c>
      <c r="B1302" t="inlineStr">
        <is>
          <t>avverkningsanmälan</t>
        </is>
      </c>
      <c r="C1302" t="inlineStr">
        <is>
          <t>Föryngringsavverkning</t>
        </is>
      </c>
      <c r="D1302" s="1" t="n">
        <v>44582</v>
      </c>
      <c r="E1302" s="1" t="n">
        <v>46313</v>
      </c>
      <c r="F1302" t="inlineStr">
        <is>
          <t>SÖDERMANLANDS LÄN</t>
        </is>
      </c>
      <c r="G1302" t="inlineStr">
        <is>
          <t>STRÄNGNÄS</t>
        </is>
      </c>
      <c r="I1302" t="n">
        <v>6.1</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1251-2023</t>
        </is>
      </c>
      <c r="B1303" t="inlineStr">
        <is>
          <t>avverkningsanmälan</t>
        </is>
      </c>
      <c r="C1303" t="inlineStr">
        <is>
          <t>Föryngringsavverkning</t>
        </is>
      </c>
      <c r="D1303" s="1" t="n">
        <v>44936</v>
      </c>
      <c r="E1303" s="1" t="n">
        <v>46313</v>
      </c>
      <c r="F1303" t="inlineStr">
        <is>
          <t>SÖDERMANLANDS LÄN</t>
        </is>
      </c>
      <c r="G1303" t="inlineStr">
        <is>
          <t>STRÄNGNÄS</t>
        </is>
      </c>
      <c r="I1303" t="n">
        <v>6.1</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12529-2024</t>
        </is>
      </c>
      <c r="B1304" t="inlineStr">
        <is>
          <t>avverkningsanmälan</t>
        </is>
      </c>
      <c r="C1304" t="inlineStr">
        <is>
          <t>Föryngringsavverkning</t>
        </is>
      </c>
      <c r="D1304" s="1" t="n">
        <v>45379</v>
      </c>
      <c r="E1304" s="1" t="n">
        <v>46313</v>
      </c>
      <c r="F1304" t="inlineStr">
        <is>
          <t>SÖDERMANLANDS LÄN</t>
        </is>
      </c>
      <c r="G1304" t="inlineStr">
        <is>
          <t>NYKÖPING</t>
        </is>
      </c>
      <c r="I1304" t="n">
        <v>0.8</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37941-2022</t>
        </is>
      </c>
      <c r="B1305" t="inlineStr">
        <is>
          <t>avverkningsanmälan</t>
        </is>
      </c>
      <c r="C1305" t="inlineStr">
        <is>
          <t>Föryngringsavverkning</t>
        </is>
      </c>
      <c r="D1305" s="1" t="n">
        <v>44810</v>
      </c>
      <c r="E1305" s="1" t="n">
        <v>46313</v>
      </c>
      <c r="F1305" t="inlineStr">
        <is>
          <t>SÖDERMANLANDS LÄN</t>
        </is>
      </c>
      <c r="G1305" t="inlineStr">
        <is>
          <t>NYKÖPING</t>
        </is>
      </c>
      <c r="I1305" t="n">
        <v>13.5</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5695-2024</t>
        </is>
      </c>
      <c r="B1306" t="inlineStr">
        <is>
          <t>avverkningsanmälan</t>
        </is>
      </c>
      <c r="C1306" t="inlineStr">
        <is>
          <t>Föryngringsavverkning</t>
        </is>
      </c>
      <c r="D1306" s="1" t="n">
        <v>45334</v>
      </c>
      <c r="E1306" s="1" t="n">
        <v>46313</v>
      </c>
      <c r="F1306" t="inlineStr">
        <is>
          <t>SÖDERMANLANDS LÄN</t>
        </is>
      </c>
      <c r="G1306" t="inlineStr">
        <is>
          <t>ESKILSTUNA</t>
        </is>
      </c>
      <c r="I1306" t="n">
        <v>1.5</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50316-2023</t>
        </is>
      </c>
      <c r="B1307" t="inlineStr">
        <is>
          <t>avverkningsanmälan</t>
        </is>
      </c>
      <c r="C1307" t="inlineStr">
        <is>
          <t>Föryngringsavverkning</t>
        </is>
      </c>
      <c r="D1307" s="1" t="n">
        <v>45209</v>
      </c>
      <c r="E1307" s="1" t="n">
        <v>46313</v>
      </c>
      <c r="F1307" t="inlineStr">
        <is>
          <t>SÖDERMANLANDS LÄN</t>
        </is>
      </c>
      <c r="G1307" t="inlineStr">
        <is>
          <t>KATRINEHOLM</t>
        </is>
      </c>
      <c r="I1307" t="n">
        <v>1.9</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4655-2024</t>
        </is>
      </c>
      <c r="B1308" t="inlineStr">
        <is>
          <t>avverkningsanmälan</t>
        </is>
      </c>
      <c r="C1308" t="inlineStr">
        <is>
          <t>Föryngringsavverkning</t>
        </is>
      </c>
      <c r="D1308" s="1" t="n">
        <v>45328</v>
      </c>
      <c r="E1308" s="1" t="n">
        <v>46313</v>
      </c>
      <c r="F1308" t="inlineStr">
        <is>
          <t>SÖDERMANLANDS LÄN</t>
        </is>
      </c>
      <c r="G1308" t="inlineStr">
        <is>
          <t>KATRINEHOLM</t>
        </is>
      </c>
      <c r="I1308" t="n">
        <v>17.7</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48362-2022</t>
        </is>
      </c>
      <c r="B1309" t="inlineStr">
        <is>
          <t>avverkningsanmälan</t>
        </is>
      </c>
      <c r="C1309" t="inlineStr">
        <is>
          <t>Föryngringsavverkning</t>
        </is>
      </c>
      <c r="D1309" s="1" t="n">
        <v>44858</v>
      </c>
      <c r="E1309" s="1" t="n">
        <v>46313</v>
      </c>
      <c r="F1309" t="inlineStr">
        <is>
          <t>SÖDERMANLANDS LÄN</t>
        </is>
      </c>
      <c r="G1309" t="inlineStr">
        <is>
          <t>ESKILSTUNA</t>
        </is>
      </c>
      <c r="I1309" t="n">
        <v>1.3</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62693-2023</t>
        </is>
      </c>
      <c r="B1310" t="inlineStr">
        <is>
          <t>avverkningsanmälan</t>
        </is>
      </c>
      <c r="C1310" t="inlineStr">
        <is>
          <t>Föryngringsavverkning</t>
        </is>
      </c>
      <c r="D1310" s="1" t="n">
        <v>45271</v>
      </c>
      <c r="E1310" s="1" t="n">
        <v>46313</v>
      </c>
      <c r="F1310" t="inlineStr">
        <is>
          <t>SÖDERMANLANDS LÄN</t>
        </is>
      </c>
      <c r="G1310" t="inlineStr">
        <is>
          <t>ESKILSTUNA</t>
        </is>
      </c>
      <c r="I1310" t="n">
        <v>6.1</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56996-2023</t>
        </is>
      </c>
      <c r="B1311" t="inlineStr">
        <is>
          <t>avverkningsanmälan</t>
        </is>
      </c>
      <c r="C1311" t="inlineStr">
        <is>
          <t>Föryngringsavverkning</t>
        </is>
      </c>
      <c r="D1311" s="1" t="n">
        <v>45244</v>
      </c>
      <c r="E1311" s="1" t="n">
        <v>46313</v>
      </c>
      <c r="F1311" t="inlineStr">
        <is>
          <t>SÖDERMANLANDS LÄN</t>
        </is>
      </c>
      <c r="G1311" t="inlineStr">
        <is>
          <t>FLEN</t>
        </is>
      </c>
      <c r="I1311" t="n">
        <v>2.5</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9842-2022</t>
        </is>
      </c>
      <c r="B1312" t="inlineStr">
        <is>
          <t>avverkningsanmälan</t>
        </is>
      </c>
      <c r="C1312" t="inlineStr">
        <is>
          <t>Föryngringsavverkning</t>
        </is>
      </c>
      <c r="D1312" s="1" t="n">
        <v>44620</v>
      </c>
      <c r="E1312" s="1" t="n">
        <v>46313</v>
      </c>
      <c r="F1312" t="inlineStr">
        <is>
          <t>SÖDERMANLANDS LÄN</t>
        </is>
      </c>
      <c r="G1312" t="inlineStr">
        <is>
          <t>NYKÖPING</t>
        </is>
      </c>
      <c r="I1312" t="n">
        <v>2.4</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12800-2023</t>
        </is>
      </c>
      <c r="B1313" t="inlineStr">
        <is>
          <t>avverkningsanmälan</t>
        </is>
      </c>
      <c r="C1313" t="inlineStr">
        <is>
          <t>Föryngringsavverkning</t>
        </is>
      </c>
      <c r="D1313" s="1" t="n">
        <v>45001</v>
      </c>
      <c r="E1313" s="1" t="n">
        <v>46313</v>
      </c>
      <c r="F1313" t="inlineStr">
        <is>
          <t>SÖDERMANLANDS LÄN</t>
        </is>
      </c>
      <c r="G1313" t="inlineStr">
        <is>
          <t>NYKÖPING</t>
        </is>
      </c>
      <c r="H1313" t="inlineStr">
        <is>
          <t>Kyrkan</t>
        </is>
      </c>
      <c r="I1313" t="n">
        <v>5.6</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51404-2023</t>
        </is>
      </c>
      <c r="B1314" t="inlineStr">
        <is>
          <t>avverkningsanmälan</t>
        </is>
      </c>
      <c r="C1314" t="inlineStr">
        <is>
          <t>Föryngringsavverkning</t>
        </is>
      </c>
      <c r="D1314" s="1" t="n">
        <v>45214</v>
      </c>
      <c r="E1314" s="1" t="n">
        <v>46313</v>
      </c>
      <c r="F1314" t="inlineStr">
        <is>
          <t>SÖDERMANLANDS LÄN</t>
        </is>
      </c>
      <c r="G1314" t="inlineStr">
        <is>
          <t>KATRINEHOLM</t>
        </is>
      </c>
      <c r="I1314" t="n">
        <v>9</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12538-2025</t>
        </is>
      </c>
      <c r="B1315" t="inlineStr">
        <is>
          <t>avverkningsanmälan</t>
        </is>
      </c>
      <c r="C1315" t="inlineStr">
        <is>
          <t>Föryngringsavverkning</t>
        </is>
      </c>
      <c r="D1315" s="1" t="n">
        <v>45730</v>
      </c>
      <c r="E1315" s="1" t="n">
        <v>46313</v>
      </c>
      <c r="F1315" t="inlineStr">
        <is>
          <t>SÖDERMANLANDS LÄN</t>
        </is>
      </c>
      <c r="G1315" t="inlineStr">
        <is>
          <t>NYKÖPING</t>
        </is>
      </c>
      <c r="I1315" t="n">
        <v>0.4</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23225-2023</t>
        </is>
      </c>
      <c r="B1316" t="inlineStr">
        <is>
          <t>avverkningsanmälan</t>
        </is>
      </c>
      <c r="C1316" t="inlineStr">
        <is>
          <t>Föryngringsavverkning</t>
        </is>
      </c>
      <c r="D1316" s="1" t="n">
        <v>45075</v>
      </c>
      <c r="E1316" s="1" t="n">
        <v>46313</v>
      </c>
      <c r="F1316" t="inlineStr">
        <is>
          <t>SÖDERMANLANDS LÄN</t>
        </is>
      </c>
      <c r="G1316" t="inlineStr">
        <is>
          <t>STRÄNGNÄS</t>
        </is>
      </c>
      <c r="I1316" t="n">
        <v>7.1</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25283-2023</t>
        </is>
      </c>
      <c r="B1317" t="inlineStr">
        <is>
          <t>avverkningsanmälan</t>
        </is>
      </c>
      <c r="C1317" t="inlineStr">
        <is>
          <t>Föryngringsavverkning</t>
        </is>
      </c>
      <c r="D1317" s="1" t="n">
        <v>45079</v>
      </c>
      <c r="E1317" s="1" t="n">
        <v>46313</v>
      </c>
      <c r="F1317" t="inlineStr">
        <is>
          <t>SÖDERMANLANDS LÄN</t>
        </is>
      </c>
      <c r="G1317" t="inlineStr">
        <is>
          <t>ESKILSTUNA</t>
        </is>
      </c>
      <c r="I1317" t="n">
        <v>3.2</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63882-2023</t>
        </is>
      </c>
      <c r="B1318" t="inlineStr">
        <is>
          <t>avverkningsanmälan</t>
        </is>
      </c>
      <c r="C1318" t="inlineStr">
        <is>
          <t>Föryngringsavverkning</t>
        </is>
      </c>
      <c r="D1318" s="1" t="n">
        <v>45278</v>
      </c>
      <c r="E1318" s="1" t="n">
        <v>46313</v>
      </c>
      <c r="F1318" t="inlineStr">
        <is>
          <t>SÖDERMANLANDS LÄN</t>
        </is>
      </c>
      <c r="G1318" t="inlineStr">
        <is>
          <t>NYKÖPING</t>
        </is>
      </c>
      <c r="I1318" t="n">
        <v>2.6</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52452-2024</t>
        </is>
      </c>
      <c r="B1319" t="inlineStr">
        <is>
          <t>avverkningsanmälan</t>
        </is>
      </c>
      <c r="C1319" t="inlineStr">
        <is>
          <t>Avverkning för annat ändamål</t>
        </is>
      </c>
      <c r="D1319" s="1" t="n">
        <v>45609</v>
      </c>
      <c r="E1319" s="1" t="n">
        <v>46313</v>
      </c>
      <c r="F1319" t="inlineStr">
        <is>
          <t>SÖDERMANLANDS LÄN</t>
        </is>
      </c>
      <c r="G1319" t="inlineStr">
        <is>
          <t>STRÄNGNÄS</t>
        </is>
      </c>
      <c r="I1319" t="n">
        <v>1.2</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20181-2024</t>
        </is>
      </c>
      <c r="B1320" t="inlineStr">
        <is>
          <t>avverkningsanmälan</t>
        </is>
      </c>
      <c r="C1320" t="inlineStr">
        <is>
          <t>Avverkning för annat ändamål</t>
        </is>
      </c>
      <c r="D1320" s="1" t="n">
        <v>45434</v>
      </c>
      <c r="E1320" s="1" t="n">
        <v>46313</v>
      </c>
      <c r="F1320" t="inlineStr">
        <is>
          <t>SÖDERMANLANDS LÄN</t>
        </is>
      </c>
      <c r="G1320" t="inlineStr">
        <is>
          <t>STRÄNGNÄS</t>
        </is>
      </c>
      <c r="I1320" t="n">
        <v>1.7</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1131-2023</t>
        </is>
      </c>
      <c r="B1321" t="inlineStr">
        <is>
          <t>avverkningsanmälan</t>
        </is>
      </c>
      <c r="C1321" t="inlineStr">
        <is>
          <t>Föryngringsavverkning</t>
        </is>
      </c>
      <c r="D1321" s="1" t="n">
        <v>44930</v>
      </c>
      <c r="E1321" s="1" t="n">
        <v>46313</v>
      </c>
      <c r="F1321" t="inlineStr">
        <is>
          <t>SÖDERMANLANDS LÄN</t>
        </is>
      </c>
      <c r="G1321" t="inlineStr">
        <is>
          <t>ESKILSTUNA</t>
        </is>
      </c>
      <c r="I1321" t="n">
        <v>3.3</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37907-2022</t>
        </is>
      </c>
      <c r="B1322" t="inlineStr">
        <is>
          <t>avverkningsanmälan</t>
        </is>
      </c>
      <c r="C1322" t="inlineStr">
        <is>
          <t>Föryngringsavverkning</t>
        </is>
      </c>
      <c r="D1322" s="1" t="n">
        <v>44811</v>
      </c>
      <c r="E1322" s="1" t="n">
        <v>46313</v>
      </c>
      <c r="F1322" t="inlineStr">
        <is>
          <t>SÖDERMANLANDS LÄN</t>
        </is>
      </c>
      <c r="G1322" t="inlineStr">
        <is>
          <t>NYKÖPING</t>
        </is>
      </c>
      <c r="I1322" t="n">
        <v>2.5</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37911-2022</t>
        </is>
      </c>
      <c r="B1323" t="inlineStr">
        <is>
          <t>avverkningsanmälan</t>
        </is>
      </c>
      <c r="C1323" t="inlineStr">
        <is>
          <t>Föryngringsavverkning</t>
        </is>
      </c>
      <c r="D1323" s="1" t="n">
        <v>44810</v>
      </c>
      <c r="E1323" s="1" t="n">
        <v>46313</v>
      </c>
      <c r="F1323" t="inlineStr">
        <is>
          <t>SÖDERMANLANDS LÄN</t>
        </is>
      </c>
      <c r="G1323" t="inlineStr">
        <is>
          <t>NYKÖPING</t>
        </is>
      </c>
      <c r="I1323" t="n">
        <v>7</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15898-2022</t>
        </is>
      </c>
      <c r="B1324" t="inlineStr">
        <is>
          <t>avverkningsanmälan</t>
        </is>
      </c>
      <c r="C1324" t="inlineStr">
        <is>
          <t>Föryngringsavverkning</t>
        </is>
      </c>
      <c r="D1324" s="1" t="n">
        <v>44664</v>
      </c>
      <c r="E1324" s="1" t="n">
        <v>46313</v>
      </c>
      <c r="F1324" t="inlineStr">
        <is>
          <t>SÖDERMANLANDS LÄN</t>
        </is>
      </c>
      <c r="G1324" t="inlineStr">
        <is>
          <t>KATRINEHOLM</t>
        </is>
      </c>
      <c r="I1324" t="n">
        <v>6.5</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15910-2022</t>
        </is>
      </c>
      <c r="B1325" t="inlineStr">
        <is>
          <t>avverkningsanmälan</t>
        </is>
      </c>
      <c r="C1325" t="inlineStr">
        <is>
          <t>Föryngringsavverkning</t>
        </is>
      </c>
      <c r="D1325" s="1" t="n">
        <v>44664</v>
      </c>
      <c r="E1325" s="1" t="n">
        <v>46313</v>
      </c>
      <c r="F1325" t="inlineStr">
        <is>
          <t>SÖDERMANLANDS LÄN</t>
        </is>
      </c>
      <c r="G1325" t="inlineStr">
        <is>
          <t>KATRINEHOLM</t>
        </is>
      </c>
      <c r="I1325" t="n">
        <v>5.6</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31392-2022</t>
        </is>
      </c>
      <c r="B1326" t="inlineStr">
        <is>
          <t>avverkningsanmälan</t>
        </is>
      </c>
      <c r="C1326" t="inlineStr">
        <is>
          <t>Avverkning för annat ändamål</t>
        </is>
      </c>
      <c r="D1326" s="1" t="n">
        <v>44774</v>
      </c>
      <c r="E1326" s="1" t="n">
        <v>46313</v>
      </c>
      <c r="F1326" t="inlineStr">
        <is>
          <t>SÖDERMANLANDS LÄN</t>
        </is>
      </c>
      <c r="G1326" t="inlineStr">
        <is>
          <t>NYKÖPING</t>
        </is>
      </c>
      <c r="I1326" t="n">
        <v>4.7</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64605-2023</t>
        </is>
      </c>
      <c r="B1327" t="inlineStr">
        <is>
          <t>avverkningsanmälan</t>
        </is>
      </c>
      <c r="C1327" t="inlineStr">
        <is>
          <t>Föryngringsavverkning</t>
        </is>
      </c>
      <c r="D1327" s="1" t="n">
        <v>45281</v>
      </c>
      <c r="E1327" s="1" t="n">
        <v>46313</v>
      </c>
      <c r="F1327" t="inlineStr">
        <is>
          <t>SÖDERMANLANDS LÄN</t>
        </is>
      </c>
      <c r="G1327" t="inlineStr">
        <is>
          <t>KATRINEHOLM</t>
        </is>
      </c>
      <c r="I1327" t="n">
        <v>0.5</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64652-2023</t>
        </is>
      </c>
      <c r="B1328" t="inlineStr">
        <is>
          <t>avverkningsanmälan</t>
        </is>
      </c>
      <c r="C1328" t="inlineStr">
        <is>
          <t>Föryngringsavverkning</t>
        </is>
      </c>
      <c r="D1328" s="1" t="n">
        <v>45281</v>
      </c>
      <c r="E1328" s="1" t="n">
        <v>46313</v>
      </c>
      <c r="F1328" t="inlineStr">
        <is>
          <t>SÖDERMANLANDS LÄN</t>
        </is>
      </c>
      <c r="G1328" t="inlineStr">
        <is>
          <t>KATRINEHOLM</t>
        </is>
      </c>
      <c r="H1328" t="inlineStr">
        <is>
          <t>Övriga Aktiebolag</t>
        </is>
      </c>
      <c r="I1328" t="n">
        <v>2.2</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29830-2023</t>
        </is>
      </c>
      <c r="B1329" t="inlineStr">
        <is>
          <t>avverkningsanmälan</t>
        </is>
      </c>
      <c r="C1329" t="inlineStr">
        <is>
          <t>Föryngringsavverkning</t>
        </is>
      </c>
      <c r="D1329" s="1" t="n">
        <v>45107</v>
      </c>
      <c r="E1329" s="1" t="n">
        <v>46313</v>
      </c>
      <c r="F1329" t="inlineStr">
        <is>
          <t>SÖDERMANLANDS LÄN</t>
        </is>
      </c>
      <c r="G1329" t="inlineStr">
        <is>
          <t>KATRINEHOLM</t>
        </is>
      </c>
      <c r="H1329" t="inlineStr">
        <is>
          <t>Holmen skog AB</t>
        </is>
      </c>
      <c r="I1329" t="n">
        <v>1.3</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6160-2022</t>
        </is>
      </c>
      <c r="B1330" t="inlineStr">
        <is>
          <t>avverkningsanmälan</t>
        </is>
      </c>
      <c r="C1330" t="inlineStr">
        <is>
          <t>Avverkning för annat ändamål</t>
        </is>
      </c>
      <c r="D1330" s="1" t="n">
        <v>44599</v>
      </c>
      <c r="E1330" s="1" t="n">
        <v>46313</v>
      </c>
      <c r="F1330" t="inlineStr">
        <is>
          <t>SÖDERMANLANDS LÄN</t>
        </is>
      </c>
      <c r="G1330" t="inlineStr">
        <is>
          <t>GNESTA</t>
        </is>
      </c>
      <c r="I1330" t="n">
        <v>0.4</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14859-2024</t>
        </is>
      </c>
      <c r="B1331" t="inlineStr">
        <is>
          <t>avverkningsanmälan</t>
        </is>
      </c>
      <c r="C1331" t="inlineStr">
        <is>
          <t>Föryngringsavverkning</t>
        </is>
      </c>
      <c r="D1331" s="1" t="n">
        <v>45398</v>
      </c>
      <c r="E1331" s="1" t="n">
        <v>46313</v>
      </c>
      <c r="F1331" t="inlineStr">
        <is>
          <t>SÖDERMANLANDS LÄN</t>
        </is>
      </c>
      <c r="G1331" t="inlineStr">
        <is>
          <t>FLEN</t>
        </is>
      </c>
      <c r="I1331" t="n">
        <v>0.6</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12792-2024</t>
        </is>
      </c>
      <c r="B1332" t="inlineStr">
        <is>
          <t>avverkningsanmälan</t>
        </is>
      </c>
      <c r="C1332" t="inlineStr">
        <is>
          <t>Föryngringsavverkning</t>
        </is>
      </c>
      <c r="D1332" s="1" t="n">
        <v>45384</v>
      </c>
      <c r="E1332" s="1" t="n">
        <v>46313</v>
      </c>
      <c r="F1332" t="inlineStr">
        <is>
          <t>SÖDERMANLANDS LÄN</t>
        </is>
      </c>
      <c r="G1332" t="inlineStr">
        <is>
          <t>STRÄNGNÄS</t>
        </is>
      </c>
      <c r="I1332" t="n">
        <v>19.1</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28582-2024</t>
        </is>
      </c>
      <c r="B1333" t="inlineStr">
        <is>
          <t>avverkningsanmälan</t>
        </is>
      </c>
      <c r="C1333" t="inlineStr">
        <is>
          <t>Föryngringsavverkning</t>
        </is>
      </c>
      <c r="D1333" s="1" t="n">
        <v>45478</v>
      </c>
      <c r="E1333" s="1" t="n">
        <v>46313</v>
      </c>
      <c r="F1333" t="inlineStr">
        <is>
          <t>SÖDERMANLANDS LÄN</t>
        </is>
      </c>
      <c r="G1333" t="inlineStr">
        <is>
          <t>KATRINEHOLM</t>
        </is>
      </c>
      <c r="H1333" t="inlineStr">
        <is>
          <t>Övriga Aktiebolag</t>
        </is>
      </c>
      <c r="I1333" t="n">
        <v>4</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1209-2025</t>
        </is>
      </c>
      <c r="B1334" t="inlineStr">
        <is>
          <t>avverkningsanmälan</t>
        </is>
      </c>
      <c r="C1334" t="inlineStr">
        <is>
          <t>Föryngringsavverkning</t>
        </is>
      </c>
      <c r="D1334" s="1" t="n">
        <v>45667</v>
      </c>
      <c r="E1334" s="1" t="n">
        <v>46313</v>
      </c>
      <c r="F1334" t="inlineStr">
        <is>
          <t>SÖDERMANLANDS LÄN</t>
        </is>
      </c>
      <c r="G1334" t="inlineStr">
        <is>
          <t>FLEN</t>
        </is>
      </c>
      <c r="I1334" t="n">
        <v>1.9</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43669-2022</t>
        </is>
      </c>
      <c r="B1335" t="inlineStr">
        <is>
          <t>avverkningsanmälan</t>
        </is>
      </c>
      <c r="C1335" t="inlineStr">
        <is>
          <t>Föryngringsavverkning</t>
        </is>
      </c>
      <c r="D1335" s="1" t="n">
        <v>44834</v>
      </c>
      <c r="E1335" s="1" t="n">
        <v>46313</v>
      </c>
      <c r="F1335" t="inlineStr">
        <is>
          <t>SÖDERMANLANDS LÄN</t>
        </is>
      </c>
      <c r="G1335" t="inlineStr">
        <is>
          <t>STRÄNGNÄS</t>
        </is>
      </c>
      <c r="I1335" t="n">
        <v>1.9</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19271-2023</t>
        </is>
      </c>
      <c r="B1336" t="inlineStr">
        <is>
          <t>avverkningsanmälan</t>
        </is>
      </c>
      <c r="C1336" t="inlineStr">
        <is>
          <t>Föryngringsavverkning</t>
        </is>
      </c>
      <c r="D1336" s="1" t="n">
        <v>45049</v>
      </c>
      <c r="E1336" s="1" t="n">
        <v>46313</v>
      </c>
      <c r="F1336" t="inlineStr">
        <is>
          <t>SÖDERMANLANDS LÄN</t>
        </is>
      </c>
      <c r="G1336" t="inlineStr">
        <is>
          <t>ESKILSTUNA</t>
        </is>
      </c>
      <c r="I1336" t="n">
        <v>4.8</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39120-2022</t>
        </is>
      </c>
      <c r="B1337" t="inlineStr">
        <is>
          <t>avverkningsanmälan</t>
        </is>
      </c>
      <c r="C1337" t="inlineStr">
        <is>
          <t>Föryngringsavverkning</t>
        </is>
      </c>
      <c r="D1337" s="1" t="n">
        <v>44817</v>
      </c>
      <c r="E1337" s="1" t="n">
        <v>46313</v>
      </c>
      <c r="F1337" t="inlineStr">
        <is>
          <t>SÖDERMANLANDS LÄN</t>
        </is>
      </c>
      <c r="G1337" t="inlineStr">
        <is>
          <t>NYKÖPING</t>
        </is>
      </c>
      <c r="I1337" t="n">
        <v>2.8</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59304-2023</t>
        </is>
      </c>
      <c r="B1338" t="inlineStr">
        <is>
          <t>avverkningsanmälan</t>
        </is>
      </c>
      <c r="C1338" t="inlineStr">
        <is>
          <t>Föryngringsavverkning</t>
        </is>
      </c>
      <c r="D1338" s="1" t="n">
        <v>45253</v>
      </c>
      <c r="E1338" s="1" t="n">
        <v>46313</v>
      </c>
      <c r="F1338" t="inlineStr">
        <is>
          <t>SÖDERMANLANDS LÄN</t>
        </is>
      </c>
      <c r="G1338" t="inlineStr">
        <is>
          <t>STRÄNGNÄS</t>
        </is>
      </c>
      <c r="I1338" t="n">
        <v>7.1</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25731-2024</t>
        </is>
      </c>
      <c r="B1339" t="inlineStr">
        <is>
          <t>avverkningsanmälan</t>
        </is>
      </c>
      <c r="C1339" t="inlineStr">
        <is>
          <t>Föryngringsavverkning</t>
        </is>
      </c>
      <c r="D1339" s="1" t="n">
        <v>45464</v>
      </c>
      <c r="E1339" s="1" t="n">
        <v>46313</v>
      </c>
      <c r="F1339" t="inlineStr">
        <is>
          <t>SÖDERMANLANDS LÄN</t>
        </is>
      </c>
      <c r="G1339" t="inlineStr">
        <is>
          <t>ESKILSTUNA</t>
        </is>
      </c>
      <c r="I1339" t="n">
        <v>0.7</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29394-2024</t>
        </is>
      </c>
      <c r="B1340" t="inlineStr">
        <is>
          <t>avverkningsanmälan</t>
        </is>
      </c>
      <c r="C1340" t="inlineStr">
        <is>
          <t>Föryngringsavverkning</t>
        </is>
      </c>
      <c r="D1340" s="1" t="n">
        <v>45483</v>
      </c>
      <c r="E1340" s="1" t="n">
        <v>46313</v>
      </c>
      <c r="F1340" t="inlineStr">
        <is>
          <t>SÖDERMANLANDS LÄN</t>
        </is>
      </c>
      <c r="G1340" t="inlineStr">
        <is>
          <t>KATRINEHOLM</t>
        </is>
      </c>
      <c r="I1340" t="n">
        <v>0.9</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25605-2023</t>
        </is>
      </c>
      <c r="B1341" t="inlineStr">
        <is>
          <t>avverkningsanmälan</t>
        </is>
      </c>
      <c r="C1341" t="inlineStr">
        <is>
          <t>Föryngringsavverkning</t>
        </is>
      </c>
      <c r="D1341" s="1" t="n">
        <v>45089</v>
      </c>
      <c r="E1341" s="1" t="n">
        <v>46313</v>
      </c>
      <c r="F1341" t="inlineStr">
        <is>
          <t>SÖDERMANLANDS LÄN</t>
        </is>
      </c>
      <c r="G1341" t="inlineStr">
        <is>
          <t>FLEN</t>
        </is>
      </c>
      <c r="I1341" t="n">
        <v>3.8</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25635-2023</t>
        </is>
      </c>
      <c r="B1342" t="inlineStr">
        <is>
          <t>avverkningsanmälan</t>
        </is>
      </c>
      <c r="C1342" t="inlineStr">
        <is>
          <t>Föryngringsavverkning</t>
        </is>
      </c>
      <c r="D1342" s="1" t="n">
        <v>45089</v>
      </c>
      <c r="E1342" s="1" t="n">
        <v>46313</v>
      </c>
      <c r="F1342" t="inlineStr">
        <is>
          <t>SÖDERMANLANDS LÄN</t>
        </is>
      </c>
      <c r="G1342" t="inlineStr">
        <is>
          <t>GNESTA</t>
        </is>
      </c>
      <c r="I1342" t="n">
        <v>6.1</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6392-2023</t>
        </is>
      </c>
      <c r="B1343" t="inlineStr">
        <is>
          <t>avverkningsanmälan</t>
        </is>
      </c>
      <c r="C1343" t="inlineStr">
        <is>
          <t>Avverkning för annat ändamål</t>
        </is>
      </c>
      <c r="D1343" s="1" t="n">
        <v>44965</v>
      </c>
      <c r="E1343" s="1" t="n">
        <v>46313</v>
      </c>
      <c r="F1343" t="inlineStr">
        <is>
          <t>SÖDERMANLANDS LÄN</t>
        </is>
      </c>
      <c r="G1343" t="inlineStr">
        <is>
          <t>NYKÖPING</t>
        </is>
      </c>
      <c r="I1343" t="n">
        <v>0.2</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42117-2022</t>
        </is>
      </c>
      <c r="B1344" t="inlineStr">
        <is>
          <t>avverkningsanmälan</t>
        </is>
      </c>
      <c r="C1344" t="inlineStr">
        <is>
          <t>Föryngringsavverkning</t>
        </is>
      </c>
      <c r="D1344" s="1" t="n">
        <v>44830</v>
      </c>
      <c r="E1344" s="1" t="n">
        <v>46313</v>
      </c>
      <c r="F1344" t="inlineStr">
        <is>
          <t>SÖDERMANLANDS LÄN</t>
        </is>
      </c>
      <c r="G1344" t="inlineStr">
        <is>
          <t>STRÄNGNÄS</t>
        </is>
      </c>
      <c r="H1344" t="inlineStr">
        <is>
          <t>Allmännings- och besparingsskogar</t>
        </is>
      </c>
      <c r="I1344" t="n">
        <v>1.2</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42249-2022</t>
        </is>
      </c>
      <c r="B1345" t="inlineStr">
        <is>
          <t>avverkningsanmälan</t>
        </is>
      </c>
      <c r="C1345" t="inlineStr">
        <is>
          <t>Föryngringsavverkning</t>
        </is>
      </c>
      <c r="D1345" s="1" t="n">
        <v>44830</v>
      </c>
      <c r="E1345" s="1" t="n">
        <v>46313</v>
      </c>
      <c r="F1345" t="inlineStr">
        <is>
          <t>SÖDERMANLANDS LÄN</t>
        </is>
      </c>
      <c r="G1345" t="inlineStr">
        <is>
          <t>NYKÖPING</t>
        </is>
      </c>
      <c r="I1345" t="n">
        <v>1.7</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71414-2021</t>
        </is>
      </c>
      <c r="B1346" t="inlineStr">
        <is>
          <t>avverkningsanmälan</t>
        </is>
      </c>
      <c r="C1346" t="inlineStr">
        <is>
          <t>Föryngringsavverkning</t>
        </is>
      </c>
      <c r="D1346" s="1" t="n">
        <v>44540</v>
      </c>
      <c r="E1346" s="1" t="n">
        <v>46313</v>
      </c>
      <c r="F1346" t="inlineStr">
        <is>
          <t>SÖDERMANLANDS LÄN</t>
        </is>
      </c>
      <c r="G1346" t="inlineStr">
        <is>
          <t>STRÄNGNÄS</t>
        </is>
      </c>
      <c r="I1346" t="n">
        <v>1.4</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17727-2023</t>
        </is>
      </c>
      <c r="B1347" t="inlineStr">
        <is>
          <t>avverkningsanmälan</t>
        </is>
      </c>
      <c r="C1347" t="inlineStr">
        <is>
          <t>Föryngringsavverkning</t>
        </is>
      </c>
      <c r="D1347" s="1" t="n">
        <v>45036</v>
      </c>
      <c r="E1347" s="1" t="n">
        <v>46313</v>
      </c>
      <c r="F1347" t="inlineStr">
        <is>
          <t>SÖDERMANLANDS LÄN</t>
        </is>
      </c>
      <c r="G1347" t="inlineStr">
        <is>
          <t>ESKILSTUNA</t>
        </is>
      </c>
      <c r="I1347" t="n">
        <v>3.1</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10771-2022</t>
        </is>
      </c>
      <c r="B1348" t="inlineStr">
        <is>
          <t>avverkningsanmälan</t>
        </is>
      </c>
      <c r="C1348" t="inlineStr">
        <is>
          <t>Föryngringsavverkning</t>
        </is>
      </c>
      <c r="D1348" s="1" t="n">
        <v>44624</v>
      </c>
      <c r="E1348" s="1" t="n">
        <v>46313</v>
      </c>
      <c r="F1348" t="inlineStr">
        <is>
          <t>SÖDERMANLANDS LÄN</t>
        </is>
      </c>
      <c r="G1348" t="inlineStr">
        <is>
          <t>FLEN</t>
        </is>
      </c>
      <c r="I1348" t="n">
        <v>1</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12447-2024</t>
        </is>
      </c>
      <c r="B1349" t="inlineStr">
        <is>
          <t>avverkningsanmälan</t>
        </is>
      </c>
      <c r="C1349" t="inlineStr">
        <is>
          <t>Föryngringsavverkning</t>
        </is>
      </c>
      <c r="D1349" s="1" t="n">
        <v>45379</v>
      </c>
      <c r="E1349" s="1" t="n">
        <v>46313</v>
      </c>
      <c r="F1349" t="inlineStr">
        <is>
          <t>SÖDERMANLANDS LÄN</t>
        </is>
      </c>
      <c r="G1349" t="inlineStr">
        <is>
          <t>TROSA</t>
        </is>
      </c>
      <c r="I1349" t="n">
        <v>3.4</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61567-2024</t>
        </is>
      </c>
      <c r="B1350" t="inlineStr">
        <is>
          <t>avverkningsanmälan</t>
        </is>
      </c>
      <c r="C1350" t="inlineStr">
        <is>
          <t>Avverkning för annat ändamål</t>
        </is>
      </c>
      <c r="D1350" s="1" t="n">
        <v>45646</v>
      </c>
      <c r="E1350" s="1" t="n">
        <v>46313</v>
      </c>
      <c r="F1350" t="inlineStr">
        <is>
          <t>SÖDERMANLANDS LÄN</t>
        </is>
      </c>
      <c r="G1350" t="inlineStr">
        <is>
          <t>STRÄNGNÄS</t>
        </is>
      </c>
      <c r="I1350" t="n">
        <v>0.5</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44579-2022</t>
        </is>
      </c>
      <c r="B1351" t="inlineStr">
        <is>
          <t>avverkningsanmälan</t>
        </is>
      </c>
      <c r="C1351" t="inlineStr">
        <is>
          <t>Föryngringsavverkning</t>
        </is>
      </c>
      <c r="D1351" s="1" t="n">
        <v>44840</v>
      </c>
      <c r="E1351" s="1" t="n">
        <v>46313</v>
      </c>
      <c r="F1351" t="inlineStr">
        <is>
          <t>SÖDERMANLANDS LÄN</t>
        </is>
      </c>
      <c r="G1351" t="inlineStr">
        <is>
          <t>TROSA</t>
        </is>
      </c>
      <c r="I1351" t="n">
        <v>2.8</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15293-2023</t>
        </is>
      </c>
      <c r="B1352" t="inlineStr">
        <is>
          <t>avverkningsanmälan</t>
        </is>
      </c>
      <c r="C1352" t="inlineStr">
        <is>
          <t>Föryngringsavverkning</t>
        </is>
      </c>
      <c r="D1352" s="1" t="n">
        <v>45019</v>
      </c>
      <c r="E1352" s="1" t="n">
        <v>46313</v>
      </c>
      <c r="F1352" t="inlineStr">
        <is>
          <t>SÖDERMANLANDS LÄN</t>
        </is>
      </c>
      <c r="G1352" t="inlineStr">
        <is>
          <t>TROSA</t>
        </is>
      </c>
      <c r="H1352" t="inlineStr">
        <is>
          <t>Holmen skog AB</t>
        </is>
      </c>
      <c r="I1352" t="n">
        <v>0.5</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34091-2024</t>
        </is>
      </c>
      <c r="B1353" t="inlineStr">
        <is>
          <t>avverkningsanmälan</t>
        </is>
      </c>
      <c r="C1353" t="inlineStr">
        <is>
          <t>Föryngringsavverkning</t>
        </is>
      </c>
      <c r="D1353" s="1" t="n">
        <v>45523</v>
      </c>
      <c r="E1353" s="1" t="n">
        <v>46313</v>
      </c>
      <c r="F1353" t="inlineStr">
        <is>
          <t>SÖDERMANLANDS LÄN</t>
        </is>
      </c>
      <c r="G1353" t="inlineStr">
        <is>
          <t>GNESTA</t>
        </is>
      </c>
      <c r="H1353" t="inlineStr">
        <is>
          <t>Holmen skog AB</t>
        </is>
      </c>
      <c r="I1353" t="n">
        <v>1.1</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73063-2021</t>
        </is>
      </c>
      <c r="B1354" t="inlineStr">
        <is>
          <t>avverkningsanmälan</t>
        </is>
      </c>
      <c r="C1354" t="inlineStr">
        <is>
          <t>Föryngringsavverkning</t>
        </is>
      </c>
      <c r="D1354" s="1" t="n">
        <v>44546</v>
      </c>
      <c r="E1354" s="1" t="n">
        <v>46313</v>
      </c>
      <c r="F1354" t="inlineStr">
        <is>
          <t>SÖDERMANLANDS LÄN</t>
        </is>
      </c>
      <c r="G1354" t="inlineStr">
        <is>
          <t>GNESTA</t>
        </is>
      </c>
      <c r="I1354" t="n">
        <v>0.8</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60747-2021</t>
        </is>
      </c>
      <c r="B1355" t="inlineStr">
        <is>
          <t>avverkningsanmälan</t>
        </is>
      </c>
      <c r="C1355" t="inlineStr">
        <is>
          <t>Föryngringsavverkning</t>
        </is>
      </c>
      <c r="D1355" s="1" t="n">
        <v>44496</v>
      </c>
      <c r="E1355" s="1" t="n">
        <v>46313</v>
      </c>
      <c r="F1355" t="inlineStr">
        <is>
          <t>SÖDERMANLANDS LÄN</t>
        </is>
      </c>
      <c r="G1355" t="inlineStr">
        <is>
          <t>STRÄNGNÄS</t>
        </is>
      </c>
      <c r="I1355" t="n">
        <v>3.3</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3620-2025</t>
        </is>
      </c>
      <c r="B1356" t="inlineStr">
        <is>
          <t>avverkningsanmälan</t>
        </is>
      </c>
      <c r="C1356" t="inlineStr">
        <is>
          <t>Avverkning för annat ändamål</t>
        </is>
      </c>
      <c r="D1356" s="1" t="n">
        <v>45681</v>
      </c>
      <c r="E1356" s="1" t="n">
        <v>46313</v>
      </c>
      <c r="F1356" t="inlineStr">
        <is>
          <t>SÖDERMANLANDS LÄN</t>
        </is>
      </c>
      <c r="G1356" t="inlineStr">
        <is>
          <t>GNESTA</t>
        </is>
      </c>
      <c r="I1356" t="n">
        <v>0.5</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42731-2024</t>
        </is>
      </c>
      <c r="B1357" t="inlineStr">
        <is>
          <t>avverkningsanmälan</t>
        </is>
      </c>
      <c r="C1357" t="inlineStr">
        <is>
          <t>Avverkning för annat ändamål</t>
        </is>
      </c>
      <c r="D1357" s="1" t="n">
        <v>45566</v>
      </c>
      <c r="E1357" s="1" t="n">
        <v>46313</v>
      </c>
      <c r="F1357" t="inlineStr">
        <is>
          <t>SÖDERMANLANDS LÄN</t>
        </is>
      </c>
      <c r="G1357" t="inlineStr">
        <is>
          <t>FLEN</t>
        </is>
      </c>
      <c r="I1357" t="n">
        <v>2.1</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60613-2023</t>
        </is>
      </c>
      <c r="B1358" t="inlineStr">
        <is>
          <t>avverkningsanmälan</t>
        </is>
      </c>
      <c r="C1358" t="inlineStr">
        <is>
          <t>Föryngringsavverkning</t>
        </is>
      </c>
      <c r="D1358" s="1" t="n">
        <v>45260</v>
      </c>
      <c r="E1358" s="1" t="n">
        <v>46313</v>
      </c>
      <c r="F1358" t="inlineStr">
        <is>
          <t>SÖDERMANLANDS LÄN</t>
        </is>
      </c>
      <c r="G1358" t="inlineStr">
        <is>
          <t>FLEN</t>
        </is>
      </c>
      <c r="I1358" t="n">
        <v>1.1</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44006-2022</t>
        </is>
      </c>
      <c r="B1359" t="inlineStr">
        <is>
          <t>avverkningsanmälan</t>
        </is>
      </c>
      <c r="C1359" t="inlineStr">
        <is>
          <t>Föryngringsavverkning</t>
        </is>
      </c>
      <c r="D1359" s="1" t="n">
        <v>44838</v>
      </c>
      <c r="E1359" s="1" t="n">
        <v>46313</v>
      </c>
      <c r="F1359" t="inlineStr">
        <is>
          <t>SÖDERMANLANDS LÄN</t>
        </is>
      </c>
      <c r="G1359" t="inlineStr">
        <is>
          <t>FLEN</t>
        </is>
      </c>
      <c r="I1359" t="n">
        <v>4.4</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30387-2022</t>
        </is>
      </c>
      <c r="B1360" t="inlineStr">
        <is>
          <t>avverkningsanmälan</t>
        </is>
      </c>
      <c r="C1360" t="inlineStr">
        <is>
          <t>Föryngringsavverkning</t>
        </is>
      </c>
      <c r="D1360" s="1" t="n">
        <v>44760</v>
      </c>
      <c r="E1360" s="1" t="n">
        <v>46313</v>
      </c>
      <c r="F1360" t="inlineStr">
        <is>
          <t>SÖDERMANLANDS LÄN</t>
        </is>
      </c>
      <c r="G1360" t="inlineStr">
        <is>
          <t>KATRINEHOLM</t>
        </is>
      </c>
      <c r="I1360" t="n">
        <v>1.9</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30423-2022</t>
        </is>
      </c>
      <c r="B1361" t="inlineStr">
        <is>
          <t>avverkningsanmälan</t>
        </is>
      </c>
      <c r="C1361" t="inlineStr">
        <is>
          <t>Föryngringsavverkning</t>
        </is>
      </c>
      <c r="D1361" s="1" t="n">
        <v>44761</v>
      </c>
      <c r="E1361" s="1" t="n">
        <v>46313</v>
      </c>
      <c r="F1361" t="inlineStr">
        <is>
          <t>SÖDERMANLANDS LÄN</t>
        </is>
      </c>
      <c r="G1361" t="inlineStr">
        <is>
          <t>FLEN</t>
        </is>
      </c>
      <c r="I1361" t="n">
        <v>2.8</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12139-2025</t>
        </is>
      </c>
      <c r="B1362" t="inlineStr">
        <is>
          <t>avverkningsanmälan</t>
        </is>
      </c>
      <c r="C1362" t="inlineStr">
        <is>
          <t>Föryngringsavverkning</t>
        </is>
      </c>
      <c r="D1362" s="1" t="n">
        <v>45729</v>
      </c>
      <c r="E1362" s="1" t="n">
        <v>46313</v>
      </c>
      <c r="F1362" t="inlineStr">
        <is>
          <t>SÖDERMANLANDS LÄN</t>
        </is>
      </c>
      <c r="G1362" t="inlineStr">
        <is>
          <t>NYKÖPING</t>
        </is>
      </c>
      <c r="I1362" t="n">
        <v>1.4</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12140-2025</t>
        </is>
      </c>
      <c r="B1363" t="inlineStr">
        <is>
          <t>avverkningsanmälan</t>
        </is>
      </c>
      <c r="C1363" t="inlineStr">
        <is>
          <t>Föryngringsavverkning</t>
        </is>
      </c>
      <c r="D1363" s="1" t="n">
        <v>45729</v>
      </c>
      <c r="E1363" s="1" t="n">
        <v>46313</v>
      </c>
      <c r="F1363" t="inlineStr">
        <is>
          <t>SÖDERMANLANDS LÄN</t>
        </is>
      </c>
      <c r="G1363" t="inlineStr">
        <is>
          <t>NYKÖPING</t>
        </is>
      </c>
      <c r="I1363" t="n">
        <v>6.3</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17600-2022</t>
        </is>
      </c>
      <c r="B1364" t="inlineStr">
        <is>
          <t>avverkningsanmälan</t>
        </is>
      </c>
      <c r="C1364" t="inlineStr">
        <is>
          <t>Föryngringsavverkning</t>
        </is>
      </c>
      <c r="D1364" s="1" t="n">
        <v>44680</v>
      </c>
      <c r="E1364" s="1" t="n">
        <v>46313</v>
      </c>
      <c r="F1364" t="inlineStr">
        <is>
          <t>SÖDERMANLANDS LÄN</t>
        </is>
      </c>
      <c r="G1364" t="inlineStr">
        <is>
          <t>TROSA</t>
        </is>
      </c>
      <c r="I1364" t="n">
        <v>7.7</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55282-2023</t>
        </is>
      </c>
      <c r="B1365" t="inlineStr">
        <is>
          <t>avverkningsanmälan</t>
        </is>
      </c>
      <c r="C1365" t="inlineStr">
        <is>
          <t>Föryngringsavverkning</t>
        </is>
      </c>
      <c r="D1365" s="1" t="n">
        <v>45237</v>
      </c>
      <c r="E1365" s="1" t="n">
        <v>46313</v>
      </c>
      <c r="F1365" t="inlineStr">
        <is>
          <t>SÖDERMANLANDS LÄN</t>
        </is>
      </c>
      <c r="G1365" t="inlineStr">
        <is>
          <t>ESKILSTUNA</t>
        </is>
      </c>
      <c r="I1365" t="n">
        <v>2.2</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1538-2025</t>
        </is>
      </c>
      <c r="B1366" t="inlineStr">
        <is>
          <t>avverkningsanmälan</t>
        </is>
      </c>
      <c r="C1366" t="inlineStr">
        <is>
          <t>Avverkning för att bevara och utveckla /försöksver</t>
        </is>
      </c>
      <c r="D1366" s="1" t="n">
        <v>45670</v>
      </c>
      <c r="E1366" s="1" t="n">
        <v>46313</v>
      </c>
      <c r="F1366" t="inlineStr">
        <is>
          <t>SÖDERMANLANDS LÄN</t>
        </is>
      </c>
      <c r="G1366" t="inlineStr">
        <is>
          <t>ESKILSTUNA</t>
        </is>
      </c>
      <c r="H1366" t="inlineStr">
        <is>
          <t>Sveaskog</t>
        </is>
      </c>
      <c r="I1366" t="n">
        <v>1.9</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931-2023</t>
        </is>
      </c>
      <c r="B1367" t="inlineStr">
        <is>
          <t>avverkningsanmälan</t>
        </is>
      </c>
      <c r="C1367" t="inlineStr">
        <is>
          <t>Föryngringsavverkning</t>
        </is>
      </c>
      <c r="D1367" s="1" t="n">
        <v>44932</v>
      </c>
      <c r="E1367" s="1" t="n">
        <v>46313</v>
      </c>
      <c r="F1367" t="inlineStr">
        <is>
          <t>SÖDERMANLANDS LÄN</t>
        </is>
      </c>
      <c r="G1367" t="inlineStr">
        <is>
          <t>KATRINEHOLM</t>
        </is>
      </c>
      <c r="I1367" t="n">
        <v>4</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21854-2023</t>
        </is>
      </c>
      <c r="B1368" t="inlineStr">
        <is>
          <t>avverkningsanmälan</t>
        </is>
      </c>
      <c r="C1368" t="inlineStr">
        <is>
          <t>Föryngringsavverkning</t>
        </is>
      </c>
      <c r="D1368" s="1" t="n">
        <v>45068</v>
      </c>
      <c r="E1368" s="1" t="n">
        <v>46313</v>
      </c>
      <c r="F1368" t="inlineStr">
        <is>
          <t>SÖDERMANLANDS LÄN</t>
        </is>
      </c>
      <c r="G1368" t="inlineStr">
        <is>
          <t>GNESTA</t>
        </is>
      </c>
      <c r="I1368" t="n">
        <v>1.7</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46106-2024</t>
        </is>
      </c>
      <c r="B1369" t="inlineStr">
        <is>
          <t>avverkningsanmälan</t>
        </is>
      </c>
      <c r="C1369" t="inlineStr">
        <is>
          <t>Föryngringsavverkning</t>
        </is>
      </c>
      <c r="D1369" s="1" t="n">
        <v>45581</v>
      </c>
      <c r="E1369" s="1" t="n">
        <v>46313</v>
      </c>
      <c r="F1369" t="inlineStr">
        <is>
          <t>SÖDERMANLANDS LÄN</t>
        </is>
      </c>
      <c r="G1369" t="inlineStr">
        <is>
          <t>FLEN</t>
        </is>
      </c>
      <c r="I1369" t="n">
        <v>1.2</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38198-2025</t>
        </is>
      </c>
      <c r="B1370" t="inlineStr">
        <is>
          <t>avverkningsanmälan</t>
        </is>
      </c>
      <c r="C1370" t="inlineStr">
        <is>
          <t>Föryngringsavverkning</t>
        </is>
      </c>
      <c r="D1370" s="1" t="n">
        <v>45882</v>
      </c>
      <c r="E1370" s="1" t="n">
        <v>46313</v>
      </c>
      <c r="F1370" t="inlineStr">
        <is>
          <t>SÖDERMANLANDS LÄN</t>
        </is>
      </c>
      <c r="G1370" t="inlineStr">
        <is>
          <t>STRÄNGNÄS</t>
        </is>
      </c>
      <c r="I1370" t="n">
        <v>3.4</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38762-2023</t>
        </is>
      </c>
      <c r="B1371" t="inlineStr">
        <is>
          <t>avverkningsanmälan</t>
        </is>
      </c>
      <c r="C1371" t="inlineStr">
        <is>
          <t>Föryngringsavverkning</t>
        </is>
      </c>
      <c r="D1371" s="1" t="n">
        <v>45163</v>
      </c>
      <c r="E1371" s="1" t="n">
        <v>46313</v>
      </c>
      <c r="F1371" t="inlineStr">
        <is>
          <t>SÖDERMANLANDS LÄN</t>
        </is>
      </c>
      <c r="G1371" t="inlineStr">
        <is>
          <t>FLEN</t>
        </is>
      </c>
      <c r="I1371" t="n">
        <v>3</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38155-2025</t>
        </is>
      </c>
      <c r="B1372" t="inlineStr">
        <is>
          <t>avverkningsanmälan</t>
        </is>
      </c>
      <c r="C1372" t="inlineStr">
        <is>
          <t>Föryngringsavverkning</t>
        </is>
      </c>
      <c r="D1372" s="1" t="n">
        <v>45882</v>
      </c>
      <c r="E1372" s="1" t="n">
        <v>46313</v>
      </c>
      <c r="F1372" t="inlineStr">
        <is>
          <t>SÖDERMANLANDS LÄN</t>
        </is>
      </c>
      <c r="G1372" t="inlineStr">
        <is>
          <t>GNESTA</t>
        </is>
      </c>
      <c r="I1372" t="n">
        <v>2</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33271-2024</t>
        </is>
      </c>
      <c r="B1373" t="inlineStr">
        <is>
          <t>avverkningsanmälan</t>
        </is>
      </c>
      <c r="C1373" t="inlineStr">
        <is>
          <t>Föryngringsavverkning</t>
        </is>
      </c>
      <c r="D1373" s="1" t="n">
        <v>45518</v>
      </c>
      <c r="E1373" s="1" t="n">
        <v>46313</v>
      </c>
      <c r="F1373" t="inlineStr">
        <is>
          <t>SÖDERMANLANDS LÄN</t>
        </is>
      </c>
      <c r="G1373" t="inlineStr">
        <is>
          <t>NYKÖPING</t>
        </is>
      </c>
      <c r="I1373" t="n">
        <v>5.2</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14106-2025</t>
        </is>
      </c>
      <c r="B1374" t="inlineStr">
        <is>
          <t>avverkningsanmälan</t>
        </is>
      </c>
      <c r="C1374" t="inlineStr">
        <is>
          <t>Föryngringsavverkning</t>
        </is>
      </c>
      <c r="D1374" s="1" t="n">
        <v>45740</v>
      </c>
      <c r="E1374" s="1" t="n">
        <v>46313</v>
      </c>
      <c r="F1374" t="inlineStr">
        <is>
          <t>SÖDERMANLANDS LÄN</t>
        </is>
      </c>
      <c r="G1374" t="inlineStr">
        <is>
          <t>FLEN</t>
        </is>
      </c>
      <c r="H1374" t="inlineStr">
        <is>
          <t>Övriga statliga verk och myndigheter</t>
        </is>
      </c>
      <c r="I1374" t="n">
        <v>2.3</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11543-2025</t>
        </is>
      </c>
      <c r="B1375" t="inlineStr">
        <is>
          <t>avverkningsanmälan</t>
        </is>
      </c>
      <c r="C1375" t="inlineStr">
        <is>
          <t>Föryngringsavverkning</t>
        </is>
      </c>
      <c r="D1375" s="1" t="n">
        <v>45727</v>
      </c>
      <c r="E1375" s="1" t="n">
        <v>46313</v>
      </c>
      <c r="F1375" t="inlineStr">
        <is>
          <t>SÖDERMANLANDS LÄN</t>
        </is>
      </c>
      <c r="G1375" t="inlineStr">
        <is>
          <t>KATRINEHOLM</t>
        </is>
      </c>
      <c r="I1375" t="n">
        <v>3.6</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35228-2025</t>
        </is>
      </c>
      <c r="B1376" t="inlineStr">
        <is>
          <t>avverkningsanmälan</t>
        </is>
      </c>
      <c r="C1376" t="inlineStr">
        <is>
          <t>Föryngringsavverkning</t>
        </is>
      </c>
      <c r="D1376" s="1" t="n">
        <v>45853</v>
      </c>
      <c r="E1376" s="1" t="n">
        <v>46313</v>
      </c>
      <c r="F1376" t="inlineStr">
        <is>
          <t>SÖDERMANLANDS LÄN</t>
        </is>
      </c>
      <c r="G1376" t="inlineStr">
        <is>
          <t>KATRINEHOLM</t>
        </is>
      </c>
      <c r="I1376" t="n">
        <v>1.1</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67-2024</t>
        </is>
      </c>
      <c r="B1377" t="inlineStr">
        <is>
          <t>avverkningsanmälan</t>
        </is>
      </c>
      <c r="C1377" t="inlineStr">
        <is>
          <t>Föryngringsavverkning</t>
        </is>
      </c>
      <c r="D1377" s="1" t="n">
        <v>45293</v>
      </c>
      <c r="E1377" s="1" t="n">
        <v>46313</v>
      </c>
      <c r="F1377" t="inlineStr">
        <is>
          <t>SÖDERMANLANDS LÄN</t>
        </is>
      </c>
      <c r="G1377" t="inlineStr">
        <is>
          <t>GNESTA</t>
        </is>
      </c>
      <c r="I1377" t="n">
        <v>1.1</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46464-2024</t>
        </is>
      </c>
      <c r="B1378" t="inlineStr">
        <is>
          <t>avverkningsanmälan</t>
        </is>
      </c>
      <c r="C1378" t="inlineStr">
        <is>
          <t>Föryngringsavverkning</t>
        </is>
      </c>
      <c r="D1378" s="1" t="n">
        <v>45582</v>
      </c>
      <c r="E1378" s="1" t="n">
        <v>46313</v>
      </c>
      <c r="F1378" t="inlineStr">
        <is>
          <t>SÖDERMANLANDS LÄN</t>
        </is>
      </c>
      <c r="G1378" t="inlineStr">
        <is>
          <t>VINGÅKER</t>
        </is>
      </c>
      <c r="I1378" t="n">
        <v>1.5</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19920-2026</t>
        </is>
      </c>
      <c r="B1379" t="inlineStr">
        <is>
          <t>avverkningsanmälan</t>
        </is>
      </c>
      <c r="C1379" t="inlineStr">
        <is>
          <t>Föryngringsavverkning</t>
        </is>
      </c>
      <c r="D1379" s="1" t="n">
        <v>46136</v>
      </c>
      <c r="E1379" s="1" t="n">
        <v>46313</v>
      </c>
      <c r="F1379" t="inlineStr">
        <is>
          <t>SÖDERMANLANDS LÄN</t>
        </is>
      </c>
      <c r="G1379" t="inlineStr">
        <is>
          <t>VINGÅKER</t>
        </is>
      </c>
      <c r="I1379" t="n">
        <v>2.1</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30627-2024</t>
        </is>
      </c>
      <c r="B1380" t="inlineStr">
        <is>
          <t>avverkningsanmälan</t>
        </is>
      </c>
      <c r="C1380" t="inlineStr">
        <is>
          <t>Föryngringsavverkning</t>
        </is>
      </c>
      <c r="D1380" s="1" t="n">
        <v>45495</v>
      </c>
      <c r="E1380" s="1" t="n">
        <v>46313</v>
      </c>
      <c r="F1380" t="inlineStr">
        <is>
          <t>SÖDERMANLANDS LÄN</t>
        </is>
      </c>
      <c r="G1380" t="inlineStr">
        <is>
          <t>GNESTA</t>
        </is>
      </c>
      <c r="I1380" t="n">
        <v>0.9</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56268-2022</t>
        </is>
      </c>
      <c r="B1381" t="inlineStr">
        <is>
          <t>avverkningsanmälan</t>
        </is>
      </c>
      <c r="C1381" t="inlineStr">
        <is>
          <t>Föryngringsavverkning</t>
        </is>
      </c>
      <c r="D1381" s="1" t="n">
        <v>44890</v>
      </c>
      <c r="E1381" s="1" t="n">
        <v>46313</v>
      </c>
      <c r="F1381" t="inlineStr">
        <is>
          <t>SÖDERMANLANDS LÄN</t>
        </is>
      </c>
      <c r="G1381" t="inlineStr">
        <is>
          <t>NYKÖPING</t>
        </is>
      </c>
      <c r="H1381" t="inlineStr">
        <is>
          <t>Övriga Aktiebolag</t>
        </is>
      </c>
      <c r="I1381" t="n">
        <v>0.5</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38883-2024</t>
        </is>
      </c>
      <c r="B1382" t="inlineStr">
        <is>
          <t>avverkningsanmälan</t>
        </is>
      </c>
      <c r="C1382" t="inlineStr">
        <is>
          <t>Föryngringsavverkning</t>
        </is>
      </c>
      <c r="D1382" s="1" t="n">
        <v>45547</v>
      </c>
      <c r="E1382" s="1" t="n">
        <v>46313</v>
      </c>
      <c r="F1382" t="inlineStr">
        <is>
          <t>SÖDERMANLANDS LÄN</t>
        </is>
      </c>
      <c r="G1382" t="inlineStr">
        <is>
          <t>KATRINEHOLM</t>
        </is>
      </c>
      <c r="I1382" t="n">
        <v>3.1</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6796-2022</t>
        </is>
      </c>
      <c r="B1383" t="inlineStr">
        <is>
          <t>avverkningsanmälan</t>
        </is>
      </c>
      <c r="C1383" t="inlineStr">
        <is>
          <t>Föryngringsavverkning</t>
        </is>
      </c>
      <c r="D1383" s="1" t="n">
        <v>44602</v>
      </c>
      <c r="E1383" s="1" t="n">
        <v>46313</v>
      </c>
      <c r="F1383" t="inlineStr">
        <is>
          <t>SÖDERMANLANDS LÄN</t>
        </is>
      </c>
      <c r="G1383" t="inlineStr">
        <is>
          <t>KATRINEHOLM</t>
        </is>
      </c>
      <c r="I1383" t="n">
        <v>1.2</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27341-2022</t>
        </is>
      </c>
      <c r="B1384" t="inlineStr">
        <is>
          <t>avverkningsanmälan</t>
        </is>
      </c>
      <c r="C1384" t="inlineStr">
        <is>
          <t>Föryngringsavverkning</t>
        </is>
      </c>
      <c r="D1384" s="1" t="n">
        <v>44742</v>
      </c>
      <c r="E1384" s="1" t="n">
        <v>46313</v>
      </c>
      <c r="F1384" t="inlineStr">
        <is>
          <t>SÖDERMANLANDS LÄN</t>
        </is>
      </c>
      <c r="G1384" t="inlineStr">
        <is>
          <t>VINGÅKER</t>
        </is>
      </c>
      <c r="I1384" t="n">
        <v>2.5</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20221-2026</t>
        </is>
      </c>
      <c r="B1385" t="inlineStr">
        <is>
          <t>avverkningsanmälan</t>
        </is>
      </c>
      <c r="C1385" t="inlineStr">
        <is>
          <t>Föryngringsavverkning</t>
        </is>
      </c>
      <c r="D1385" s="1" t="n">
        <v>46139</v>
      </c>
      <c r="E1385" s="1" t="n">
        <v>46313</v>
      </c>
      <c r="F1385" t="inlineStr">
        <is>
          <t>SÖDERMANLANDS LÄN</t>
        </is>
      </c>
      <c r="G1385" t="inlineStr">
        <is>
          <t>KATRINEHOLM</t>
        </is>
      </c>
      <c r="I1385" t="n">
        <v>4.2</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58654-2025</t>
        </is>
      </c>
      <c r="B1386" t="inlineStr">
        <is>
          <t>avverkningsanmälan</t>
        </is>
      </c>
      <c r="C1386" t="inlineStr">
        <is>
          <t>Föryngringsavverkning</t>
        </is>
      </c>
      <c r="D1386" s="1" t="n">
        <v>45986</v>
      </c>
      <c r="E1386" s="1" t="n">
        <v>46313</v>
      </c>
      <c r="F1386" t="inlineStr">
        <is>
          <t>SÖDERMANLANDS LÄN</t>
        </is>
      </c>
      <c r="G1386" t="inlineStr">
        <is>
          <t>NYKÖPING</t>
        </is>
      </c>
      <c r="I1386" t="n">
        <v>2.6</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42015-2022</t>
        </is>
      </c>
      <c r="B1387" t="inlineStr">
        <is>
          <t>avverkningsanmälan</t>
        </is>
      </c>
      <c r="C1387" t="inlineStr">
        <is>
          <t>Föryngringsavverkning</t>
        </is>
      </c>
      <c r="D1387" s="1" t="n">
        <v>44830</v>
      </c>
      <c r="E1387" s="1" t="n">
        <v>46313</v>
      </c>
      <c r="F1387" t="inlineStr">
        <is>
          <t>SÖDERMANLANDS LÄN</t>
        </is>
      </c>
      <c r="G1387" t="inlineStr">
        <is>
          <t>KATRINEHOLM</t>
        </is>
      </c>
      <c r="I1387" t="n">
        <v>3.8</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42020-2022</t>
        </is>
      </c>
      <c r="B1388" t="inlineStr">
        <is>
          <t>avverkningsanmälan</t>
        </is>
      </c>
      <c r="C1388" t="inlineStr">
        <is>
          <t>Föryngringsavverkning</t>
        </is>
      </c>
      <c r="D1388" s="1" t="n">
        <v>44830</v>
      </c>
      <c r="E1388" s="1" t="n">
        <v>46313</v>
      </c>
      <c r="F1388" t="inlineStr">
        <is>
          <t>SÖDERMANLANDS LÄN</t>
        </is>
      </c>
      <c r="G1388" t="inlineStr">
        <is>
          <t>KATRINEHOLM</t>
        </is>
      </c>
      <c r="I1388" t="n">
        <v>0.8</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8358-2024</t>
        </is>
      </c>
      <c r="B1389" t="inlineStr">
        <is>
          <t>avverkningsanmälan</t>
        </is>
      </c>
      <c r="C1389" t="inlineStr">
        <is>
          <t>Föryngringsavverkning</t>
        </is>
      </c>
      <c r="D1389" s="1" t="n">
        <v>45352</v>
      </c>
      <c r="E1389" s="1" t="n">
        <v>46313</v>
      </c>
      <c r="F1389" t="inlineStr">
        <is>
          <t>SÖDERMANLANDS LÄN</t>
        </is>
      </c>
      <c r="G1389" t="inlineStr">
        <is>
          <t>GNESTA</t>
        </is>
      </c>
      <c r="I1389" t="n">
        <v>1.3</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8394-2024</t>
        </is>
      </c>
      <c r="B1390" t="inlineStr">
        <is>
          <t>avverkningsanmälan</t>
        </is>
      </c>
      <c r="C1390" t="inlineStr">
        <is>
          <t>Föryngringsavverkning</t>
        </is>
      </c>
      <c r="D1390" s="1" t="n">
        <v>45352</v>
      </c>
      <c r="E1390" s="1" t="n">
        <v>46313</v>
      </c>
      <c r="F1390" t="inlineStr">
        <is>
          <t>SÖDERMANLANDS LÄN</t>
        </is>
      </c>
      <c r="G1390" t="inlineStr">
        <is>
          <t>KATRINEHOLM</t>
        </is>
      </c>
      <c r="I1390" t="n">
        <v>4</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43952-2022</t>
        </is>
      </c>
      <c r="B1391" t="inlineStr">
        <is>
          <t>avverkningsanmälan</t>
        </is>
      </c>
      <c r="C1391" t="inlineStr">
        <is>
          <t>Föryngringsavverkning</t>
        </is>
      </c>
      <c r="D1391" s="1" t="n">
        <v>44838</v>
      </c>
      <c r="E1391" s="1" t="n">
        <v>46313</v>
      </c>
      <c r="F1391" t="inlineStr">
        <is>
          <t>SÖDERMANLANDS LÄN</t>
        </is>
      </c>
      <c r="G1391" t="inlineStr">
        <is>
          <t>NYKÖPING</t>
        </is>
      </c>
      <c r="I1391" t="n">
        <v>2.4</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14239-2024</t>
        </is>
      </c>
      <c r="B1392" t="inlineStr">
        <is>
          <t>avverkningsanmälan</t>
        </is>
      </c>
      <c r="C1392" t="inlineStr">
        <is>
          <t>Föryngringsavverkning</t>
        </is>
      </c>
      <c r="D1392" s="1" t="n">
        <v>45393</v>
      </c>
      <c r="E1392" s="1" t="n">
        <v>46313</v>
      </c>
      <c r="F1392" t="inlineStr">
        <is>
          <t>SÖDERMANLANDS LÄN</t>
        </is>
      </c>
      <c r="G1392" t="inlineStr">
        <is>
          <t>KATRINEHOLM</t>
        </is>
      </c>
      <c r="I1392" t="n">
        <v>2.7</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14248-2024</t>
        </is>
      </c>
      <c r="B1393" t="inlineStr">
        <is>
          <t>avverkningsanmälan</t>
        </is>
      </c>
      <c r="C1393" t="inlineStr">
        <is>
          <t>Föryngringsavverkning</t>
        </is>
      </c>
      <c r="D1393" s="1" t="n">
        <v>45393</v>
      </c>
      <c r="E1393" s="1" t="n">
        <v>46313</v>
      </c>
      <c r="F1393" t="inlineStr">
        <is>
          <t>SÖDERMANLANDS LÄN</t>
        </is>
      </c>
      <c r="G1393" t="inlineStr">
        <is>
          <t>KATRINEHOLM</t>
        </is>
      </c>
      <c r="I1393" t="n">
        <v>1.4</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25716-2022</t>
        </is>
      </c>
      <c r="B1394" t="inlineStr">
        <is>
          <t>avverkningsanmälan</t>
        </is>
      </c>
      <c r="C1394" t="inlineStr">
        <is>
          <t>Föryngringsavverkning</t>
        </is>
      </c>
      <c r="D1394" s="1" t="n">
        <v>44733</v>
      </c>
      <c r="E1394" s="1" t="n">
        <v>46313</v>
      </c>
      <c r="F1394" t="inlineStr">
        <is>
          <t>SÖDERMANLANDS LÄN</t>
        </is>
      </c>
      <c r="G1394" t="inlineStr">
        <is>
          <t>KATRINEHOLM</t>
        </is>
      </c>
      <c r="I1394" t="n">
        <v>3.4</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23842-2023</t>
        </is>
      </c>
      <c r="B1395" t="inlineStr">
        <is>
          <t>avverkningsanmälan</t>
        </is>
      </c>
      <c r="C1395" t="inlineStr">
        <is>
          <t>Föryngringsavverkning</t>
        </is>
      </c>
      <c r="D1395" s="1" t="n">
        <v>45075</v>
      </c>
      <c r="E1395" s="1" t="n">
        <v>46313</v>
      </c>
      <c r="F1395" t="inlineStr">
        <is>
          <t>SÖDERMANLANDS LÄN</t>
        </is>
      </c>
      <c r="G1395" t="inlineStr">
        <is>
          <t>KATRINEHOLM</t>
        </is>
      </c>
      <c r="I1395" t="n">
        <v>1.8</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26910-2023</t>
        </is>
      </c>
      <c r="B1396" t="inlineStr">
        <is>
          <t>avverkningsanmälan</t>
        </is>
      </c>
      <c r="C1396" t="inlineStr">
        <is>
          <t>Föryngringsavverkning</t>
        </is>
      </c>
      <c r="D1396" s="1" t="n">
        <v>45093</v>
      </c>
      <c r="E1396" s="1" t="n">
        <v>46313</v>
      </c>
      <c r="F1396" t="inlineStr">
        <is>
          <t>SÖDERMANLANDS LÄN</t>
        </is>
      </c>
      <c r="G1396" t="inlineStr">
        <is>
          <t>ESKILSTUNA</t>
        </is>
      </c>
      <c r="I1396" t="n">
        <v>1.1</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44820-2022</t>
        </is>
      </c>
      <c r="B1397" t="inlineStr">
        <is>
          <t>avverkningsanmälan</t>
        </is>
      </c>
      <c r="C1397" t="inlineStr">
        <is>
          <t>Föryngringsavverkning</t>
        </is>
      </c>
      <c r="D1397" s="1" t="n">
        <v>44839</v>
      </c>
      <c r="E1397" s="1" t="n">
        <v>46313</v>
      </c>
      <c r="F1397" t="inlineStr">
        <is>
          <t>SÖDERMANLANDS LÄN</t>
        </is>
      </c>
      <c r="G1397" t="inlineStr">
        <is>
          <t>NYKÖPING</t>
        </is>
      </c>
      <c r="I1397" t="n">
        <v>4.2</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44908-2022</t>
        </is>
      </c>
      <c r="B1398" t="inlineStr">
        <is>
          <t>avverkningsanmälan</t>
        </is>
      </c>
      <c r="C1398" t="inlineStr">
        <is>
          <t>Föryngringsavverkning</t>
        </is>
      </c>
      <c r="D1398" s="1" t="n">
        <v>44840</v>
      </c>
      <c r="E1398" s="1" t="n">
        <v>46313</v>
      </c>
      <c r="F1398" t="inlineStr">
        <is>
          <t>SÖDERMANLANDS LÄN</t>
        </is>
      </c>
      <c r="G1398" t="inlineStr">
        <is>
          <t>NYKÖPING</t>
        </is>
      </c>
      <c r="I1398" t="n">
        <v>1.6</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9147-2024</t>
        </is>
      </c>
      <c r="B1399" t="inlineStr">
        <is>
          <t>avverkningsanmälan</t>
        </is>
      </c>
      <c r="C1399" t="inlineStr">
        <is>
          <t>Föryngringsavverkning</t>
        </is>
      </c>
      <c r="D1399" s="1" t="n">
        <v>45358</v>
      </c>
      <c r="E1399" s="1" t="n">
        <v>46313</v>
      </c>
      <c r="F1399" t="inlineStr">
        <is>
          <t>SÖDERMANLANDS LÄN</t>
        </is>
      </c>
      <c r="G1399" t="inlineStr">
        <is>
          <t>FLEN</t>
        </is>
      </c>
      <c r="I1399" t="n">
        <v>2.6</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21015-2023</t>
        </is>
      </c>
      <c r="B1400" t="inlineStr">
        <is>
          <t>avverkningsanmälan</t>
        </is>
      </c>
      <c r="C1400" t="inlineStr">
        <is>
          <t>Föryngringsavverkning</t>
        </is>
      </c>
      <c r="D1400" s="1" t="n">
        <v>45056</v>
      </c>
      <c r="E1400" s="1" t="n">
        <v>46313</v>
      </c>
      <c r="F1400" t="inlineStr">
        <is>
          <t>SÖDERMANLANDS LÄN</t>
        </is>
      </c>
      <c r="G1400" t="inlineStr">
        <is>
          <t>STRÄNGNÄS</t>
        </is>
      </c>
      <c r="I1400" t="n">
        <v>5.2</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21925-2022</t>
        </is>
      </c>
      <c r="B1401" t="inlineStr">
        <is>
          <t>avverkningsanmälan</t>
        </is>
      </c>
      <c r="C1401" t="inlineStr">
        <is>
          <t>Föryngringsavverkning</t>
        </is>
      </c>
      <c r="D1401" s="1" t="n">
        <v>44711</v>
      </c>
      <c r="E1401" s="1" t="n">
        <v>46313</v>
      </c>
      <c r="F1401" t="inlineStr">
        <is>
          <t>SÖDERMANLANDS LÄN</t>
        </is>
      </c>
      <c r="G1401" t="inlineStr">
        <is>
          <t>NYKÖPING</t>
        </is>
      </c>
      <c r="I1401" t="n">
        <v>5.7</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28644-2025</t>
        </is>
      </c>
      <c r="B1402" t="inlineStr">
        <is>
          <t>avverkningsanmälan</t>
        </is>
      </c>
      <c r="C1402" t="inlineStr">
        <is>
          <t>Föryngringsavverkning</t>
        </is>
      </c>
      <c r="D1402" s="1" t="n">
        <v>45819</v>
      </c>
      <c r="E1402" s="1" t="n">
        <v>46313</v>
      </c>
      <c r="F1402" t="inlineStr">
        <is>
          <t>SÖDERMANLANDS LÄN</t>
        </is>
      </c>
      <c r="G1402" t="inlineStr">
        <is>
          <t>NYKÖPING</t>
        </is>
      </c>
      <c r="H1402" t="inlineStr">
        <is>
          <t>Sveaskog</t>
        </is>
      </c>
      <c r="I1402" t="n">
        <v>1.7</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32213-2025</t>
        </is>
      </c>
      <c r="B1403" t="inlineStr">
        <is>
          <t>avverkningsanmälan</t>
        </is>
      </c>
      <c r="C1403" t="inlineStr">
        <is>
          <t>Föryngringsavverkning</t>
        </is>
      </c>
      <c r="D1403" s="1" t="n">
        <v>45835</v>
      </c>
      <c r="E1403" s="1" t="n">
        <v>46313</v>
      </c>
      <c r="F1403" t="inlineStr">
        <is>
          <t>SÖDERMANLANDS LÄN</t>
        </is>
      </c>
      <c r="G1403" t="inlineStr">
        <is>
          <t>TROSA</t>
        </is>
      </c>
      <c r="I1403" t="n">
        <v>3.5</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56229-2025</t>
        </is>
      </c>
      <c r="B1404" t="inlineStr">
        <is>
          <t>avverkningsanmälan</t>
        </is>
      </c>
      <c r="C1404" t="inlineStr">
        <is>
          <t>Föryngringsavverkning</t>
        </is>
      </c>
      <c r="D1404" s="1" t="n">
        <v>45974</v>
      </c>
      <c r="E1404" s="1" t="n">
        <v>46313</v>
      </c>
      <c r="F1404" t="inlineStr">
        <is>
          <t>SÖDERMANLANDS LÄN</t>
        </is>
      </c>
      <c r="G1404" t="inlineStr">
        <is>
          <t>FLEN</t>
        </is>
      </c>
      <c r="I1404" t="n">
        <v>1.7</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54216-2022</t>
        </is>
      </c>
      <c r="B1405" t="inlineStr">
        <is>
          <t>avverkningsanmälan</t>
        </is>
      </c>
      <c r="C1405" t="inlineStr">
        <is>
          <t>Föryngringsavverkning</t>
        </is>
      </c>
      <c r="D1405" s="1" t="n">
        <v>44881</v>
      </c>
      <c r="E1405" s="1" t="n">
        <v>46313</v>
      </c>
      <c r="F1405" t="inlineStr">
        <is>
          <t>SÖDERMANLANDS LÄN</t>
        </is>
      </c>
      <c r="G1405" t="inlineStr">
        <is>
          <t>ESKILSTUNA</t>
        </is>
      </c>
      <c r="I1405" t="n">
        <v>2</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6348-2023</t>
        </is>
      </c>
      <c r="B1406" t="inlineStr">
        <is>
          <t>avverkningsanmälan</t>
        </is>
      </c>
      <c r="C1406" t="inlineStr">
        <is>
          <t>Föryngringsavverkning</t>
        </is>
      </c>
      <c r="D1406" s="1" t="n">
        <v>44965</v>
      </c>
      <c r="E1406" s="1" t="n">
        <v>46313</v>
      </c>
      <c r="F1406" t="inlineStr">
        <is>
          <t>SÖDERMANLANDS LÄN</t>
        </is>
      </c>
      <c r="G1406" t="inlineStr">
        <is>
          <t>NYKÖPING</t>
        </is>
      </c>
      <c r="H1406" t="inlineStr">
        <is>
          <t>Kyrkan</t>
        </is>
      </c>
      <c r="I1406" t="n">
        <v>3.8</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29846-2025</t>
        </is>
      </c>
      <c r="B1407" t="inlineStr">
        <is>
          <t>avverkningsanmälan</t>
        </is>
      </c>
      <c r="C1407" t="inlineStr">
        <is>
          <t>Föryngringsavverkning</t>
        </is>
      </c>
      <c r="D1407" s="1" t="n">
        <v>45826</v>
      </c>
      <c r="E1407" s="1" t="n">
        <v>46313</v>
      </c>
      <c r="F1407" t="inlineStr">
        <is>
          <t>SÖDERMANLANDS LÄN</t>
        </is>
      </c>
      <c r="G1407" t="inlineStr">
        <is>
          <t>NYKÖPING</t>
        </is>
      </c>
      <c r="I1407" t="n">
        <v>2.2</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6394-2023</t>
        </is>
      </c>
      <c r="B1408" t="inlineStr">
        <is>
          <t>avverkningsanmälan</t>
        </is>
      </c>
      <c r="C1408" t="inlineStr">
        <is>
          <t>Föryngringsavverkning</t>
        </is>
      </c>
      <c r="D1408" s="1" t="n">
        <v>44965</v>
      </c>
      <c r="E1408" s="1" t="n">
        <v>46313</v>
      </c>
      <c r="F1408" t="inlineStr">
        <is>
          <t>SÖDERMANLANDS LÄN</t>
        </is>
      </c>
      <c r="G1408" t="inlineStr">
        <is>
          <t>GNESTA</t>
        </is>
      </c>
      <c r="I1408" t="n">
        <v>0.8</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10283-2024</t>
        </is>
      </c>
      <c r="B1409" t="inlineStr">
        <is>
          <t>avverkningsanmälan</t>
        </is>
      </c>
      <c r="C1409" t="inlineStr">
        <is>
          <t>Föryngringsavverkning</t>
        </is>
      </c>
      <c r="D1409" s="1" t="n">
        <v>45365</v>
      </c>
      <c r="E1409" s="1" t="n">
        <v>46313</v>
      </c>
      <c r="F1409" t="inlineStr">
        <is>
          <t>SÖDERMANLANDS LÄN</t>
        </is>
      </c>
      <c r="G1409" t="inlineStr">
        <is>
          <t>NYKÖPING</t>
        </is>
      </c>
      <c r="I1409" t="n">
        <v>6.7</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36308-2023</t>
        </is>
      </c>
      <c r="B1410" t="inlineStr">
        <is>
          <t>avverkningsanmälan</t>
        </is>
      </c>
      <c r="C1410" t="inlineStr">
        <is>
          <t>Föryngringsavverkning</t>
        </is>
      </c>
      <c r="D1410" s="1" t="n">
        <v>45152</v>
      </c>
      <c r="E1410" s="1" t="n">
        <v>46313</v>
      </c>
      <c r="F1410" t="inlineStr">
        <is>
          <t>SÖDERMANLANDS LÄN</t>
        </is>
      </c>
      <c r="G1410" t="inlineStr">
        <is>
          <t>GNESTA</t>
        </is>
      </c>
      <c r="I1410" t="n">
        <v>1.1</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28931-2024</t>
        </is>
      </c>
      <c r="B1411" t="inlineStr">
        <is>
          <t>avverkningsanmälan</t>
        </is>
      </c>
      <c r="C1411" t="inlineStr">
        <is>
          <t>Föryngringsavverkning</t>
        </is>
      </c>
      <c r="D1411" s="1" t="n">
        <v>45479</v>
      </c>
      <c r="E1411" s="1" t="n">
        <v>46313</v>
      </c>
      <c r="F1411" t="inlineStr">
        <is>
          <t>SÖDERMANLANDS LÄN</t>
        </is>
      </c>
      <c r="G1411" t="inlineStr">
        <is>
          <t>KATRINEHOLM</t>
        </is>
      </c>
      <c r="I1411" t="n">
        <v>7.4</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20179-2026</t>
        </is>
      </c>
      <c r="B1412" t="inlineStr">
        <is>
          <t>avverkningsanmälan</t>
        </is>
      </c>
      <c r="C1412" t="inlineStr">
        <is>
          <t>Föryngringsavverkning</t>
        </is>
      </c>
      <c r="D1412" s="1" t="n">
        <v>46139</v>
      </c>
      <c r="E1412" s="1" t="n">
        <v>46313</v>
      </c>
      <c r="F1412" t="inlineStr">
        <is>
          <t>SÖDERMANLANDS LÄN</t>
        </is>
      </c>
      <c r="G1412" t="inlineStr">
        <is>
          <t>NYKÖPING</t>
        </is>
      </c>
      <c r="I1412" t="n">
        <v>3.7</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10715-2022</t>
        </is>
      </c>
      <c r="B1413" t="inlineStr">
        <is>
          <t>avverkningsanmälan</t>
        </is>
      </c>
      <c r="C1413" t="inlineStr">
        <is>
          <t>Föryngringsavverkning</t>
        </is>
      </c>
      <c r="D1413" s="1" t="n">
        <v>44626</v>
      </c>
      <c r="E1413" s="1" t="n">
        <v>46313</v>
      </c>
      <c r="F1413" t="inlineStr">
        <is>
          <t>SÖDERMANLANDS LÄN</t>
        </is>
      </c>
      <c r="G1413" t="inlineStr">
        <is>
          <t>ESKILSTUNA</t>
        </is>
      </c>
      <c r="I1413" t="n">
        <v>3.7</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3002-2023</t>
        </is>
      </c>
      <c r="B1414" t="inlineStr">
        <is>
          <t>avverkningsanmälan</t>
        </is>
      </c>
      <c r="C1414" t="inlineStr">
        <is>
          <t>Föryngringsavverkning</t>
        </is>
      </c>
      <c r="D1414" s="1" t="n">
        <v>44945</v>
      </c>
      <c r="E1414" s="1" t="n">
        <v>46313</v>
      </c>
      <c r="F1414" t="inlineStr">
        <is>
          <t>SÖDERMANLANDS LÄN</t>
        </is>
      </c>
      <c r="G1414" t="inlineStr">
        <is>
          <t>GNESTA</t>
        </is>
      </c>
      <c r="H1414" t="inlineStr">
        <is>
          <t>Kommuner</t>
        </is>
      </c>
      <c r="I1414" t="n">
        <v>1.9</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31314-2025</t>
        </is>
      </c>
      <c r="B1415" t="inlineStr">
        <is>
          <t>avverkningsanmälan</t>
        </is>
      </c>
      <c r="C1415" t="inlineStr">
        <is>
          <t>Föryngringsavverkning</t>
        </is>
      </c>
      <c r="D1415" s="1" t="n">
        <v>45833</v>
      </c>
      <c r="E1415" s="1" t="n">
        <v>46313</v>
      </c>
      <c r="F1415" t="inlineStr">
        <is>
          <t>SÖDERMANLANDS LÄN</t>
        </is>
      </c>
      <c r="G1415" t="inlineStr">
        <is>
          <t>ESKILSTUNA</t>
        </is>
      </c>
      <c r="I1415" t="n">
        <v>1.4</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23835-2022</t>
        </is>
      </c>
      <c r="B1416" t="inlineStr">
        <is>
          <t>avverkningsanmälan</t>
        </is>
      </c>
      <c r="C1416" t="inlineStr">
        <is>
          <t>Föryngringsavverkning</t>
        </is>
      </c>
      <c r="D1416" s="1" t="n">
        <v>44722</v>
      </c>
      <c r="E1416" s="1" t="n">
        <v>46313</v>
      </c>
      <c r="F1416" t="inlineStr">
        <is>
          <t>SÖDERMANLANDS LÄN</t>
        </is>
      </c>
      <c r="G1416" t="inlineStr">
        <is>
          <t>FLEN</t>
        </is>
      </c>
      <c r="I1416" t="n">
        <v>0.9</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23859-2022</t>
        </is>
      </c>
      <c r="B1417" t="inlineStr">
        <is>
          <t>avverkningsanmälan</t>
        </is>
      </c>
      <c r="C1417" t="inlineStr">
        <is>
          <t>Föryngringsavverkning</t>
        </is>
      </c>
      <c r="D1417" s="1" t="n">
        <v>44722</v>
      </c>
      <c r="E1417" s="1" t="n">
        <v>46313</v>
      </c>
      <c r="F1417" t="inlineStr">
        <is>
          <t>SÖDERMANLANDS LÄN</t>
        </is>
      </c>
      <c r="G1417" t="inlineStr">
        <is>
          <t>FLEN</t>
        </is>
      </c>
      <c r="I1417" t="n">
        <v>7.1</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6976-2023</t>
        </is>
      </c>
      <c r="B1418" t="inlineStr">
        <is>
          <t>avverkningsanmälan</t>
        </is>
      </c>
      <c r="C1418" t="inlineStr">
        <is>
          <t>Avverkning för annat ändamål</t>
        </is>
      </c>
      <c r="D1418" s="1" t="n">
        <v>44967</v>
      </c>
      <c r="E1418" s="1" t="n">
        <v>46313</v>
      </c>
      <c r="F1418" t="inlineStr">
        <is>
          <t>SÖDERMANLANDS LÄN</t>
        </is>
      </c>
      <c r="G1418" t="inlineStr">
        <is>
          <t>NYKÖPING</t>
        </is>
      </c>
      <c r="I1418" t="n">
        <v>1.4</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35145-2025</t>
        </is>
      </c>
      <c r="B1419" t="inlineStr">
        <is>
          <t>avverkningsanmälan</t>
        </is>
      </c>
      <c r="C1419" t="inlineStr">
        <is>
          <t>Föryngringsavverkning</t>
        </is>
      </c>
      <c r="D1419" s="1" t="n">
        <v>45852</v>
      </c>
      <c r="E1419" s="1" t="n">
        <v>46313</v>
      </c>
      <c r="F1419" t="inlineStr">
        <is>
          <t>SÖDERMANLANDS LÄN</t>
        </is>
      </c>
      <c r="G1419" t="inlineStr">
        <is>
          <t>KATRINEHOLM</t>
        </is>
      </c>
      <c r="I1419" t="n">
        <v>3.1</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9703-2025</t>
        </is>
      </c>
      <c r="B1420" t="inlineStr">
        <is>
          <t>avverkningsanmälan</t>
        </is>
      </c>
      <c r="C1420" t="inlineStr">
        <is>
          <t>Föryngringsavverkning</t>
        </is>
      </c>
      <c r="D1420" s="1" t="n">
        <v>45715</v>
      </c>
      <c r="E1420" s="1" t="n">
        <v>46313</v>
      </c>
      <c r="F1420" t="inlineStr">
        <is>
          <t>SÖDERMANLANDS LÄN</t>
        </is>
      </c>
      <c r="G1420" t="inlineStr">
        <is>
          <t>ESKILSTUNA</t>
        </is>
      </c>
      <c r="I1420" t="n">
        <v>2.7</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59988-2022</t>
        </is>
      </c>
      <c r="B1421" t="inlineStr">
        <is>
          <t>avverkningsanmälan</t>
        </is>
      </c>
      <c r="C1421" t="inlineStr">
        <is>
          <t>Föryngringsavverkning</t>
        </is>
      </c>
      <c r="D1421" s="1" t="n">
        <v>44902</v>
      </c>
      <c r="E1421" s="1" t="n">
        <v>46313</v>
      </c>
      <c r="F1421" t="inlineStr">
        <is>
          <t>SÖDERMANLANDS LÄN</t>
        </is>
      </c>
      <c r="G1421" t="inlineStr">
        <is>
          <t>VINGÅKER</t>
        </is>
      </c>
      <c r="I1421" t="n">
        <v>2</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56984-2024</t>
        </is>
      </c>
      <c r="B1422" t="inlineStr">
        <is>
          <t>avverkningsanmälan</t>
        </is>
      </c>
      <c r="C1422" t="inlineStr">
        <is>
          <t>Föryngringsavverkning</t>
        </is>
      </c>
      <c r="D1422" s="1" t="n">
        <v>45628</v>
      </c>
      <c r="E1422" s="1" t="n">
        <v>46313</v>
      </c>
      <c r="F1422" t="inlineStr">
        <is>
          <t>SÖDERMANLANDS LÄN</t>
        </is>
      </c>
      <c r="G1422" t="inlineStr">
        <is>
          <t>STRÄNGNÄS</t>
        </is>
      </c>
      <c r="I1422" t="n">
        <v>7.6</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31166-2025</t>
        </is>
      </c>
      <c r="B1423" t="inlineStr">
        <is>
          <t>avverkningsanmälan</t>
        </is>
      </c>
      <c r="C1423" t="inlineStr">
        <is>
          <t>Föryngringsavverkning</t>
        </is>
      </c>
      <c r="D1423" s="1" t="n">
        <v>45832</v>
      </c>
      <c r="E1423" s="1" t="n">
        <v>46313</v>
      </c>
      <c r="F1423" t="inlineStr">
        <is>
          <t>SÖDERMANLANDS LÄN</t>
        </is>
      </c>
      <c r="G1423" t="inlineStr">
        <is>
          <t>TROSA</t>
        </is>
      </c>
      <c r="I1423" t="n">
        <v>3.1</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22113-2025</t>
        </is>
      </c>
      <c r="B1424" t="inlineStr">
        <is>
          <t>avverkningsanmälan</t>
        </is>
      </c>
      <c r="C1424" t="inlineStr">
        <is>
          <t>Avverkning för annat ändamål</t>
        </is>
      </c>
      <c r="D1424" s="1" t="n">
        <v>45785</v>
      </c>
      <c r="E1424" s="1" t="n">
        <v>46313</v>
      </c>
      <c r="F1424" t="inlineStr">
        <is>
          <t>SÖDERMANLANDS LÄN</t>
        </is>
      </c>
      <c r="G1424" t="inlineStr">
        <is>
          <t>KATRINEHOLM</t>
        </is>
      </c>
      <c r="I1424" t="n">
        <v>1.2</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35698-2022</t>
        </is>
      </c>
      <c r="B1425" t="inlineStr">
        <is>
          <t>avverkningsanmälan</t>
        </is>
      </c>
      <c r="C1425" t="inlineStr">
        <is>
          <t>Föryngringsavverkning</t>
        </is>
      </c>
      <c r="D1425" s="1" t="n">
        <v>44799</v>
      </c>
      <c r="E1425" s="1" t="n">
        <v>46313</v>
      </c>
      <c r="F1425" t="inlineStr">
        <is>
          <t>SÖDERMANLANDS LÄN</t>
        </is>
      </c>
      <c r="G1425" t="inlineStr">
        <is>
          <t>ESKILSTUNA</t>
        </is>
      </c>
      <c r="I1425" t="n">
        <v>9.199999999999999</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33103-2022</t>
        </is>
      </c>
      <c r="B1426" t="inlineStr">
        <is>
          <t>avverkningsanmälan</t>
        </is>
      </c>
      <c r="C1426" t="inlineStr">
        <is>
          <t>Föryngringsavverkning</t>
        </is>
      </c>
      <c r="D1426" s="1" t="n">
        <v>44785</v>
      </c>
      <c r="E1426" s="1" t="n">
        <v>46313</v>
      </c>
      <c r="F1426" t="inlineStr">
        <is>
          <t>SÖDERMANLANDS LÄN</t>
        </is>
      </c>
      <c r="G1426" t="inlineStr">
        <is>
          <t>FLEN</t>
        </is>
      </c>
      <c r="I1426" t="n">
        <v>1.8</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30386-2025</t>
        </is>
      </c>
      <c r="B1427" t="inlineStr">
        <is>
          <t>avverkningsanmälan</t>
        </is>
      </c>
      <c r="C1427" t="inlineStr">
        <is>
          <t>Föryngringsavverkning</t>
        </is>
      </c>
      <c r="D1427" s="1" t="n">
        <v>45827</v>
      </c>
      <c r="E1427" s="1" t="n">
        <v>46313</v>
      </c>
      <c r="F1427" t="inlineStr">
        <is>
          <t>SÖDERMANLANDS LÄN</t>
        </is>
      </c>
      <c r="G1427" t="inlineStr">
        <is>
          <t>KATRINEHOLM</t>
        </is>
      </c>
      <c r="I1427" t="n">
        <v>5.6</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50032-2022</t>
        </is>
      </c>
      <c r="B1428" t="inlineStr">
        <is>
          <t>avverkningsanmälan</t>
        </is>
      </c>
      <c r="C1428" t="inlineStr">
        <is>
          <t>Föryngringsavverkning</t>
        </is>
      </c>
      <c r="D1428" s="1" t="n">
        <v>44860</v>
      </c>
      <c r="E1428" s="1" t="n">
        <v>46313</v>
      </c>
      <c r="F1428" t="inlineStr">
        <is>
          <t>SÖDERMANLANDS LÄN</t>
        </is>
      </c>
      <c r="G1428" t="inlineStr">
        <is>
          <t>KATRINEHOLM</t>
        </is>
      </c>
      <c r="I1428" t="n">
        <v>7.5</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26904-2023</t>
        </is>
      </c>
      <c r="B1429" t="inlineStr">
        <is>
          <t>avverkningsanmälan</t>
        </is>
      </c>
      <c r="C1429" t="inlineStr">
        <is>
          <t>Föryngringsavverkning</t>
        </is>
      </c>
      <c r="D1429" s="1" t="n">
        <v>45093</v>
      </c>
      <c r="E1429" s="1" t="n">
        <v>46313</v>
      </c>
      <c r="F1429" t="inlineStr">
        <is>
          <t>SÖDERMANLANDS LÄN</t>
        </is>
      </c>
      <c r="G1429" t="inlineStr">
        <is>
          <t>ESKILSTUNA</t>
        </is>
      </c>
      <c r="I1429" t="n">
        <v>1.1</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58801-2025</t>
        </is>
      </c>
      <c r="B1430" t="inlineStr">
        <is>
          <t>avverkningsanmälan</t>
        </is>
      </c>
      <c r="C1430" t="inlineStr">
        <is>
          <t>Föryngringsavverkning</t>
        </is>
      </c>
      <c r="D1430" s="1" t="n">
        <v>45986</v>
      </c>
      <c r="E1430" s="1" t="n">
        <v>46313</v>
      </c>
      <c r="F1430" t="inlineStr">
        <is>
          <t>SÖDERMANLANDS LÄN</t>
        </is>
      </c>
      <c r="G1430" t="inlineStr">
        <is>
          <t>VINGÅKER</t>
        </is>
      </c>
      <c r="I1430" t="n">
        <v>1.2</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68401-2021</t>
        </is>
      </c>
      <c r="B1431" t="inlineStr">
        <is>
          <t>avverkningsanmälan</t>
        </is>
      </c>
      <c r="C1431" t="inlineStr">
        <is>
          <t>Föryngringsavverkning</t>
        </is>
      </c>
      <c r="D1431" s="1" t="n">
        <v>44529</v>
      </c>
      <c r="E1431" s="1" t="n">
        <v>46313</v>
      </c>
      <c r="F1431" t="inlineStr">
        <is>
          <t>SÖDERMANLANDS LÄN</t>
        </is>
      </c>
      <c r="G1431" t="inlineStr">
        <is>
          <t>NYKÖPING</t>
        </is>
      </c>
      <c r="H1431" t="inlineStr">
        <is>
          <t>Övriga Aktiebolag</t>
        </is>
      </c>
      <c r="I1431" t="n">
        <v>16</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1117-2022</t>
        </is>
      </c>
      <c r="B1432" t="inlineStr">
        <is>
          <t>avverkningsanmälan</t>
        </is>
      </c>
      <c r="C1432" t="inlineStr">
        <is>
          <t>Föryngringsavverkning</t>
        </is>
      </c>
      <c r="D1432" s="1" t="n">
        <v>44571</v>
      </c>
      <c r="E1432" s="1" t="n">
        <v>46313</v>
      </c>
      <c r="F1432" t="inlineStr">
        <is>
          <t>SÖDERMANLANDS LÄN</t>
        </is>
      </c>
      <c r="G1432" t="inlineStr">
        <is>
          <t>STRÄNGNÄS</t>
        </is>
      </c>
      <c r="I1432" t="n">
        <v>2.5</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50804-2023</t>
        </is>
      </c>
      <c r="B1433" t="inlineStr">
        <is>
          <t>avverkningsanmälan</t>
        </is>
      </c>
      <c r="C1433" t="inlineStr">
        <is>
          <t>Föryngringsavverkning</t>
        </is>
      </c>
      <c r="D1433" s="1" t="n">
        <v>45211</v>
      </c>
      <c r="E1433" s="1" t="n">
        <v>46313</v>
      </c>
      <c r="F1433" t="inlineStr">
        <is>
          <t>SÖDERMANLANDS LÄN</t>
        </is>
      </c>
      <c r="G1433" t="inlineStr">
        <is>
          <t>KATRINEHOLM</t>
        </is>
      </c>
      <c r="I1433" t="n">
        <v>4</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71391-2021</t>
        </is>
      </c>
      <c r="B1434" t="inlineStr">
        <is>
          <t>avverkningsanmälan</t>
        </is>
      </c>
      <c r="C1434" t="inlineStr">
        <is>
          <t>Föryngringsavverkning</t>
        </is>
      </c>
      <c r="D1434" s="1" t="n">
        <v>44540</v>
      </c>
      <c r="E1434" s="1" t="n">
        <v>46313</v>
      </c>
      <c r="F1434" t="inlineStr">
        <is>
          <t>SÖDERMANLANDS LÄN</t>
        </is>
      </c>
      <c r="G1434" t="inlineStr">
        <is>
          <t>STRÄNGNÄS</t>
        </is>
      </c>
      <c r="I1434" t="n">
        <v>2</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46608-2024</t>
        </is>
      </c>
      <c r="B1435" t="inlineStr">
        <is>
          <t>avverkningsanmälan</t>
        </is>
      </c>
      <c r="C1435" t="inlineStr">
        <is>
          <t>Avverkning för annat ändamål</t>
        </is>
      </c>
      <c r="D1435" s="1" t="n">
        <v>45582</v>
      </c>
      <c r="E1435" s="1" t="n">
        <v>46313</v>
      </c>
      <c r="F1435" t="inlineStr">
        <is>
          <t>SÖDERMANLANDS LÄN</t>
        </is>
      </c>
      <c r="G1435" t="inlineStr">
        <is>
          <t>ESKILSTUNA</t>
        </is>
      </c>
      <c r="I1435" t="n">
        <v>0.5</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58238-2022</t>
        </is>
      </c>
      <c r="B1436" t="inlineStr">
        <is>
          <t>avverkningsanmälan</t>
        </is>
      </c>
      <c r="C1436" t="inlineStr">
        <is>
          <t>Föryngringsavverkning</t>
        </is>
      </c>
      <c r="D1436" s="1" t="n">
        <v>44901</v>
      </c>
      <c r="E1436" s="1" t="n">
        <v>46313</v>
      </c>
      <c r="F1436" t="inlineStr">
        <is>
          <t>SÖDERMANLANDS LÄN</t>
        </is>
      </c>
      <c r="G1436" t="inlineStr">
        <is>
          <t>STRÄNGNÄS</t>
        </is>
      </c>
      <c r="I1436" t="n">
        <v>1.9</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29502-2023</t>
        </is>
      </c>
      <c r="B1437" t="inlineStr">
        <is>
          <t>avverkningsanmälan</t>
        </is>
      </c>
      <c r="C1437" t="inlineStr">
        <is>
          <t>Föryngringsavverkning</t>
        </is>
      </c>
      <c r="D1437" s="1" t="n">
        <v>45106</v>
      </c>
      <c r="E1437" s="1" t="n">
        <v>46313</v>
      </c>
      <c r="F1437" t="inlineStr">
        <is>
          <t>SÖDERMANLANDS LÄN</t>
        </is>
      </c>
      <c r="G1437" t="inlineStr">
        <is>
          <t>KATRINEHOLM</t>
        </is>
      </c>
      <c r="I1437" t="n">
        <v>2.3</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56074-2022</t>
        </is>
      </c>
      <c r="B1438" t="inlineStr">
        <is>
          <t>avverkningsanmälan</t>
        </is>
      </c>
      <c r="C1438" t="inlineStr">
        <is>
          <t>Föryngringsavverkning</t>
        </is>
      </c>
      <c r="D1438" s="1" t="n">
        <v>44889</v>
      </c>
      <c r="E1438" s="1" t="n">
        <v>46313</v>
      </c>
      <c r="F1438" t="inlineStr">
        <is>
          <t>SÖDERMANLANDS LÄN</t>
        </is>
      </c>
      <c r="G1438" t="inlineStr">
        <is>
          <t>KATRINEHOLM</t>
        </is>
      </c>
      <c r="I1438" t="n">
        <v>1</v>
      </c>
      <c r="J1438" t="n">
        <v>0</v>
      </c>
      <c r="K1438" t="n">
        <v>0</v>
      </c>
      <c r="L1438" t="n">
        <v>0</v>
      </c>
      <c r="M1438" t="n">
        <v>0</v>
      </c>
      <c r="N1438" t="n">
        <v>0</v>
      </c>
      <c r="O1438" t="n">
        <v>0</v>
      </c>
      <c r="P1438" t="n">
        <v>0</v>
      </c>
      <c r="Q1438" t="n">
        <v>0</v>
      </c>
      <c r="R1438" t="n">
        <v>0</v>
      </c>
      <c r="S1438" t="n">
        <v>0</v>
      </c>
      <c r="T1438" t="n">
        <v>0</v>
      </c>
      <c r="U1438" t="n">
        <v>0</v>
      </c>
      <c r="V1438" s="2" t="inlineStr"/>
      <c r="X1438">
        <f>HYPERLINK("https://klasma.github.io/Logging_0483/kartor/A 56074-2022 karta.png", "A 56074-2022")</f>
        <v/>
      </c>
      <c r="Y1438">
        <f>HYPERLINK("https://klasma.github.io/Logging_0483/kartor_geotiff/A 56074-2022 georefererad karta.tif", "A 56074-2022")</f>
        <v/>
      </c>
      <c r="AA1438">
        <f>HYPERLINK("https://klasma.github.io/Logging_0483/klagomål/A 56074-2022 FSC-klagomål.docx", "A 56074-2022")</f>
        <v/>
      </c>
      <c r="AB1438">
        <f>HYPERLINK("https://klasma.github.io/Logging_0483/klagomålsmail/A 56074-2022 FSC-klagomål mail.docx", "A 56074-2022")</f>
        <v/>
      </c>
      <c r="AC1438">
        <f>HYPERLINK("https://klasma.github.io/Logging_0483/tillsyn/A 56074-2022 tillsynsbegäran.docx", "A 56074-2022")</f>
        <v/>
      </c>
      <c r="AD1438">
        <f>HYPERLINK("https://klasma.github.io/Logging_0483/tillsynsmail/A 56074-2022 tillsynsbegäran mail.docx", "A 56074-2022")</f>
        <v/>
      </c>
    </row>
    <row r="1439" ht="15" customHeight="1">
      <c r="A1439" t="inlineStr">
        <is>
          <t>A 20243-2026</t>
        </is>
      </c>
      <c r="B1439" t="inlineStr">
        <is>
          <t>avverkningsanmälan</t>
        </is>
      </c>
      <c r="C1439" t="inlineStr">
        <is>
          <t>Föryngringsavverkning</t>
        </is>
      </c>
      <c r="D1439" s="1" t="n">
        <v>46136</v>
      </c>
      <c r="E1439" s="1" t="n">
        <v>46313</v>
      </c>
      <c r="F1439" t="inlineStr">
        <is>
          <t>SÖDERMANLANDS LÄN</t>
        </is>
      </c>
      <c r="G1439" t="inlineStr">
        <is>
          <t>VINGÅKER</t>
        </is>
      </c>
      <c r="I1439" t="n">
        <v>2.6</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59276-2021</t>
        </is>
      </c>
      <c r="B1440" t="inlineStr">
        <is>
          <t>avverkningsanmälan</t>
        </is>
      </c>
      <c r="C1440" t="inlineStr">
        <is>
          <t>Föryngringsavverkning</t>
        </is>
      </c>
      <c r="D1440" s="1" t="n">
        <v>44490</v>
      </c>
      <c r="E1440" s="1" t="n">
        <v>46313</v>
      </c>
      <c r="F1440" t="inlineStr">
        <is>
          <t>SÖDERMANLANDS LÄN</t>
        </is>
      </c>
      <c r="G1440" t="inlineStr">
        <is>
          <t>ESKILSTUNA</t>
        </is>
      </c>
      <c r="I1440" t="n">
        <v>5.7</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11690-2023</t>
        </is>
      </c>
      <c r="B1441" t="inlineStr">
        <is>
          <t>avverkningsanmälan</t>
        </is>
      </c>
      <c r="C1441" t="inlineStr">
        <is>
          <t>Föryngringsavverkning</t>
        </is>
      </c>
      <c r="D1441" s="1" t="n">
        <v>44992</v>
      </c>
      <c r="E1441" s="1" t="n">
        <v>46313</v>
      </c>
      <c r="F1441" t="inlineStr">
        <is>
          <t>SÖDERMANLANDS LÄN</t>
        </is>
      </c>
      <c r="G1441" t="inlineStr">
        <is>
          <t>STRÄNGNÄS</t>
        </is>
      </c>
      <c r="I1441" t="n">
        <v>3.8</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9431-2022</t>
        </is>
      </c>
      <c r="B1442" t="inlineStr">
        <is>
          <t>avverkningsanmälan</t>
        </is>
      </c>
      <c r="C1442" t="inlineStr">
        <is>
          <t>Föryngringsavverkning</t>
        </is>
      </c>
      <c r="D1442" s="1" t="n">
        <v>44616</v>
      </c>
      <c r="E1442" s="1" t="n">
        <v>46313</v>
      </c>
      <c r="F1442" t="inlineStr">
        <is>
          <t>SÖDERMANLANDS LÄN</t>
        </is>
      </c>
      <c r="G1442" t="inlineStr">
        <is>
          <t>FLEN</t>
        </is>
      </c>
      <c r="I1442" t="n">
        <v>1.3</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9455-2022</t>
        </is>
      </c>
      <c r="B1443" t="inlineStr">
        <is>
          <t>avverkningsanmälan</t>
        </is>
      </c>
      <c r="C1443" t="inlineStr">
        <is>
          <t>Föryngringsavverkning</t>
        </is>
      </c>
      <c r="D1443" s="1" t="n">
        <v>44616</v>
      </c>
      <c r="E1443" s="1" t="n">
        <v>46313</v>
      </c>
      <c r="F1443" t="inlineStr">
        <is>
          <t>SÖDERMANLANDS LÄN</t>
        </is>
      </c>
      <c r="G1443" t="inlineStr">
        <is>
          <t>ESKILSTUNA</t>
        </is>
      </c>
      <c r="I1443" t="n">
        <v>1.5</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41165-2024</t>
        </is>
      </c>
      <c r="B1444" t="inlineStr">
        <is>
          <t>avverkningsanmälan</t>
        </is>
      </c>
      <c r="C1444" t="inlineStr">
        <is>
          <t>Föryngringsavverkning</t>
        </is>
      </c>
      <c r="D1444" s="1" t="n">
        <v>45559</v>
      </c>
      <c r="E1444" s="1" t="n">
        <v>46313</v>
      </c>
      <c r="F1444" t="inlineStr">
        <is>
          <t>SÖDERMANLANDS LÄN</t>
        </is>
      </c>
      <c r="G1444" t="inlineStr">
        <is>
          <t>NYKÖPING</t>
        </is>
      </c>
      <c r="I1444" t="n">
        <v>1.6</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28304-2024</t>
        </is>
      </c>
      <c r="B1445" t="inlineStr">
        <is>
          <t>avverkningsanmälan</t>
        </is>
      </c>
      <c r="C1445" t="inlineStr">
        <is>
          <t>Föryngringsavverkning</t>
        </is>
      </c>
      <c r="D1445" s="1" t="n">
        <v>45477</v>
      </c>
      <c r="E1445" s="1" t="n">
        <v>46313</v>
      </c>
      <c r="F1445" t="inlineStr">
        <is>
          <t>SÖDERMANLANDS LÄN</t>
        </is>
      </c>
      <c r="G1445" t="inlineStr">
        <is>
          <t>KATRINEHOLM</t>
        </is>
      </c>
      <c r="I1445" t="n">
        <v>3.8</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28664-2025</t>
        </is>
      </c>
      <c r="B1446" t="inlineStr">
        <is>
          <t>avverkningsanmälan</t>
        </is>
      </c>
      <c r="C1446" t="inlineStr">
        <is>
          <t>Föryngringsavverkning</t>
        </is>
      </c>
      <c r="D1446" s="1" t="n">
        <v>45819</v>
      </c>
      <c r="E1446" s="1" t="n">
        <v>46313</v>
      </c>
      <c r="F1446" t="inlineStr">
        <is>
          <t>SÖDERMANLANDS LÄN</t>
        </is>
      </c>
      <c r="G1446" t="inlineStr">
        <is>
          <t>NYKÖPING</t>
        </is>
      </c>
      <c r="H1446" t="inlineStr">
        <is>
          <t>Sveaskog</t>
        </is>
      </c>
      <c r="I1446" t="n">
        <v>2.9</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11281-2025</t>
        </is>
      </c>
      <c r="B1447" t="inlineStr">
        <is>
          <t>avverkningsanmälan</t>
        </is>
      </c>
      <c r="C1447" t="inlineStr">
        <is>
          <t>Föryngringsavverkning</t>
        </is>
      </c>
      <c r="D1447" s="1" t="n">
        <v>45726</v>
      </c>
      <c r="E1447" s="1" t="n">
        <v>46313</v>
      </c>
      <c r="F1447" t="inlineStr">
        <is>
          <t>SÖDERMANLANDS LÄN</t>
        </is>
      </c>
      <c r="G1447" t="inlineStr">
        <is>
          <t>STRÄNGNÄS</t>
        </is>
      </c>
      <c r="I1447" t="n">
        <v>0.5</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5348-2022</t>
        </is>
      </c>
      <c r="B1448" t="inlineStr">
        <is>
          <t>avverkningsanmälan</t>
        </is>
      </c>
      <c r="C1448" t="inlineStr">
        <is>
          <t>Föryngringsavverkning</t>
        </is>
      </c>
      <c r="D1448" s="1" t="n">
        <v>44594</v>
      </c>
      <c r="E1448" s="1" t="n">
        <v>46313</v>
      </c>
      <c r="F1448" t="inlineStr">
        <is>
          <t>SÖDERMANLANDS LÄN</t>
        </is>
      </c>
      <c r="G1448" t="inlineStr">
        <is>
          <t>VINGÅKER</t>
        </is>
      </c>
      <c r="I1448" t="n">
        <v>3.5</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61367-2021</t>
        </is>
      </c>
      <c r="B1449" t="inlineStr">
        <is>
          <t>avverkningsanmälan</t>
        </is>
      </c>
      <c r="C1449" t="inlineStr">
        <is>
          <t>Föryngringsavverkning</t>
        </is>
      </c>
      <c r="D1449" s="1" t="n">
        <v>44499</v>
      </c>
      <c r="E1449" s="1" t="n">
        <v>46313</v>
      </c>
      <c r="F1449" t="inlineStr">
        <is>
          <t>SÖDERMANLANDS LÄN</t>
        </is>
      </c>
      <c r="G1449" t="inlineStr">
        <is>
          <t>ESKILSTUNA</t>
        </is>
      </c>
      <c r="I1449" t="n">
        <v>3.8</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56989-2024</t>
        </is>
      </c>
      <c r="B1450" t="inlineStr">
        <is>
          <t>avverkningsanmälan</t>
        </is>
      </c>
      <c r="C1450" t="inlineStr">
        <is>
          <t>Föryngringsavverkning</t>
        </is>
      </c>
      <c r="D1450" s="1" t="n">
        <v>45628</v>
      </c>
      <c r="E1450" s="1" t="n">
        <v>46313</v>
      </c>
      <c r="F1450" t="inlineStr">
        <is>
          <t>SÖDERMANLANDS LÄN</t>
        </is>
      </c>
      <c r="G1450" t="inlineStr">
        <is>
          <t>STRÄNGNÄS</t>
        </is>
      </c>
      <c r="I1450" t="n">
        <v>7.6</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8922-2024</t>
        </is>
      </c>
      <c r="B1451" t="inlineStr">
        <is>
          <t>avverkningsanmälan</t>
        </is>
      </c>
      <c r="C1451" t="inlineStr">
        <is>
          <t>Föryngringsavverkning</t>
        </is>
      </c>
      <c r="D1451" s="1" t="n">
        <v>45357</v>
      </c>
      <c r="E1451" s="1" t="n">
        <v>46313</v>
      </c>
      <c r="F1451" t="inlineStr">
        <is>
          <t>SÖDERMANLANDS LÄN</t>
        </is>
      </c>
      <c r="G1451" t="inlineStr">
        <is>
          <t>KATRINEHOLM</t>
        </is>
      </c>
      <c r="I1451" t="n">
        <v>2.2</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39460-2025</t>
        </is>
      </c>
      <c r="B1452" t="inlineStr">
        <is>
          <t>avverkningsanmälan</t>
        </is>
      </c>
      <c r="C1452" t="inlineStr">
        <is>
          <t>Föryngringsavverkning</t>
        </is>
      </c>
      <c r="D1452" s="1" t="n">
        <v>45889</v>
      </c>
      <c r="E1452" s="1" t="n">
        <v>46313</v>
      </c>
      <c r="F1452" t="inlineStr">
        <is>
          <t>SÖDERMANLANDS LÄN</t>
        </is>
      </c>
      <c r="G1452" t="inlineStr">
        <is>
          <t>ESKILSTUNA</t>
        </is>
      </c>
      <c r="H1452" t="inlineStr">
        <is>
          <t>Kyrkan</t>
        </is>
      </c>
      <c r="I1452" t="n">
        <v>1</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39461-2025</t>
        </is>
      </c>
      <c r="B1453" t="inlineStr">
        <is>
          <t>avverkningsanmälan</t>
        </is>
      </c>
      <c r="C1453" t="inlineStr">
        <is>
          <t>Föryngringsavverkning</t>
        </is>
      </c>
      <c r="D1453" s="1" t="n">
        <v>45889</v>
      </c>
      <c r="E1453" s="1" t="n">
        <v>46313</v>
      </c>
      <c r="F1453" t="inlineStr">
        <is>
          <t>SÖDERMANLANDS LÄN</t>
        </is>
      </c>
      <c r="G1453" t="inlineStr">
        <is>
          <t>ESKILSTUNA</t>
        </is>
      </c>
      <c r="H1453" t="inlineStr">
        <is>
          <t>Kyrkan</t>
        </is>
      </c>
      <c r="I1453" t="n">
        <v>0.9</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38894-2023</t>
        </is>
      </c>
      <c r="B1454" t="inlineStr">
        <is>
          <t>avverkningsanmälan</t>
        </is>
      </c>
      <c r="C1454" t="inlineStr">
        <is>
          <t>Föryngringsavverkning</t>
        </is>
      </c>
      <c r="D1454" s="1" t="n">
        <v>45163</v>
      </c>
      <c r="E1454" s="1" t="n">
        <v>46313</v>
      </c>
      <c r="F1454" t="inlineStr">
        <is>
          <t>SÖDERMANLANDS LÄN</t>
        </is>
      </c>
      <c r="G1454" t="inlineStr">
        <is>
          <t>GNESTA</t>
        </is>
      </c>
      <c r="I1454" t="n">
        <v>0.6</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39663-2025</t>
        </is>
      </c>
      <c r="B1455" t="inlineStr">
        <is>
          <t>avverkningsanmälan</t>
        </is>
      </c>
      <c r="C1455" t="inlineStr">
        <is>
          <t>Föryngringsavverkning</t>
        </is>
      </c>
      <c r="D1455" s="1" t="n">
        <v>45890</v>
      </c>
      <c r="E1455" s="1" t="n">
        <v>46313</v>
      </c>
      <c r="F1455" t="inlineStr">
        <is>
          <t>SÖDERMANLANDS LÄN</t>
        </is>
      </c>
      <c r="G1455" t="inlineStr">
        <is>
          <t>KATRINEHOLM</t>
        </is>
      </c>
      <c r="I1455" t="n">
        <v>0.5</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62981-2023</t>
        </is>
      </c>
      <c r="B1456" t="inlineStr">
        <is>
          <t>avverkningsanmälan</t>
        </is>
      </c>
      <c r="C1456" t="inlineStr">
        <is>
          <t>Föryngringsavverkning</t>
        </is>
      </c>
      <c r="D1456" s="1" t="n">
        <v>45272</v>
      </c>
      <c r="E1456" s="1" t="n">
        <v>46313</v>
      </c>
      <c r="F1456" t="inlineStr">
        <is>
          <t>SÖDERMANLANDS LÄN</t>
        </is>
      </c>
      <c r="G1456" t="inlineStr">
        <is>
          <t>GNESTA</t>
        </is>
      </c>
      <c r="I1456" t="n">
        <v>0.9</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39645-2025</t>
        </is>
      </c>
      <c r="B1457" t="inlineStr">
        <is>
          <t>avverkningsanmälan</t>
        </is>
      </c>
      <c r="C1457" t="inlineStr">
        <is>
          <t>Föryngringsavverkning</t>
        </is>
      </c>
      <c r="D1457" s="1" t="n">
        <v>45890</v>
      </c>
      <c r="E1457" s="1" t="n">
        <v>46313</v>
      </c>
      <c r="F1457" t="inlineStr">
        <is>
          <t>SÖDERMANLANDS LÄN</t>
        </is>
      </c>
      <c r="G1457" t="inlineStr">
        <is>
          <t>KATRINEHOLM</t>
        </is>
      </c>
      <c r="I1457" t="n">
        <v>0.2</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39068-2025</t>
        </is>
      </c>
      <c r="B1458" t="inlineStr">
        <is>
          <t>avverkningsanmälan</t>
        </is>
      </c>
      <c r="C1458" t="inlineStr">
        <is>
          <t>Föryngringsavverkning</t>
        </is>
      </c>
      <c r="D1458" s="1" t="n">
        <v>45888</v>
      </c>
      <c r="E1458" s="1" t="n">
        <v>46313</v>
      </c>
      <c r="F1458" t="inlineStr">
        <is>
          <t>SÖDERMANLANDS LÄN</t>
        </is>
      </c>
      <c r="G1458" t="inlineStr">
        <is>
          <t>NYKÖPING</t>
        </is>
      </c>
      <c r="I1458" t="n">
        <v>15.2</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18827-2022</t>
        </is>
      </c>
      <c r="B1459" t="inlineStr">
        <is>
          <t>avverkningsanmälan</t>
        </is>
      </c>
      <c r="C1459" t="inlineStr">
        <is>
          <t>Föryngringsavverkning</t>
        </is>
      </c>
      <c r="D1459" s="1" t="n">
        <v>44690</v>
      </c>
      <c r="E1459" s="1" t="n">
        <v>46313</v>
      </c>
      <c r="F1459" t="inlineStr">
        <is>
          <t>SÖDERMANLANDS LÄN</t>
        </is>
      </c>
      <c r="G1459" t="inlineStr">
        <is>
          <t>NYKÖPING</t>
        </is>
      </c>
      <c r="I1459" t="n">
        <v>7.9</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50158-2022</t>
        </is>
      </c>
      <c r="B1460" t="inlineStr">
        <is>
          <t>avverkningsanmälan</t>
        </is>
      </c>
      <c r="C1460" t="inlineStr">
        <is>
          <t>Föryngringsavverkning</t>
        </is>
      </c>
      <c r="D1460" s="1" t="n">
        <v>44865</v>
      </c>
      <c r="E1460" s="1" t="n">
        <v>46313</v>
      </c>
      <c r="F1460" t="inlineStr">
        <is>
          <t>SÖDERMANLANDS LÄN</t>
        </is>
      </c>
      <c r="G1460" t="inlineStr">
        <is>
          <t>NYKÖPING</t>
        </is>
      </c>
      <c r="H1460" t="inlineStr">
        <is>
          <t>Holmen skog AB</t>
        </is>
      </c>
      <c r="I1460" t="n">
        <v>1.5</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192-2024</t>
        </is>
      </c>
      <c r="B1461" t="inlineStr">
        <is>
          <t>avverkningsanmälan</t>
        </is>
      </c>
      <c r="C1461" t="inlineStr">
        <is>
          <t>Föryngringsavverkning</t>
        </is>
      </c>
      <c r="D1461" s="1" t="n">
        <v>45294</v>
      </c>
      <c r="E1461" s="1" t="n">
        <v>46313</v>
      </c>
      <c r="F1461" t="inlineStr">
        <is>
          <t>SÖDERMANLANDS LÄN</t>
        </is>
      </c>
      <c r="G1461" t="inlineStr">
        <is>
          <t>VINGÅKER</t>
        </is>
      </c>
      <c r="I1461" t="n">
        <v>2</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42777-2023</t>
        </is>
      </c>
      <c r="B1462" t="inlineStr">
        <is>
          <t>avverkningsanmälan</t>
        </is>
      </c>
      <c r="C1462" t="inlineStr">
        <is>
          <t>Föryngringsavverkning</t>
        </is>
      </c>
      <c r="D1462" s="1" t="n">
        <v>45177</v>
      </c>
      <c r="E1462" s="1" t="n">
        <v>46313</v>
      </c>
      <c r="F1462" t="inlineStr">
        <is>
          <t>SÖDERMANLANDS LÄN</t>
        </is>
      </c>
      <c r="G1462" t="inlineStr">
        <is>
          <t>STRÄNGNÄS</t>
        </is>
      </c>
      <c r="H1462" t="inlineStr">
        <is>
          <t>Övriga statliga verk och myndigheter</t>
        </is>
      </c>
      <c r="I1462" t="n">
        <v>2.5</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45376-2022</t>
        </is>
      </c>
      <c r="B1463" t="inlineStr">
        <is>
          <t>avverkningsanmälan</t>
        </is>
      </c>
      <c r="C1463" t="inlineStr">
        <is>
          <t>Föryngringsavverkning</t>
        </is>
      </c>
      <c r="D1463" s="1" t="n">
        <v>44844</v>
      </c>
      <c r="E1463" s="1" t="n">
        <v>46313</v>
      </c>
      <c r="F1463" t="inlineStr">
        <is>
          <t>SÖDERMANLANDS LÄN</t>
        </is>
      </c>
      <c r="G1463" t="inlineStr">
        <is>
          <t>KATRINEHOLM</t>
        </is>
      </c>
      <c r="I1463" t="n">
        <v>4.7</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60578-2021</t>
        </is>
      </c>
      <c r="B1464" t="inlineStr">
        <is>
          <t>avverkningsanmälan</t>
        </is>
      </c>
      <c r="C1464" t="inlineStr">
        <is>
          <t>Föryngringsavverkning</t>
        </is>
      </c>
      <c r="D1464" s="1" t="n">
        <v>44496</v>
      </c>
      <c r="E1464" s="1" t="n">
        <v>46313</v>
      </c>
      <c r="F1464" t="inlineStr">
        <is>
          <t>SÖDERMANLANDS LÄN</t>
        </is>
      </c>
      <c r="G1464" t="inlineStr">
        <is>
          <t>VINGÅKER</t>
        </is>
      </c>
      <c r="I1464" t="n">
        <v>1.9</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7303-2025</t>
        </is>
      </c>
      <c r="B1465" t="inlineStr">
        <is>
          <t>avverkningsanmälan</t>
        </is>
      </c>
      <c r="C1465" t="inlineStr">
        <is>
          <t>Föryngringsavverkning</t>
        </is>
      </c>
      <c r="D1465" s="1" t="n">
        <v>45702</v>
      </c>
      <c r="E1465" s="1" t="n">
        <v>46313</v>
      </c>
      <c r="F1465" t="inlineStr">
        <is>
          <t>SÖDERMANLANDS LÄN</t>
        </is>
      </c>
      <c r="G1465" t="inlineStr">
        <is>
          <t>NYKÖPING</t>
        </is>
      </c>
      <c r="I1465" t="n">
        <v>2.5</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39964-2025</t>
        </is>
      </c>
      <c r="B1466" t="inlineStr">
        <is>
          <t>avverkningsanmälan</t>
        </is>
      </c>
      <c r="C1466" t="inlineStr">
        <is>
          <t>Föryngringsavverkning</t>
        </is>
      </c>
      <c r="D1466" s="1" t="n">
        <v>45892</v>
      </c>
      <c r="E1466" s="1" t="n">
        <v>46313</v>
      </c>
      <c r="F1466" t="inlineStr">
        <is>
          <t>SÖDERMANLANDS LÄN</t>
        </is>
      </c>
      <c r="G1466" t="inlineStr">
        <is>
          <t>GNESTA</t>
        </is>
      </c>
      <c r="I1466" t="n">
        <v>0.7</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39748-2022</t>
        </is>
      </c>
      <c r="B1467" t="inlineStr">
        <is>
          <t>avverkningsanmälan</t>
        </is>
      </c>
      <c r="C1467" t="inlineStr">
        <is>
          <t>Föryngringsavverkning</t>
        </is>
      </c>
      <c r="D1467" s="1" t="n">
        <v>44817</v>
      </c>
      <c r="E1467" s="1" t="n">
        <v>46313</v>
      </c>
      <c r="F1467" t="inlineStr">
        <is>
          <t>SÖDERMANLANDS LÄN</t>
        </is>
      </c>
      <c r="G1467" t="inlineStr">
        <is>
          <t>KATRINEHOLM</t>
        </is>
      </c>
      <c r="I1467" t="n">
        <v>10.2</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50484-2025</t>
        </is>
      </c>
      <c r="B1468" t="inlineStr">
        <is>
          <t>avverkningsanmälan</t>
        </is>
      </c>
      <c r="C1468" t="inlineStr">
        <is>
          <t>Avverkning för annat ändamål</t>
        </is>
      </c>
      <c r="D1468" s="1" t="n">
        <v>45945</v>
      </c>
      <c r="E1468" s="1" t="n">
        <v>46313</v>
      </c>
      <c r="F1468" t="inlineStr">
        <is>
          <t>SÖDERMANLANDS LÄN</t>
        </is>
      </c>
      <c r="G1468" t="inlineStr">
        <is>
          <t>ESKILSTUNA</t>
        </is>
      </c>
      <c r="I1468" t="n">
        <v>1.7</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33342-2023</t>
        </is>
      </c>
      <c r="B1469" t="inlineStr">
        <is>
          <t>avverkningsanmälan</t>
        </is>
      </c>
      <c r="C1469" t="inlineStr">
        <is>
          <t>Föryngringsavverkning</t>
        </is>
      </c>
      <c r="D1469" s="1" t="n">
        <v>45128</v>
      </c>
      <c r="E1469" s="1" t="n">
        <v>46313</v>
      </c>
      <c r="F1469" t="inlineStr">
        <is>
          <t>SÖDERMANLANDS LÄN</t>
        </is>
      </c>
      <c r="G1469" t="inlineStr">
        <is>
          <t>STRÄNGNÄS</t>
        </is>
      </c>
      <c r="I1469" t="n">
        <v>3.1</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40112-2025</t>
        </is>
      </c>
      <c r="B1470" t="inlineStr">
        <is>
          <t>avverkningsanmälan</t>
        </is>
      </c>
      <c r="C1470" t="inlineStr">
        <is>
          <t>Föryngringsavverkning</t>
        </is>
      </c>
      <c r="D1470" s="1" t="n">
        <v>45894</v>
      </c>
      <c r="E1470" s="1" t="n">
        <v>46313</v>
      </c>
      <c r="F1470" t="inlineStr">
        <is>
          <t>SÖDERMANLANDS LÄN</t>
        </is>
      </c>
      <c r="G1470" t="inlineStr">
        <is>
          <t>STRÄNGNÄS</t>
        </is>
      </c>
      <c r="I1470" t="n">
        <v>1.4</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22336-2025</t>
        </is>
      </c>
      <c r="B1471" t="inlineStr">
        <is>
          <t>avverkningsanmälan</t>
        </is>
      </c>
      <c r="C1471" t="inlineStr">
        <is>
          <t>Föryngringsavverkning</t>
        </is>
      </c>
      <c r="D1471" s="1" t="n">
        <v>45786</v>
      </c>
      <c r="E1471" s="1" t="n">
        <v>46313</v>
      </c>
      <c r="F1471" t="inlineStr">
        <is>
          <t>SÖDERMANLANDS LÄN</t>
        </is>
      </c>
      <c r="G1471" t="inlineStr">
        <is>
          <t>KATRINEHOLM</t>
        </is>
      </c>
      <c r="I1471" t="n">
        <v>1.4</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35361-2025</t>
        </is>
      </c>
      <c r="B1472" t="inlineStr">
        <is>
          <t>avverkningsanmälan</t>
        </is>
      </c>
      <c r="C1472" t="inlineStr">
        <is>
          <t>Föryngringsavverkning</t>
        </is>
      </c>
      <c r="D1472" s="1" t="n">
        <v>45854</v>
      </c>
      <c r="E1472" s="1" t="n">
        <v>46313</v>
      </c>
      <c r="F1472" t="inlineStr">
        <is>
          <t>SÖDERMANLANDS LÄN</t>
        </is>
      </c>
      <c r="G1472" t="inlineStr">
        <is>
          <t>NYKÖPING</t>
        </is>
      </c>
      <c r="I1472" t="n">
        <v>5.3</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5642-2023</t>
        </is>
      </c>
      <c r="B1473" t="inlineStr">
        <is>
          <t>avverkningsanmälan</t>
        </is>
      </c>
      <c r="C1473" t="inlineStr">
        <is>
          <t>Föryngringsavverkning</t>
        </is>
      </c>
      <c r="D1473" s="1" t="n">
        <v>44960</v>
      </c>
      <c r="E1473" s="1" t="n">
        <v>46313</v>
      </c>
      <c r="F1473" t="inlineStr">
        <is>
          <t>SÖDERMANLANDS LÄN</t>
        </is>
      </c>
      <c r="G1473" t="inlineStr">
        <is>
          <t>NYKÖPING</t>
        </is>
      </c>
      <c r="H1473" t="inlineStr">
        <is>
          <t>Holmen skog AB</t>
        </is>
      </c>
      <c r="I1473" t="n">
        <v>1.7</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8996-2023</t>
        </is>
      </c>
      <c r="B1474" t="inlineStr">
        <is>
          <t>avverkningsanmälan</t>
        </is>
      </c>
      <c r="C1474" t="inlineStr">
        <is>
          <t>Föryngringsavverkning</t>
        </is>
      </c>
      <c r="D1474" s="1" t="n">
        <v>44979</v>
      </c>
      <c r="E1474" s="1" t="n">
        <v>46313</v>
      </c>
      <c r="F1474" t="inlineStr">
        <is>
          <t>SÖDERMANLANDS LÄN</t>
        </is>
      </c>
      <c r="G1474" t="inlineStr">
        <is>
          <t>ESKILSTUNA</t>
        </is>
      </c>
      <c r="I1474" t="n">
        <v>4.1</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31002-2023</t>
        </is>
      </c>
      <c r="B1475" t="inlineStr">
        <is>
          <t>avverkningsanmälan</t>
        </is>
      </c>
      <c r="C1475" t="inlineStr">
        <is>
          <t>Föryngringsavverkning</t>
        </is>
      </c>
      <c r="D1475" s="1" t="n">
        <v>45103</v>
      </c>
      <c r="E1475" s="1" t="n">
        <v>46313</v>
      </c>
      <c r="F1475" t="inlineStr">
        <is>
          <t>SÖDERMANLANDS LÄN</t>
        </is>
      </c>
      <c r="G1475" t="inlineStr">
        <is>
          <t>ESKILSTUNA</t>
        </is>
      </c>
      <c r="I1475" t="n">
        <v>1.8</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9511-2022</t>
        </is>
      </c>
      <c r="B1476" t="inlineStr">
        <is>
          <t>avverkningsanmälan</t>
        </is>
      </c>
      <c r="C1476" t="inlineStr">
        <is>
          <t>Föryngringsavverkning</t>
        </is>
      </c>
      <c r="D1476" s="1" t="n">
        <v>44616</v>
      </c>
      <c r="E1476" s="1" t="n">
        <v>46313</v>
      </c>
      <c r="F1476" t="inlineStr">
        <is>
          <t>SÖDERMANLANDS LÄN</t>
        </is>
      </c>
      <c r="G1476" t="inlineStr">
        <is>
          <t>STRÄNGNÄS</t>
        </is>
      </c>
      <c r="I1476" t="n">
        <v>5.3</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41793-2025</t>
        </is>
      </c>
      <c r="B1477" t="inlineStr">
        <is>
          <t>avverkningsanmälan</t>
        </is>
      </c>
      <c r="C1477" t="inlineStr">
        <is>
          <t>Föryngringsavverkning</t>
        </is>
      </c>
      <c r="D1477" s="1" t="n">
        <v>45902</v>
      </c>
      <c r="E1477" s="1" t="n">
        <v>46313</v>
      </c>
      <c r="F1477" t="inlineStr">
        <is>
          <t>SÖDERMANLANDS LÄN</t>
        </is>
      </c>
      <c r="G1477" t="inlineStr">
        <is>
          <t>KATRINEHOLM</t>
        </is>
      </c>
      <c r="I1477" t="n">
        <v>1.1</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38161-2025</t>
        </is>
      </c>
      <c r="B1478" t="inlineStr">
        <is>
          <t>avverkningsanmälan</t>
        </is>
      </c>
      <c r="C1478" t="inlineStr">
        <is>
          <t>Föryngringsavverkning</t>
        </is>
      </c>
      <c r="D1478" s="1" t="n">
        <v>45882</v>
      </c>
      <c r="E1478" s="1" t="n">
        <v>46313</v>
      </c>
      <c r="F1478" t="inlineStr">
        <is>
          <t>SÖDERMANLANDS LÄN</t>
        </is>
      </c>
      <c r="G1478" t="inlineStr">
        <is>
          <t>GNESTA</t>
        </is>
      </c>
      <c r="I1478" t="n">
        <v>2.8</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56988-2024</t>
        </is>
      </c>
      <c r="B1479" t="inlineStr">
        <is>
          <t>avverkningsanmälan</t>
        </is>
      </c>
      <c r="C1479" t="inlineStr">
        <is>
          <t>Föryngringsavverkning</t>
        </is>
      </c>
      <c r="D1479" s="1" t="n">
        <v>45628</v>
      </c>
      <c r="E1479" s="1" t="n">
        <v>46313</v>
      </c>
      <c r="F1479" t="inlineStr">
        <is>
          <t>SÖDERMANLANDS LÄN</t>
        </is>
      </c>
      <c r="G1479" t="inlineStr">
        <is>
          <t>STRÄNGNÄS</t>
        </is>
      </c>
      <c r="I1479" t="n">
        <v>1.8</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20187-2026</t>
        </is>
      </c>
      <c r="B1480" t="inlineStr">
        <is>
          <t>avverkningsanmälan</t>
        </is>
      </c>
      <c r="C1480" t="inlineStr">
        <is>
          <t>Föryngringsavverkning</t>
        </is>
      </c>
      <c r="D1480" s="1" t="n">
        <v>46139</v>
      </c>
      <c r="E1480" s="1" t="n">
        <v>46313</v>
      </c>
      <c r="F1480" t="inlineStr">
        <is>
          <t>SÖDERMANLANDS LÄN</t>
        </is>
      </c>
      <c r="G1480" t="inlineStr">
        <is>
          <t>STRÄNGNÄS</t>
        </is>
      </c>
      <c r="H1480" t="inlineStr">
        <is>
          <t>Allmännings- och besparingsskogar</t>
        </is>
      </c>
      <c r="I1480" t="n">
        <v>4.2</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54383-2022</t>
        </is>
      </c>
      <c r="B1481" t="inlineStr">
        <is>
          <t>avverkningsanmälan</t>
        </is>
      </c>
      <c r="C1481" t="inlineStr">
        <is>
          <t>Föryngringsavverkning</t>
        </is>
      </c>
      <c r="D1481" s="1" t="n">
        <v>44882</v>
      </c>
      <c r="E1481" s="1" t="n">
        <v>46313</v>
      </c>
      <c r="F1481" t="inlineStr">
        <is>
          <t>SÖDERMANLANDS LÄN</t>
        </is>
      </c>
      <c r="G1481" t="inlineStr">
        <is>
          <t>STRÄNGNÄS</t>
        </is>
      </c>
      <c r="I1481" t="n">
        <v>1.3</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34218-2024</t>
        </is>
      </c>
      <c r="B1482" t="inlineStr">
        <is>
          <t>avverkningsanmälan</t>
        </is>
      </c>
      <c r="C1482" t="inlineStr">
        <is>
          <t>Avverkning för annat ändamål</t>
        </is>
      </c>
      <c r="D1482" s="1" t="n">
        <v>45524</v>
      </c>
      <c r="E1482" s="1" t="n">
        <v>46313</v>
      </c>
      <c r="F1482" t="inlineStr">
        <is>
          <t>SÖDERMANLANDS LÄN</t>
        </is>
      </c>
      <c r="G1482" t="inlineStr">
        <is>
          <t>NYKÖPING</t>
        </is>
      </c>
      <c r="I1482" t="n">
        <v>5.3</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1305-2023</t>
        </is>
      </c>
      <c r="B1483" t="inlineStr">
        <is>
          <t>avverkningsanmälan</t>
        </is>
      </c>
      <c r="C1483" t="inlineStr">
        <is>
          <t>Föryngringsavverkning</t>
        </is>
      </c>
      <c r="D1483" s="1" t="n">
        <v>44936</v>
      </c>
      <c r="E1483" s="1" t="n">
        <v>46313</v>
      </c>
      <c r="F1483" t="inlineStr">
        <is>
          <t>SÖDERMANLANDS LÄN</t>
        </is>
      </c>
      <c r="G1483" t="inlineStr">
        <is>
          <t>STRÄNGNÄS</t>
        </is>
      </c>
      <c r="I1483" t="n">
        <v>6</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20200-2026</t>
        </is>
      </c>
      <c r="B1484" t="inlineStr">
        <is>
          <t>avverkningsanmälan</t>
        </is>
      </c>
      <c r="C1484" t="inlineStr">
        <is>
          <t>Föryngringsavverkning</t>
        </is>
      </c>
      <c r="D1484" s="1" t="n">
        <v>46136</v>
      </c>
      <c r="E1484" s="1" t="n">
        <v>46313</v>
      </c>
      <c r="F1484" t="inlineStr">
        <is>
          <t>SÖDERMANLANDS LÄN</t>
        </is>
      </c>
      <c r="G1484" t="inlineStr">
        <is>
          <t>KATRINEHOLM</t>
        </is>
      </c>
      <c r="I1484" t="n">
        <v>1.8</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40605-2025</t>
        </is>
      </c>
      <c r="B1485" t="inlineStr">
        <is>
          <t>avverkningsanmälan</t>
        </is>
      </c>
      <c r="C1485" t="inlineStr">
        <is>
          <t>Föryngringsavverkning</t>
        </is>
      </c>
      <c r="D1485" s="1" t="n">
        <v>45896</v>
      </c>
      <c r="E1485" s="1" t="n">
        <v>46313</v>
      </c>
      <c r="F1485" t="inlineStr">
        <is>
          <t>SÖDERMANLANDS LÄN</t>
        </is>
      </c>
      <c r="G1485" t="inlineStr">
        <is>
          <t>STRÄNGNÄS</t>
        </is>
      </c>
      <c r="I1485" t="n">
        <v>3.1</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36162-2022</t>
        </is>
      </c>
      <c r="B1486" t="inlineStr">
        <is>
          <t>avverkningsanmälan</t>
        </is>
      </c>
      <c r="C1486" t="inlineStr">
        <is>
          <t>Föryngringsavverkning</t>
        </is>
      </c>
      <c r="D1486" s="1" t="n">
        <v>44803</v>
      </c>
      <c r="E1486" s="1" t="n">
        <v>46313</v>
      </c>
      <c r="F1486" t="inlineStr">
        <is>
          <t>SÖDERMANLANDS LÄN</t>
        </is>
      </c>
      <c r="G1486" t="inlineStr">
        <is>
          <t>GNESTA</t>
        </is>
      </c>
      <c r="I1486" t="n">
        <v>2</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39821-2024</t>
        </is>
      </c>
      <c r="B1487" t="inlineStr">
        <is>
          <t>avverkningsanmälan</t>
        </is>
      </c>
      <c r="C1487" t="inlineStr">
        <is>
          <t>Föryngringsavverkning</t>
        </is>
      </c>
      <c r="D1487" s="1" t="n">
        <v>45553</v>
      </c>
      <c r="E1487" s="1" t="n">
        <v>46313</v>
      </c>
      <c r="F1487" t="inlineStr">
        <is>
          <t>SÖDERMANLANDS LÄN</t>
        </is>
      </c>
      <c r="G1487" t="inlineStr">
        <is>
          <t>FLEN</t>
        </is>
      </c>
      <c r="I1487" t="n">
        <v>2</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28529-2023</t>
        </is>
      </c>
      <c r="B1488" t="inlineStr">
        <is>
          <t>avverkningsanmälan</t>
        </is>
      </c>
      <c r="C1488" t="inlineStr">
        <is>
          <t>Föryngringsavverkning</t>
        </is>
      </c>
      <c r="D1488" s="1" t="n">
        <v>45103</v>
      </c>
      <c r="E1488" s="1" t="n">
        <v>46313</v>
      </c>
      <c r="F1488" t="inlineStr">
        <is>
          <t>SÖDERMANLANDS LÄN</t>
        </is>
      </c>
      <c r="G1488" t="inlineStr">
        <is>
          <t>FLEN</t>
        </is>
      </c>
      <c r="I1488" t="n">
        <v>1.8</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35131-2024</t>
        </is>
      </c>
      <c r="B1489" t="inlineStr">
        <is>
          <t>avverkningsanmälan</t>
        </is>
      </c>
      <c r="C1489" t="inlineStr">
        <is>
          <t>Föryngringsavverkning</t>
        </is>
      </c>
      <c r="D1489" s="1" t="n">
        <v>45529</v>
      </c>
      <c r="E1489" s="1" t="n">
        <v>46313</v>
      </c>
      <c r="F1489" t="inlineStr">
        <is>
          <t>SÖDERMANLANDS LÄN</t>
        </is>
      </c>
      <c r="G1489" t="inlineStr">
        <is>
          <t>VINGÅKER</t>
        </is>
      </c>
      <c r="I1489" t="n">
        <v>6.3</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7807-2025</t>
        </is>
      </c>
      <c r="B1490" t="inlineStr">
        <is>
          <t>avverkningsanmälan</t>
        </is>
      </c>
      <c r="C1490" t="inlineStr">
        <is>
          <t>Föryngringsavverkning</t>
        </is>
      </c>
      <c r="D1490" s="1" t="n">
        <v>45706</v>
      </c>
      <c r="E1490" s="1" t="n">
        <v>46313</v>
      </c>
      <c r="F1490" t="inlineStr">
        <is>
          <t>SÖDERMANLANDS LÄN</t>
        </is>
      </c>
      <c r="G1490" t="inlineStr">
        <is>
          <t>NYKÖPING</t>
        </is>
      </c>
      <c r="H1490" t="inlineStr">
        <is>
          <t>Kyrkan</t>
        </is>
      </c>
      <c r="I1490" t="n">
        <v>1.6</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41597-2025</t>
        </is>
      </c>
      <c r="B1491" t="inlineStr">
        <is>
          <t>avverkningsanmälan</t>
        </is>
      </c>
      <c r="C1491" t="inlineStr">
        <is>
          <t>Föryngringsavverkning</t>
        </is>
      </c>
      <c r="D1491" s="1" t="n">
        <v>45901</v>
      </c>
      <c r="E1491" s="1" t="n">
        <v>46313</v>
      </c>
      <c r="F1491" t="inlineStr">
        <is>
          <t>SÖDERMANLANDS LÄN</t>
        </is>
      </c>
      <c r="G1491" t="inlineStr">
        <is>
          <t>ESKILSTUNA</t>
        </is>
      </c>
      <c r="I1491" t="n">
        <v>0.5</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40439-2025</t>
        </is>
      </c>
      <c r="B1492" t="inlineStr">
        <is>
          <t>avverkningsanmälan</t>
        </is>
      </c>
      <c r="C1492" t="inlineStr">
        <is>
          <t>Föryngringsavverkning</t>
        </is>
      </c>
      <c r="D1492" s="1" t="n">
        <v>45895</v>
      </c>
      <c r="E1492" s="1" t="n">
        <v>46313</v>
      </c>
      <c r="F1492" t="inlineStr">
        <is>
          <t>SÖDERMANLANDS LÄN</t>
        </is>
      </c>
      <c r="G1492" t="inlineStr">
        <is>
          <t>FLEN</t>
        </is>
      </c>
      <c r="I1492" t="n">
        <v>7.1</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36453-2025</t>
        </is>
      </c>
      <c r="B1493" t="inlineStr">
        <is>
          <t>avverkningsanmälan</t>
        </is>
      </c>
      <c r="C1493" t="inlineStr">
        <is>
          <t>Föryngringsavverkning</t>
        </is>
      </c>
      <c r="D1493" s="1" t="n">
        <v>45869</v>
      </c>
      <c r="E1493" s="1" t="n">
        <v>46313</v>
      </c>
      <c r="F1493" t="inlineStr">
        <is>
          <t>SÖDERMANLANDS LÄN</t>
        </is>
      </c>
      <c r="G1493" t="inlineStr">
        <is>
          <t>FLEN</t>
        </is>
      </c>
      <c r="I1493" t="n">
        <v>1.1</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47390-2025</t>
        </is>
      </c>
      <c r="B1494" t="inlineStr">
        <is>
          <t>avverkningsanmälan</t>
        </is>
      </c>
      <c r="C1494" t="inlineStr">
        <is>
          <t>Avverkning för annat ändamål</t>
        </is>
      </c>
      <c r="D1494" s="1" t="n">
        <v>45930</v>
      </c>
      <c r="E1494" s="1" t="n">
        <v>46313</v>
      </c>
      <c r="F1494" t="inlineStr">
        <is>
          <t>SÖDERMANLANDS LÄN</t>
        </is>
      </c>
      <c r="G1494" t="inlineStr">
        <is>
          <t>NYKÖPING</t>
        </is>
      </c>
      <c r="I1494" t="n">
        <v>1.3</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34981-2023</t>
        </is>
      </c>
      <c r="B1495" t="inlineStr">
        <is>
          <t>avverkningsanmälan</t>
        </is>
      </c>
      <c r="C1495" t="inlineStr">
        <is>
          <t>Föryngringsavverkning</t>
        </is>
      </c>
      <c r="D1495" s="1" t="n">
        <v>45142</v>
      </c>
      <c r="E1495" s="1" t="n">
        <v>46313</v>
      </c>
      <c r="F1495" t="inlineStr">
        <is>
          <t>SÖDERMANLANDS LÄN</t>
        </is>
      </c>
      <c r="G1495" t="inlineStr">
        <is>
          <t>KATRINEHOLM</t>
        </is>
      </c>
      <c r="I1495" t="n">
        <v>10</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41183-2025</t>
        </is>
      </c>
      <c r="B1496" t="inlineStr">
        <is>
          <t>avverkningsanmälan</t>
        </is>
      </c>
      <c r="C1496" t="inlineStr">
        <is>
          <t>Föryngringsavverkning</t>
        </is>
      </c>
      <c r="D1496" s="1" t="n">
        <v>45898</v>
      </c>
      <c r="E1496" s="1" t="n">
        <v>46313</v>
      </c>
      <c r="F1496" t="inlineStr">
        <is>
          <t>SÖDERMANLANDS LÄN</t>
        </is>
      </c>
      <c r="G1496" t="inlineStr">
        <is>
          <t>ESKILSTUNA</t>
        </is>
      </c>
      <c r="I1496" t="n">
        <v>4.7</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30333-2023</t>
        </is>
      </c>
      <c r="B1497" t="inlineStr">
        <is>
          <t>avverkningsanmälan</t>
        </is>
      </c>
      <c r="C1497" t="inlineStr">
        <is>
          <t>Avverkning för annat ändamål</t>
        </is>
      </c>
      <c r="D1497" s="1" t="n">
        <v>45111</v>
      </c>
      <c r="E1497" s="1" t="n">
        <v>46313</v>
      </c>
      <c r="F1497" t="inlineStr">
        <is>
          <t>SÖDERMANLANDS LÄN</t>
        </is>
      </c>
      <c r="G1497" t="inlineStr">
        <is>
          <t>KATRINEHOLM</t>
        </is>
      </c>
      <c r="I1497" t="n">
        <v>1.2</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37256-2022</t>
        </is>
      </c>
      <c r="B1498" t="inlineStr">
        <is>
          <t>avverkningsanmälan</t>
        </is>
      </c>
      <c r="C1498" t="inlineStr">
        <is>
          <t>Föryngringsavverkning</t>
        </is>
      </c>
      <c r="D1498" s="1" t="n">
        <v>44807</v>
      </c>
      <c r="E1498" s="1" t="n">
        <v>46313</v>
      </c>
      <c r="F1498" t="inlineStr">
        <is>
          <t>SÖDERMANLANDS LÄN</t>
        </is>
      </c>
      <c r="G1498" t="inlineStr">
        <is>
          <t>FLEN</t>
        </is>
      </c>
      <c r="I1498" t="n">
        <v>4.9</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20464-2026</t>
        </is>
      </c>
      <c r="B1499" t="inlineStr">
        <is>
          <t>avverkningsanmälan</t>
        </is>
      </c>
      <c r="C1499" t="inlineStr">
        <is>
          <t>Föryngringsavverkning</t>
        </is>
      </c>
      <c r="D1499" s="1" t="n">
        <v>46140</v>
      </c>
      <c r="E1499" s="1" t="n">
        <v>46313</v>
      </c>
      <c r="F1499" t="inlineStr">
        <is>
          <t>SÖDERMANLANDS LÄN</t>
        </is>
      </c>
      <c r="G1499" t="inlineStr">
        <is>
          <t>KATRINEHOLM</t>
        </is>
      </c>
      <c r="I1499" t="n">
        <v>9.1</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20529-2026</t>
        </is>
      </c>
      <c r="B1500" t="inlineStr">
        <is>
          <t>avverkningsanmälan</t>
        </is>
      </c>
      <c r="C1500" t="inlineStr">
        <is>
          <t>Föryngringsavverkning</t>
        </is>
      </c>
      <c r="D1500" s="1" t="n">
        <v>46140</v>
      </c>
      <c r="E1500" s="1" t="n">
        <v>46313</v>
      </c>
      <c r="F1500" t="inlineStr">
        <is>
          <t>SÖDERMANLANDS LÄN</t>
        </is>
      </c>
      <c r="G1500" t="inlineStr">
        <is>
          <t>ESKILSTUNA</t>
        </is>
      </c>
      <c r="I1500" t="n">
        <v>2.2</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47370-2022</t>
        </is>
      </c>
      <c r="B1501" t="inlineStr">
        <is>
          <t>avverkningsanmälan</t>
        </is>
      </c>
      <c r="C1501" t="inlineStr">
        <is>
          <t>Föryngringsavverkning</t>
        </is>
      </c>
      <c r="D1501" s="1" t="n">
        <v>44853</v>
      </c>
      <c r="E1501" s="1" t="n">
        <v>46313</v>
      </c>
      <c r="F1501" t="inlineStr">
        <is>
          <t>SÖDERMANLANDS LÄN</t>
        </is>
      </c>
      <c r="G1501" t="inlineStr">
        <is>
          <t>NYKÖPING</t>
        </is>
      </c>
      <c r="I1501" t="n">
        <v>3.2</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36565-2022</t>
        </is>
      </c>
      <c r="B1502" t="inlineStr">
        <is>
          <t>avverkningsanmälan</t>
        </is>
      </c>
      <c r="C1502" t="inlineStr">
        <is>
          <t>Föryngringsavverkning</t>
        </is>
      </c>
      <c r="D1502" s="1" t="n">
        <v>44804</v>
      </c>
      <c r="E1502" s="1" t="n">
        <v>46313</v>
      </c>
      <c r="F1502" t="inlineStr">
        <is>
          <t>SÖDERMANLANDS LÄN</t>
        </is>
      </c>
      <c r="G1502" t="inlineStr">
        <is>
          <t>ESKILSTUNA</t>
        </is>
      </c>
      <c r="I1502" t="n">
        <v>4.1</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20823-2022</t>
        </is>
      </c>
      <c r="B1503" t="inlineStr">
        <is>
          <t>avverkningsanmälan</t>
        </is>
      </c>
      <c r="C1503" t="inlineStr">
        <is>
          <t>Föryngringsavverkning</t>
        </is>
      </c>
      <c r="D1503" s="1" t="n">
        <v>44701</v>
      </c>
      <c r="E1503" s="1" t="n">
        <v>46313</v>
      </c>
      <c r="F1503" t="inlineStr">
        <is>
          <t>SÖDERMANLANDS LÄN</t>
        </is>
      </c>
      <c r="G1503" t="inlineStr">
        <is>
          <t>ESKILSTUNA</t>
        </is>
      </c>
      <c r="I1503" t="n">
        <v>5.3</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23216-2025</t>
        </is>
      </c>
      <c r="B1504" t="inlineStr">
        <is>
          <t>avverkningsanmälan</t>
        </is>
      </c>
      <c r="C1504" t="inlineStr">
        <is>
          <t>Föryngringsavverkning</t>
        </is>
      </c>
      <c r="D1504" s="1" t="n">
        <v>45791</v>
      </c>
      <c r="E1504" s="1" t="n">
        <v>46313</v>
      </c>
      <c r="F1504" t="inlineStr">
        <is>
          <t>SÖDERMANLANDS LÄN</t>
        </is>
      </c>
      <c r="G1504" t="inlineStr">
        <is>
          <t>FLEN</t>
        </is>
      </c>
      <c r="I1504" t="n">
        <v>2.5</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63764-2023</t>
        </is>
      </c>
      <c r="B1505" t="inlineStr">
        <is>
          <t>avverkningsanmälan</t>
        </is>
      </c>
      <c r="C1505" t="inlineStr">
        <is>
          <t>Föryngringsavverkning</t>
        </is>
      </c>
      <c r="D1505" s="1" t="n">
        <v>45278</v>
      </c>
      <c r="E1505" s="1" t="n">
        <v>46313</v>
      </c>
      <c r="F1505" t="inlineStr">
        <is>
          <t>SÖDERMANLANDS LÄN</t>
        </is>
      </c>
      <c r="G1505" t="inlineStr">
        <is>
          <t>VINGÅKER</t>
        </is>
      </c>
      <c r="I1505" t="n">
        <v>0.9</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7735-2023</t>
        </is>
      </c>
      <c r="B1506" t="inlineStr">
        <is>
          <t>avverkningsanmälan</t>
        </is>
      </c>
      <c r="C1506" t="inlineStr">
        <is>
          <t>Föryngringsavverkning</t>
        </is>
      </c>
      <c r="D1506" s="1" t="n">
        <v>44973</v>
      </c>
      <c r="E1506" s="1" t="n">
        <v>46313</v>
      </c>
      <c r="F1506" t="inlineStr">
        <is>
          <t>SÖDERMANLANDS LÄN</t>
        </is>
      </c>
      <c r="G1506" t="inlineStr">
        <is>
          <t>GNESTA</t>
        </is>
      </c>
      <c r="I1506" t="n">
        <v>1.9</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31740-2022</t>
        </is>
      </c>
      <c r="B1507" t="inlineStr">
        <is>
          <t>avverkningsanmälan</t>
        </is>
      </c>
      <c r="C1507" t="inlineStr">
        <is>
          <t>Föryngringsavverkning</t>
        </is>
      </c>
      <c r="D1507" s="1" t="n">
        <v>44776</v>
      </c>
      <c r="E1507" s="1" t="n">
        <v>46313</v>
      </c>
      <c r="F1507" t="inlineStr">
        <is>
          <t>SÖDERMANLANDS LÄN</t>
        </is>
      </c>
      <c r="G1507" t="inlineStr">
        <is>
          <t>KATRINEHOLM</t>
        </is>
      </c>
      <c r="I1507" t="n">
        <v>1.1</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4150-2025</t>
        </is>
      </c>
      <c r="B1508" t="inlineStr">
        <is>
          <t>avverkningsanmälan</t>
        </is>
      </c>
      <c r="C1508" t="inlineStr">
        <is>
          <t>Föryngringsavverkning</t>
        </is>
      </c>
      <c r="D1508" s="1" t="n">
        <v>45685</v>
      </c>
      <c r="E1508" s="1" t="n">
        <v>46313</v>
      </c>
      <c r="F1508" t="inlineStr">
        <is>
          <t>SÖDERMANLANDS LÄN</t>
        </is>
      </c>
      <c r="G1508" t="inlineStr">
        <is>
          <t>NYKÖPING</t>
        </is>
      </c>
      <c r="H1508" t="inlineStr">
        <is>
          <t>Holmen skog AB</t>
        </is>
      </c>
      <c r="I1508" t="n">
        <v>9.800000000000001</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53738-2022</t>
        </is>
      </c>
      <c r="B1509" t="inlineStr">
        <is>
          <t>avverkningsanmälan</t>
        </is>
      </c>
      <c r="C1509" t="inlineStr">
        <is>
          <t>Föryngringsavverkning</t>
        </is>
      </c>
      <c r="D1509" s="1" t="n">
        <v>44880</v>
      </c>
      <c r="E1509" s="1" t="n">
        <v>46313</v>
      </c>
      <c r="F1509" t="inlineStr">
        <is>
          <t>SÖDERMANLANDS LÄN</t>
        </is>
      </c>
      <c r="G1509" t="inlineStr">
        <is>
          <t>NYKÖPING</t>
        </is>
      </c>
      <c r="H1509" t="inlineStr">
        <is>
          <t>Övriga Aktiebolag</t>
        </is>
      </c>
      <c r="I1509" t="n">
        <v>1.3</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59891-2025</t>
        </is>
      </c>
      <c r="B1510" t="inlineStr">
        <is>
          <t>avverkningsanmälan</t>
        </is>
      </c>
      <c r="C1510" t="inlineStr">
        <is>
          <t>Föryngringsavverkning</t>
        </is>
      </c>
      <c r="D1510" s="1" t="n">
        <v>45993</v>
      </c>
      <c r="E1510" s="1" t="n">
        <v>46313</v>
      </c>
      <c r="F1510" t="inlineStr">
        <is>
          <t>SÖDERMANLANDS LÄN</t>
        </is>
      </c>
      <c r="G1510" t="inlineStr">
        <is>
          <t>FLEN</t>
        </is>
      </c>
      <c r="I1510" t="n">
        <v>3</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28431-2024</t>
        </is>
      </c>
      <c r="B1511" t="inlineStr">
        <is>
          <t>avverkningsanmälan</t>
        </is>
      </c>
      <c r="C1511" t="inlineStr">
        <is>
          <t>Föryngringsavverkning</t>
        </is>
      </c>
      <c r="D1511" s="1" t="n">
        <v>45477</v>
      </c>
      <c r="E1511" s="1" t="n">
        <v>46313</v>
      </c>
      <c r="F1511" t="inlineStr">
        <is>
          <t>SÖDERMANLANDS LÄN</t>
        </is>
      </c>
      <c r="G1511" t="inlineStr">
        <is>
          <t>KATRINEHOLM</t>
        </is>
      </c>
      <c r="I1511" t="n">
        <v>3.5</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39321-2023</t>
        </is>
      </c>
      <c r="B1512" t="inlineStr">
        <is>
          <t>avverkningsanmälan</t>
        </is>
      </c>
      <c r="C1512" t="inlineStr">
        <is>
          <t>Föryngringsavverkning</t>
        </is>
      </c>
      <c r="D1512" s="1" t="n">
        <v>45166</v>
      </c>
      <c r="E1512" s="1" t="n">
        <v>46313</v>
      </c>
      <c r="F1512" t="inlineStr">
        <is>
          <t>SÖDERMANLANDS LÄN</t>
        </is>
      </c>
      <c r="G1512" t="inlineStr">
        <is>
          <t>NYKÖPING</t>
        </is>
      </c>
      <c r="H1512" t="inlineStr">
        <is>
          <t>Holmen skog AB</t>
        </is>
      </c>
      <c r="I1512" t="n">
        <v>2.1</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7131-2026</t>
        </is>
      </c>
      <c r="B1513" t="inlineStr">
        <is>
          <t>avverkningsanmälan</t>
        </is>
      </c>
      <c r="C1513" t="inlineStr">
        <is>
          <t>Föryngringsavverkning</t>
        </is>
      </c>
      <c r="D1513" s="1" t="n">
        <v>46058</v>
      </c>
      <c r="E1513" s="1" t="n">
        <v>46313</v>
      </c>
      <c r="F1513" t="inlineStr">
        <is>
          <t>SÖDERMANLANDS LÄN</t>
        </is>
      </c>
      <c r="G1513" t="inlineStr">
        <is>
          <t>NYKÖPING</t>
        </is>
      </c>
      <c r="I1513" t="n">
        <v>1.5</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8710-2024</t>
        </is>
      </c>
      <c r="B1514" t="inlineStr">
        <is>
          <t>avverkningsanmälan</t>
        </is>
      </c>
      <c r="C1514" t="inlineStr">
        <is>
          <t>Föryngringsavverkning</t>
        </is>
      </c>
      <c r="D1514" s="1" t="n">
        <v>45356</v>
      </c>
      <c r="E1514" s="1" t="n">
        <v>46313</v>
      </c>
      <c r="F1514" t="inlineStr">
        <is>
          <t>SÖDERMANLANDS LÄN</t>
        </is>
      </c>
      <c r="G1514" t="inlineStr">
        <is>
          <t>NYKÖPING</t>
        </is>
      </c>
      <c r="I1514" t="n">
        <v>1</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49341-2024</t>
        </is>
      </c>
      <c r="B1515" t="inlineStr">
        <is>
          <t>avverkningsanmälan</t>
        </is>
      </c>
      <c r="C1515" t="inlineStr">
        <is>
          <t>Föryngringsavverkning</t>
        </is>
      </c>
      <c r="D1515" s="1" t="n">
        <v>45595</v>
      </c>
      <c r="E1515" s="1" t="n">
        <v>46313</v>
      </c>
      <c r="F1515" t="inlineStr">
        <is>
          <t>SÖDERMANLANDS LÄN</t>
        </is>
      </c>
      <c r="G1515" t="inlineStr">
        <is>
          <t>KATRINEHOLM</t>
        </is>
      </c>
      <c r="I1515" t="n">
        <v>10</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3125-2024</t>
        </is>
      </c>
      <c r="B1516" t="inlineStr">
        <is>
          <t>avverkningsanmälan</t>
        </is>
      </c>
      <c r="C1516" t="inlineStr">
        <is>
          <t>Föryngringsavverkning</t>
        </is>
      </c>
      <c r="D1516" s="1" t="n">
        <v>45316</v>
      </c>
      <c r="E1516" s="1" t="n">
        <v>46313</v>
      </c>
      <c r="F1516" t="inlineStr">
        <is>
          <t>SÖDERMANLANDS LÄN</t>
        </is>
      </c>
      <c r="G1516" t="inlineStr">
        <is>
          <t>KATRINEHOLM</t>
        </is>
      </c>
      <c r="I1516" t="n">
        <v>3.4</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8087-2022</t>
        </is>
      </c>
      <c r="B1517" t="inlineStr">
        <is>
          <t>avverkningsanmälan</t>
        </is>
      </c>
      <c r="C1517" t="inlineStr">
        <is>
          <t>Föryngringsavverkning</t>
        </is>
      </c>
      <c r="D1517" s="1" t="n">
        <v>44609</v>
      </c>
      <c r="E1517" s="1" t="n">
        <v>46313</v>
      </c>
      <c r="F1517" t="inlineStr">
        <is>
          <t>SÖDERMANLANDS LÄN</t>
        </is>
      </c>
      <c r="G1517" t="inlineStr">
        <is>
          <t>KATRINEHOLM</t>
        </is>
      </c>
      <c r="I1517" t="n">
        <v>0.6</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28973-2023</t>
        </is>
      </c>
      <c r="B1518" t="inlineStr">
        <is>
          <t>avverkningsanmälan</t>
        </is>
      </c>
      <c r="C1518" t="inlineStr">
        <is>
          <t>Föryngringsavverkning</t>
        </is>
      </c>
      <c r="D1518" s="1" t="n">
        <v>45096</v>
      </c>
      <c r="E1518" s="1" t="n">
        <v>46313</v>
      </c>
      <c r="F1518" t="inlineStr">
        <is>
          <t>SÖDERMANLANDS LÄN</t>
        </is>
      </c>
      <c r="G1518" t="inlineStr">
        <is>
          <t>NYKÖPING</t>
        </is>
      </c>
      <c r="I1518" t="n">
        <v>0.9</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70092-2021</t>
        </is>
      </c>
      <c r="B1519" t="inlineStr">
        <is>
          <t>avverkningsanmälan</t>
        </is>
      </c>
      <c r="C1519" t="inlineStr">
        <is>
          <t>Föryngringsavverkning</t>
        </is>
      </c>
      <c r="D1519" s="1" t="n">
        <v>44536</v>
      </c>
      <c r="E1519" s="1" t="n">
        <v>46313</v>
      </c>
      <c r="F1519" t="inlineStr">
        <is>
          <t>SÖDERMANLANDS LÄN</t>
        </is>
      </c>
      <c r="G1519" t="inlineStr">
        <is>
          <t>NYKÖPING</t>
        </is>
      </c>
      <c r="I1519" t="n">
        <v>2</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42455-2025</t>
        </is>
      </c>
      <c r="B1520" t="inlineStr">
        <is>
          <t>avverkningsanmälan</t>
        </is>
      </c>
      <c r="C1520" t="inlineStr">
        <is>
          <t>Föryngringsavverkning</t>
        </is>
      </c>
      <c r="D1520" s="1" t="n">
        <v>45905</v>
      </c>
      <c r="E1520" s="1" t="n">
        <v>46313</v>
      </c>
      <c r="F1520" t="inlineStr">
        <is>
          <t>SÖDERMANLANDS LÄN</t>
        </is>
      </c>
      <c r="G1520" t="inlineStr">
        <is>
          <t>VINGÅKER</t>
        </is>
      </c>
      <c r="I1520" t="n">
        <v>3</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42416-2025</t>
        </is>
      </c>
      <c r="B1521" t="inlineStr">
        <is>
          <t>avverkningsanmälan</t>
        </is>
      </c>
      <c r="C1521" t="inlineStr">
        <is>
          <t>Föryngringsavverkning</t>
        </is>
      </c>
      <c r="D1521" s="1" t="n">
        <v>45905</v>
      </c>
      <c r="E1521" s="1" t="n">
        <v>46313</v>
      </c>
      <c r="F1521" t="inlineStr">
        <is>
          <t>SÖDERMANLANDS LÄN</t>
        </is>
      </c>
      <c r="G1521" t="inlineStr">
        <is>
          <t>VINGÅKER</t>
        </is>
      </c>
      <c r="I1521" t="n">
        <v>2</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59276-2021</t>
        </is>
      </c>
      <c r="B1522" t="inlineStr">
        <is>
          <t>avverkningsanmälan</t>
        </is>
      </c>
      <c r="C1522" t="inlineStr">
        <is>
          <t>Föryngringsavverkning</t>
        </is>
      </c>
      <c r="D1522" s="1" t="n">
        <v>44490</v>
      </c>
      <c r="E1522" s="1" t="n">
        <v>46313</v>
      </c>
      <c r="F1522" t="inlineStr">
        <is>
          <t>SÖDERMANLANDS LÄN</t>
        </is>
      </c>
      <c r="G1522" t="inlineStr">
        <is>
          <t>ESKILSTUNA</t>
        </is>
      </c>
      <c r="I1522" t="n">
        <v>5.7</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27852-2023</t>
        </is>
      </c>
      <c r="B1523" t="inlineStr">
        <is>
          <t>avverkningsanmälan</t>
        </is>
      </c>
      <c r="C1523" t="inlineStr">
        <is>
          <t>Föryngringsavverkning</t>
        </is>
      </c>
      <c r="D1523" s="1" t="n">
        <v>45098</v>
      </c>
      <c r="E1523" s="1" t="n">
        <v>46313</v>
      </c>
      <c r="F1523" t="inlineStr">
        <is>
          <t>SÖDERMANLANDS LÄN</t>
        </is>
      </c>
      <c r="G1523" t="inlineStr">
        <is>
          <t>KATRINEHOLM</t>
        </is>
      </c>
      <c r="I1523" t="n">
        <v>7.4</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1143-2024</t>
        </is>
      </c>
      <c r="B1524" t="inlineStr">
        <is>
          <t>avverkningsanmälan</t>
        </is>
      </c>
      <c r="C1524" t="inlineStr">
        <is>
          <t>Föryngringsavverkning</t>
        </is>
      </c>
      <c r="D1524" s="1" t="n">
        <v>45302</v>
      </c>
      <c r="E1524" s="1" t="n">
        <v>46313</v>
      </c>
      <c r="F1524" t="inlineStr">
        <is>
          <t>SÖDERMANLANDS LÄN</t>
        </is>
      </c>
      <c r="G1524" t="inlineStr">
        <is>
          <t>KATRINEHOLM</t>
        </is>
      </c>
      <c r="I1524" t="n">
        <v>1.7</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49891-2023</t>
        </is>
      </c>
      <c r="B1525" t="inlineStr">
        <is>
          <t>avverkningsanmälan</t>
        </is>
      </c>
      <c r="C1525" t="inlineStr">
        <is>
          <t>Föryngringsavverkning</t>
        </is>
      </c>
      <c r="D1525" s="1" t="n">
        <v>45213</v>
      </c>
      <c r="E1525" s="1" t="n">
        <v>46313</v>
      </c>
      <c r="F1525" t="inlineStr">
        <is>
          <t>SÖDERMANLANDS LÄN</t>
        </is>
      </c>
      <c r="G1525" t="inlineStr">
        <is>
          <t>FLEN</t>
        </is>
      </c>
      <c r="H1525" t="inlineStr">
        <is>
          <t>Holmen skog AB</t>
        </is>
      </c>
      <c r="I1525" t="n">
        <v>1.5</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30907-2022</t>
        </is>
      </c>
      <c r="B1526" t="inlineStr">
        <is>
          <t>avverkningsanmälan</t>
        </is>
      </c>
      <c r="C1526" t="inlineStr">
        <is>
          <t>Föryngringsavverkning</t>
        </is>
      </c>
      <c r="D1526" s="1" t="n">
        <v>44767</v>
      </c>
      <c r="E1526" s="1" t="n">
        <v>46313</v>
      </c>
      <c r="F1526" t="inlineStr">
        <is>
          <t>SÖDERMANLANDS LÄN</t>
        </is>
      </c>
      <c r="G1526" t="inlineStr">
        <is>
          <t>NYKÖPING</t>
        </is>
      </c>
      <c r="I1526" t="n">
        <v>9.1</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36590-2025</t>
        </is>
      </c>
      <c r="B1527" t="inlineStr">
        <is>
          <t>avverkningsanmälan</t>
        </is>
      </c>
      <c r="C1527" t="inlineStr">
        <is>
          <t>Föryngringsavverkning</t>
        </is>
      </c>
      <c r="D1527" s="1" t="n">
        <v>45870</v>
      </c>
      <c r="E1527" s="1" t="n">
        <v>46313</v>
      </c>
      <c r="F1527" t="inlineStr">
        <is>
          <t>SÖDERMANLANDS LÄN</t>
        </is>
      </c>
      <c r="G1527" t="inlineStr">
        <is>
          <t>KATRINEHOLM</t>
        </is>
      </c>
      <c r="I1527" t="n">
        <v>2</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42799-2025</t>
        </is>
      </c>
      <c r="B1528" t="inlineStr">
        <is>
          <t>avverkningsanmälan</t>
        </is>
      </c>
      <c r="C1528" t="inlineStr">
        <is>
          <t>Föryngringsavverkning</t>
        </is>
      </c>
      <c r="D1528" s="1" t="n">
        <v>45907</v>
      </c>
      <c r="E1528" s="1" t="n">
        <v>46313</v>
      </c>
      <c r="F1528" t="inlineStr">
        <is>
          <t>SÖDERMANLANDS LÄN</t>
        </is>
      </c>
      <c r="G1528" t="inlineStr">
        <is>
          <t>KATRINEHOLM</t>
        </is>
      </c>
      <c r="I1528" t="n">
        <v>3.9</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58908-2024</t>
        </is>
      </c>
      <c r="B1529" t="inlineStr">
        <is>
          <t>avverkningsanmälan</t>
        </is>
      </c>
      <c r="C1529" t="inlineStr">
        <is>
          <t>Föryngringsavverkning</t>
        </is>
      </c>
      <c r="D1529" s="1" t="n">
        <v>45636</v>
      </c>
      <c r="E1529" s="1" t="n">
        <v>46313</v>
      </c>
      <c r="F1529" t="inlineStr">
        <is>
          <t>SÖDERMANLANDS LÄN</t>
        </is>
      </c>
      <c r="G1529" t="inlineStr">
        <is>
          <t>VINGÅKER</t>
        </is>
      </c>
      <c r="I1529" t="n">
        <v>0.8</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43880-2023</t>
        </is>
      </c>
      <c r="B1530" t="inlineStr">
        <is>
          <t>avverkningsanmälan</t>
        </is>
      </c>
      <c r="C1530" t="inlineStr">
        <is>
          <t>Föryngringsavverkning</t>
        </is>
      </c>
      <c r="D1530" s="1" t="n">
        <v>45187</v>
      </c>
      <c r="E1530" s="1" t="n">
        <v>46313</v>
      </c>
      <c r="F1530" t="inlineStr">
        <is>
          <t>SÖDERMANLANDS LÄN</t>
        </is>
      </c>
      <c r="G1530" t="inlineStr">
        <is>
          <t>NYKÖPING</t>
        </is>
      </c>
      <c r="I1530" t="n">
        <v>1.3</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16906-2022</t>
        </is>
      </c>
      <c r="B1531" t="inlineStr">
        <is>
          <t>avverkningsanmälan</t>
        </is>
      </c>
      <c r="C1531" t="inlineStr">
        <is>
          <t>Föryngringsavverkning</t>
        </is>
      </c>
      <c r="D1531" s="1" t="n">
        <v>44676</v>
      </c>
      <c r="E1531" s="1" t="n">
        <v>46313</v>
      </c>
      <c r="F1531" t="inlineStr">
        <is>
          <t>SÖDERMANLANDS LÄN</t>
        </is>
      </c>
      <c r="G1531" t="inlineStr">
        <is>
          <t>NYKÖPING</t>
        </is>
      </c>
      <c r="I1531" t="n">
        <v>1.6</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38019-2022</t>
        </is>
      </c>
      <c r="B1532" t="inlineStr">
        <is>
          <t>avverkningsanmälan</t>
        </is>
      </c>
      <c r="C1532" t="inlineStr">
        <is>
          <t>Föryngringsavverkning</t>
        </is>
      </c>
      <c r="D1532" s="1" t="n">
        <v>44811</v>
      </c>
      <c r="E1532" s="1" t="n">
        <v>46313</v>
      </c>
      <c r="F1532" t="inlineStr">
        <is>
          <t>SÖDERMANLANDS LÄN</t>
        </is>
      </c>
      <c r="G1532" t="inlineStr">
        <is>
          <t>KATRINEHOLM</t>
        </is>
      </c>
      <c r="I1532" t="n">
        <v>5.8</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43263-2025</t>
        </is>
      </c>
      <c r="B1533" t="inlineStr">
        <is>
          <t>avverkningsanmälan</t>
        </is>
      </c>
      <c r="C1533" t="inlineStr">
        <is>
          <t>Föryngringsavverkning</t>
        </is>
      </c>
      <c r="D1533" s="1" t="n">
        <v>45910</v>
      </c>
      <c r="E1533" s="1" t="n">
        <v>46313</v>
      </c>
      <c r="F1533" t="inlineStr">
        <is>
          <t>SÖDERMANLANDS LÄN</t>
        </is>
      </c>
      <c r="G1533" t="inlineStr">
        <is>
          <t>GNESTA</t>
        </is>
      </c>
      <c r="I1533" t="n">
        <v>4.8</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2888-2023</t>
        </is>
      </c>
      <c r="B1534" t="inlineStr">
        <is>
          <t>avverkningsanmälan</t>
        </is>
      </c>
      <c r="C1534" t="inlineStr">
        <is>
          <t>Föryngringsavverkning</t>
        </is>
      </c>
      <c r="D1534" s="1" t="n">
        <v>44945</v>
      </c>
      <c r="E1534" s="1" t="n">
        <v>46313</v>
      </c>
      <c r="F1534" t="inlineStr">
        <is>
          <t>SÖDERMANLANDS LÄN</t>
        </is>
      </c>
      <c r="G1534" t="inlineStr">
        <is>
          <t>VINGÅKER</t>
        </is>
      </c>
      <c r="I1534" t="n">
        <v>2.3</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28938-2023</t>
        </is>
      </c>
      <c r="B1535" t="inlineStr">
        <is>
          <t>avverkningsanmälan</t>
        </is>
      </c>
      <c r="C1535" t="inlineStr">
        <is>
          <t>Föryngringsavverkning</t>
        </is>
      </c>
      <c r="D1535" s="1" t="n">
        <v>45104</v>
      </c>
      <c r="E1535" s="1" t="n">
        <v>46313</v>
      </c>
      <c r="F1535" t="inlineStr">
        <is>
          <t>SÖDERMANLANDS LÄN</t>
        </is>
      </c>
      <c r="G1535" t="inlineStr">
        <is>
          <t>FLEN</t>
        </is>
      </c>
      <c r="I1535" t="n">
        <v>0.6</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10955-2024</t>
        </is>
      </c>
      <c r="B1536" t="inlineStr">
        <is>
          <t>avverkningsanmälan</t>
        </is>
      </c>
      <c r="C1536" t="inlineStr">
        <is>
          <t>Föryngringsavverkning</t>
        </is>
      </c>
      <c r="D1536" s="1" t="n">
        <v>45370</v>
      </c>
      <c r="E1536" s="1" t="n">
        <v>46313</v>
      </c>
      <c r="F1536" t="inlineStr">
        <is>
          <t>SÖDERMANLANDS LÄN</t>
        </is>
      </c>
      <c r="G1536" t="inlineStr">
        <is>
          <t>NYKÖPING</t>
        </is>
      </c>
      <c r="H1536" t="inlineStr">
        <is>
          <t>Kommuner</t>
        </is>
      </c>
      <c r="I1536" t="n">
        <v>7</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32836-2022</t>
        </is>
      </c>
      <c r="B1537" t="inlineStr">
        <is>
          <t>avverkningsanmälan</t>
        </is>
      </c>
      <c r="C1537" t="inlineStr">
        <is>
          <t>Föryngringsavverkning</t>
        </is>
      </c>
      <c r="D1537" s="1" t="n">
        <v>44784</v>
      </c>
      <c r="E1537" s="1" t="n">
        <v>46313</v>
      </c>
      <c r="F1537" t="inlineStr">
        <is>
          <t>SÖDERMANLANDS LÄN</t>
        </is>
      </c>
      <c r="G1537" t="inlineStr">
        <is>
          <t>NYKÖPING</t>
        </is>
      </c>
      <c r="I1537" t="n">
        <v>3.8</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43204-2025</t>
        </is>
      </c>
      <c r="B1538" t="inlineStr">
        <is>
          <t>avverkningsanmälan</t>
        </is>
      </c>
      <c r="C1538" t="inlineStr">
        <is>
          <t>Föryngringsavverkning</t>
        </is>
      </c>
      <c r="D1538" s="1" t="n">
        <v>45910</v>
      </c>
      <c r="E1538" s="1" t="n">
        <v>46313</v>
      </c>
      <c r="F1538" t="inlineStr">
        <is>
          <t>SÖDERMANLANDS LÄN</t>
        </is>
      </c>
      <c r="G1538" t="inlineStr">
        <is>
          <t>ESKILSTUNA</t>
        </is>
      </c>
      <c r="I1538" t="n">
        <v>0.8</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73877-2021</t>
        </is>
      </c>
      <c r="B1539" t="inlineStr">
        <is>
          <t>avverkningsanmälan</t>
        </is>
      </c>
      <c r="C1539" t="inlineStr">
        <is>
          <t>Föryngringsavverkning</t>
        </is>
      </c>
      <c r="D1539" s="1" t="n">
        <v>44553</v>
      </c>
      <c r="E1539" s="1" t="n">
        <v>46313</v>
      </c>
      <c r="F1539" t="inlineStr">
        <is>
          <t>SÖDERMANLANDS LÄN</t>
        </is>
      </c>
      <c r="G1539" t="inlineStr">
        <is>
          <t>NYKÖPING</t>
        </is>
      </c>
      <c r="H1539" t="inlineStr">
        <is>
          <t>Holmen skog AB</t>
        </is>
      </c>
      <c r="I1539" t="n">
        <v>1.1</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20987-2026</t>
        </is>
      </c>
      <c r="B1540" t="inlineStr">
        <is>
          <t>avverkningsanmälan</t>
        </is>
      </c>
      <c r="C1540" t="inlineStr">
        <is>
          <t>Föryngringsavverkning</t>
        </is>
      </c>
      <c r="D1540" s="1" t="n">
        <v>46142</v>
      </c>
      <c r="E1540" s="1" t="n">
        <v>46313</v>
      </c>
      <c r="F1540" t="inlineStr">
        <is>
          <t>SÖDERMANLANDS LÄN</t>
        </is>
      </c>
      <c r="G1540" t="inlineStr">
        <is>
          <t>KATRINEHOLM</t>
        </is>
      </c>
      <c r="I1540" t="n">
        <v>2.8</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3926-2024</t>
        </is>
      </c>
      <c r="B1541" t="inlineStr">
        <is>
          <t>avverkningsanmälan</t>
        </is>
      </c>
      <c r="C1541" t="inlineStr">
        <is>
          <t>Föryngringsavverkning</t>
        </is>
      </c>
      <c r="D1541" s="1" t="n">
        <v>45322</v>
      </c>
      <c r="E1541" s="1" t="n">
        <v>46313</v>
      </c>
      <c r="F1541" t="inlineStr">
        <is>
          <t>SÖDERMANLANDS LÄN</t>
        </is>
      </c>
      <c r="G1541" t="inlineStr">
        <is>
          <t>FLEN</t>
        </is>
      </c>
      <c r="I1541" t="n">
        <v>0.8</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43975-2025</t>
        </is>
      </c>
      <c r="B1542" t="inlineStr">
        <is>
          <t>avverkningsanmälan</t>
        </is>
      </c>
      <c r="C1542" t="inlineStr">
        <is>
          <t>Avverkning för att bevara och utveckla /försöksver</t>
        </is>
      </c>
      <c r="D1542" s="1" t="n">
        <v>45915</v>
      </c>
      <c r="E1542" s="1" t="n">
        <v>46313</v>
      </c>
      <c r="F1542" t="inlineStr">
        <is>
          <t>SÖDERMANLANDS LÄN</t>
        </is>
      </c>
      <c r="G1542" t="inlineStr">
        <is>
          <t>KATRINEHOLM</t>
        </is>
      </c>
      <c r="I1542" t="n">
        <v>1.8</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64480-2023</t>
        </is>
      </c>
      <c r="B1543" t="inlineStr">
        <is>
          <t>avverkningsanmälan</t>
        </is>
      </c>
      <c r="C1543" t="inlineStr">
        <is>
          <t>Föryngringsavverkning</t>
        </is>
      </c>
      <c r="D1543" s="1" t="n">
        <v>45280</v>
      </c>
      <c r="E1543" s="1" t="n">
        <v>46313</v>
      </c>
      <c r="F1543" t="inlineStr">
        <is>
          <t>SÖDERMANLANDS LÄN</t>
        </is>
      </c>
      <c r="G1543" t="inlineStr">
        <is>
          <t>FLEN</t>
        </is>
      </c>
      <c r="I1543" t="n">
        <v>0.8</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44236-2025</t>
        </is>
      </c>
      <c r="B1544" t="inlineStr">
        <is>
          <t>avverkningsanmälan</t>
        </is>
      </c>
      <c r="C1544" t="inlineStr">
        <is>
          <t>Föryngringsavverkning</t>
        </is>
      </c>
      <c r="D1544" s="1" t="n">
        <v>45915</v>
      </c>
      <c r="E1544" s="1" t="n">
        <v>46313</v>
      </c>
      <c r="F1544" t="inlineStr">
        <is>
          <t>SÖDERMANLANDS LÄN</t>
        </is>
      </c>
      <c r="G1544" t="inlineStr">
        <is>
          <t>NYKÖPING</t>
        </is>
      </c>
      <c r="H1544" t="inlineStr">
        <is>
          <t>Holmen skog AB</t>
        </is>
      </c>
      <c r="I1544" t="n">
        <v>2.7</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21022-2026</t>
        </is>
      </c>
      <c r="B1545" t="inlineStr">
        <is>
          <t>avverkningsanmälan</t>
        </is>
      </c>
      <c r="C1545" t="inlineStr">
        <is>
          <t>Föryngringsavverkning</t>
        </is>
      </c>
      <c r="D1545" s="1" t="n">
        <v>46145</v>
      </c>
      <c r="E1545" s="1" t="n">
        <v>46313</v>
      </c>
      <c r="F1545" t="inlineStr">
        <is>
          <t>SÖDERMANLANDS LÄN</t>
        </is>
      </c>
      <c r="G1545" t="inlineStr">
        <is>
          <t>NYKÖPING</t>
        </is>
      </c>
      <c r="I1545" t="n">
        <v>4</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11705-2022</t>
        </is>
      </c>
      <c r="B1546" t="inlineStr">
        <is>
          <t>avverkningsanmälan</t>
        </is>
      </c>
      <c r="C1546" t="inlineStr">
        <is>
          <t>Föryngringsavverkning</t>
        </is>
      </c>
      <c r="D1546" s="1" t="n">
        <v>44634</v>
      </c>
      <c r="E1546" s="1" t="n">
        <v>46313</v>
      </c>
      <c r="F1546" t="inlineStr">
        <is>
          <t>SÖDERMANLANDS LÄN</t>
        </is>
      </c>
      <c r="G1546" t="inlineStr">
        <is>
          <t>ESKILSTUNA</t>
        </is>
      </c>
      <c r="I1546" t="n">
        <v>1.7</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1820-2023</t>
        </is>
      </c>
      <c r="B1547" t="inlineStr">
        <is>
          <t>avverkningsanmälan</t>
        </is>
      </c>
      <c r="C1547" t="inlineStr">
        <is>
          <t>Föryngringsavverkning</t>
        </is>
      </c>
      <c r="D1547" s="1" t="n">
        <v>44938</v>
      </c>
      <c r="E1547" s="1" t="n">
        <v>46313</v>
      </c>
      <c r="F1547" t="inlineStr">
        <is>
          <t>SÖDERMANLANDS LÄN</t>
        </is>
      </c>
      <c r="G1547" t="inlineStr">
        <is>
          <t>NYKÖPING</t>
        </is>
      </c>
      <c r="I1547" t="n">
        <v>1.7</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2586-2023</t>
        </is>
      </c>
      <c r="B1548" t="inlineStr">
        <is>
          <t>avverkningsanmälan</t>
        </is>
      </c>
      <c r="C1548" t="inlineStr">
        <is>
          <t>Föryngringsavverkning</t>
        </is>
      </c>
      <c r="D1548" s="1" t="n">
        <v>44943</v>
      </c>
      <c r="E1548" s="1" t="n">
        <v>46313</v>
      </c>
      <c r="F1548" t="inlineStr">
        <is>
          <t>SÖDERMANLANDS LÄN</t>
        </is>
      </c>
      <c r="G1548" t="inlineStr">
        <is>
          <t>VINGÅKER</t>
        </is>
      </c>
      <c r="I1548" t="n">
        <v>1.9</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17335-2023</t>
        </is>
      </c>
      <c r="B1549" t="inlineStr">
        <is>
          <t>avverkningsanmälan</t>
        </is>
      </c>
      <c r="C1549" t="inlineStr">
        <is>
          <t>Föryngringsavverkning</t>
        </is>
      </c>
      <c r="D1549" s="1" t="n">
        <v>45033</v>
      </c>
      <c r="E1549" s="1" t="n">
        <v>46313</v>
      </c>
      <c r="F1549" t="inlineStr">
        <is>
          <t>SÖDERMANLANDS LÄN</t>
        </is>
      </c>
      <c r="G1549" t="inlineStr">
        <is>
          <t>KATRINEHOLM</t>
        </is>
      </c>
      <c r="I1549" t="n">
        <v>3.3</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59898-2022</t>
        </is>
      </c>
      <c r="B1550" t="inlineStr">
        <is>
          <t>avverkningsanmälan</t>
        </is>
      </c>
      <c r="C1550" t="inlineStr">
        <is>
          <t>Föryngringsavverkning</t>
        </is>
      </c>
      <c r="D1550" s="1" t="n">
        <v>44908</v>
      </c>
      <c r="E1550" s="1" t="n">
        <v>46313</v>
      </c>
      <c r="F1550" t="inlineStr">
        <is>
          <t>SÖDERMANLANDS LÄN</t>
        </is>
      </c>
      <c r="G1550" t="inlineStr">
        <is>
          <t>KATRINEHOLM</t>
        </is>
      </c>
      <c r="I1550" t="n">
        <v>4.8</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54183-2022</t>
        </is>
      </c>
      <c r="B1551" t="inlineStr">
        <is>
          <t>avverkningsanmälan</t>
        </is>
      </c>
      <c r="C1551" t="inlineStr">
        <is>
          <t>Föryngringsavverkning</t>
        </is>
      </c>
      <c r="D1551" s="1" t="n">
        <v>44881</v>
      </c>
      <c r="E1551" s="1" t="n">
        <v>46313</v>
      </c>
      <c r="F1551" t="inlineStr">
        <is>
          <t>SÖDERMANLANDS LÄN</t>
        </is>
      </c>
      <c r="G1551" t="inlineStr">
        <is>
          <t>NYKÖPING</t>
        </is>
      </c>
      <c r="I1551" t="n">
        <v>1.4</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44272-2025</t>
        </is>
      </c>
      <c r="B1552" t="inlineStr">
        <is>
          <t>avverkningsanmälan</t>
        </is>
      </c>
      <c r="C1552" t="inlineStr">
        <is>
          <t>Föryngringsavverkning</t>
        </is>
      </c>
      <c r="D1552" s="1" t="n">
        <v>45916</v>
      </c>
      <c r="E1552" s="1" t="n">
        <v>46313</v>
      </c>
      <c r="F1552" t="inlineStr">
        <is>
          <t>SÖDERMANLANDS LÄN</t>
        </is>
      </c>
      <c r="G1552" t="inlineStr">
        <is>
          <t>GNESTA</t>
        </is>
      </c>
      <c r="I1552" t="n">
        <v>2.5</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28317-2024</t>
        </is>
      </c>
      <c r="B1553" t="inlineStr">
        <is>
          <t>avverkningsanmälan</t>
        </is>
      </c>
      <c r="C1553" t="inlineStr">
        <is>
          <t>Föryngringsavverkning</t>
        </is>
      </c>
      <c r="D1553" s="1" t="n">
        <v>45477</v>
      </c>
      <c r="E1553" s="1" t="n">
        <v>46313</v>
      </c>
      <c r="F1553" t="inlineStr">
        <is>
          <t>SÖDERMANLANDS LÄN</t>
        </is>
      </c>
      <c r="G1553" t="inlineStr">
        <is>
          <t>KATRINEHOLM</t>
        </is>
      </c>
      <c r="I1553" t="n">
        <v>1.5</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41099-2022</t>
        </is>
      </c>
      <c r="B1554" t="inlineStr">
        <is>
          <t>avverkningsanmälan</t>
        </is>
      </c>
      <c r="C1554" t="inlineStr">
        <is>
          <t>Föryngringsavverkning</t>
        </is>
      </c>
      <c r="D1554" s="1" t="n">
        <v>44825</v>
      </c>
      <c r="E1554" s="1" t="n">
        <v>46313</v>
      </c>
      <c r="F1554" t="inlineStr">
        <is>
          <t>SÖDERMANLANDS LÄN</t>
        </is>
      </c>
      <c r="G1554" t="inlineStr">
        <is>
          <t>NYKÖPING</t>
        </is>
      </c>
      <c r="I1554" t="n">
        <v>0.5</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49828-2022</t>
        </is>
      </c>
      <c r="B1555" t="inlineStr">
        <is>
          <t>avverkningsanmälan</t>
        </is>
      </c>
      <c r="C1555" t="inlineStr">
        <is>
          <t>Föryngringsavverkning</t>
        </is>
      </c>
      <c r="D1555" s="1" t="n">
        <v>44862</v>
      </c>
      <c r="E1555" s="1" t="n">
        <v>46313</v>
      </c>
      <c r="F1555" t="inlineStr">
        <is>
          <t>SÖDERMANLANDS LÄN</t>
        </is>
      </c>
      <c r="G1555" t="inlineStr">
        <is>
          <t>FLEN</t>
        </is>
      </c>
      <c r="H1555" t="inlineStr">
        <is>
          <t>Kyrkan</t>
        </is>
      </c>
      <c r="I1555" t="n">
        <v>4.7</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21551-2026</t>
        </is>
      </c>
      <c r="B1556" t="inlineStr">
        <is>
          <t>avverkningsanmälan</t>
        </is>
      </c>
      <c r="C1556" t="inlineStr">
        <is>
          <t>Föryngringsavverkning</t>
        </is>
      </c>
      <c r="D1556" s="1" t="n">
        <v>46147</v>
      </c>
      <c r="E1556" s="1" t="n">
        <v>46313</v>
      </c>
      <c r="F1556" t="inlineStr">
        <is>
          <t>SÖDERMANLANDS LÄN</t>
        </is>
      </c>
      <c r="G1556" t="inlineStr">
        <is>
          <t>VINGÅKER</t>
        </is>
      </c>
      <c r="I1556" t="n">
        <v>4</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3145-2023</t>
        </is>
      </c>
      <c r="B1557" t="inlineStr">
        <is>
          <t>avverkningsanmälan</t>
        </is>
      </c>
      <c r="C1557" t="inlineStr">
        <is>
          <t>Föryngringsavverkning</t>
        </is>
      </c>
      <c r="D1557" s="1" t="n">
        <v>44946</v>
      </c>
      <c r="E1557" s="1" t="n">
        <v>46313</v>
      </c>
      <c r="F1557" t="inlineStr">
        <is>
          <t>SÖDERMANLANDS LÄN</t>
        </is>
      </c>
      <c r="G1557" t="inlineStr">
        <is>
          <t>ESKILSTUNA</t>
        </is>
      </c>
      <c r="I1557" t="n">
        <v>0.6</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10687-2023</t>
        </is>
      </c>
      <c r="B1558" t="inlineStr">
        <is>
          <t>avverkningsanmälan</t>
        </is>
      </c>
      <c r="C1558" t="inlineStr">
        <is>
          <t>Föryngringsavverkning</t>
        </is>
      </c>
      <c r="D1558" s="1" t="n">
        <v>44988</v>
      </c>
      <c r="E1558" s="1" t="n">
        <v>46313</v>
      </c>
      <c r="F1558" t="inlineStr">
        <is>
          <t>SÖDERMANLANDS LÄN</t>
        </is>
      </c>
      <c r="G1558" t="inlineStr">
        <is>
          <t>NYKÖPING</t>
        </is>
      </c>
      <c r="I1558" t="n">
        <v>2.4</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45123-2025</t>
        </is>
      </c>
      <c r="B1559" t="inlineStr">
        <is>
          <t>avverkningsanmälan</t>
        </is>
      </c>
      <c r="C1559" t="inlineStr">
        <is>
          <t>Föryngringsavverkning</t>
        </is>
      </c>
      <c r="D1559" s="1" t="n">
        <v>45919</v>
      </c>
      <c r="E1559" s="1" t="n">
        <v>46313</v>
      </c>
      <c r="F1559" t="inlineStr">
        <is>
          <t>SÖDERMANLANDS LÄN</t>
        </is>
      </c>
      <c r="G1559" t="inlineStr">
        <is>
          <t>NYKÖPING</t>
        </is>
      </c>
      <c r="I1559" t="n">
        <v>2.5</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67464-2021</t>
        </is>
      </c>
      <c r="B1560" t="inlineStr">
        <is>
          <t>avverkningsanmälan</t>
        </is>
      </c>
      <c r="C1560" t="inlineStr">
        <is>
          <t>Föryngringsavverkning</t>
        </is>
      </c>
      <c r="D1560" s="1" t="n">
        <v>44524</v>
      </c>
      <c r="E1560" s="1" t="n">
        <v>46313</v>
      </c>
      <c r="F1560" t="inlineStr">
        <is>
          <t>SÖDERMANLANDS LÄN</t>
        </is>
      </c>
      <c r="G1560" t="inlineStr">
        <is>
          <t>FLEN</t>
        </is>
      </c>
      <c r="I1560" t="n">
        <v>7.7</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22522-2023</t>
        </is>
      </c>
      <c r="B1561" t="inlineStr">
        <is>
          <t>avverkningsanmälan</t>
        </is>
      </c>
      <c r="C1561" t="inlineStr">
        <is>
          <t>Föryngringsavverkning</t>
        </is>
      </c>
      <c r="D1561" s="1" t="n">
        <v>45071</v>
      </c>
      <c r="E1561" s="1" t="n">
        <v>46313</v>
      </c>
      <c r="F1561" t="inlineStr">
        <is>
          <t>SÖDERMANLANDS LÄN</t>
        </is>
      </c>
      <c r="G1561" t="inlineStr">
        <is>
          <t>STRÄNGNÄS</t>
        </is>
      </c>
      <c r="I1561" t="n">
        <v>1.1</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73412-2021</t>
        </is>
      </c>
      <c r="B1562" t="inlineStr">
        <is>
          <t>avverkningsanmälan</t>
        </is>
      </c>
      <c r="C1562" t="inlineStr">
        <is>
          <t>Föryngringsavverkning</t>
        </is>
      </c>
      <c r="D1562" s="1" t="n">
        <v>44551</v>
      </c>
      <c r="E1562" s="1" t="n">
        <v>46313</v>
      </c>
      <c r="F1562" t="inlineStr">
        <is>
          <t>SÖDERMANLANDS LÄN</t>
        </is>
      </c>
      <c r="G1562" t="inlineStr">
        <is>
          <t>KATRINEHOLM</t>
        </is>
      </c>
      <c r="I1562" t="n">
        <v>2</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28995-2024</t>
        </is>
      </c>
      <c r="B1563" t="inlineStr">
        <is>
          <t>avverkningsanmälan</t>
        </is>
      </c>
      <c r="C1563" t="inlineStr">
        <is>
          <t>Föryngringsavverkning</t>
        </is>
      </c>
      <c r="D1563" s="1" t="n">
        <v>45481</v>
      </c>
      <c r="E1563" s="1" t="n">
        <v>46313</v>
      </c>
      <c r="F1563" t="inlineStr">
        <is>
          <t>SÖDERMANLANDS LÄN</t>
        </is>
      </c>
      <c r="G1563" t="inlineStr">
        <is>
          <t>KATRINEHOLM</t>
        </is>
      </c>
      <c r="I1563" t="n">
        <v>0.9</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28597-2024</t>
        </is>
      </c>
      <c r="B1564" t="inlineStr">
        <is>
          <t>avverkningsanmälan</t>
        </is>
      </c>
      <c r="C1564" t="inlineStr">
        <is>
          <t>Föryngringsavverkning</t>
        </is>
      </c>
      <c r="D1564" s="1" t="n">
        <v>45478</v>
      </c>
      <c r="E1564" s="1" t="n">
        <v>46313</v>
      </c>
      <c r="F1564" t="inlineStr">
        <is>
          <t>SÖDERMANLANDS LÄN</t>
        </is>
      </c>
      <c r="G1564" t="inlineStr">
        <is>
          <t>KATRINEHOLM</t>
        </is>
      </c>
      <c r="I1564" t="n">
        <v>1.8</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21020-2026</t>
        </is>
      </c>
      <c r="B1565" t="inlineStr">
        <is>
          <t>avverkningsanmälan</t>
        </is>
      </c>
      <c r="C1565" t="inlineStr">
        <is>
          <t>Föryngringsavverkning</t>
        </is>
      </c>
      <c r="D1565" s="1" t="n">
        <v>46145</v>
      </c>
      <c r="E1565" s="1" t="n">
        <v>46313</v>
      </c>
      <c r="F1565" t="inlineStr">
        <is>
          <t>SÖDERMANLANDS LÄN</t>
        </is>
      </c>
      <c r="G1565" t="inlineStr">
        <is>
          <t>NYKÖPING</t>
        </is>
      </c>
      <c r="I1565" t="n">
        <v>1.7</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20798-2023</t>
        </is>
      </c>
      <c r="B1566" t="inlineStr">
        <is>
          <t>avverkningsanmälan</t>
        </is>
      </c>
      <c r="C1566" t="inlineStr">
        <is>
          <t>Föryngringsavverkning</t>
        </is>
      </c>
      <c r="D1566" s="1" t="n">
        <v>45058</v>
      </c>
      <c r="E1566" s="1" t="n">
        <v>46313</v>
      </c>
      <c r="F1566" t="inlineStr">
        <is>
          <t>SÖDERMANLANDS LÄN</t>
        </is>
      </c>
      <c r="G1566" t="inlineStr">
        <is>
          <t>NYKÖPING</t>
        </is>
      </c>
      <c r="H1566" t="inlineStr">
        <is>
          <t>Holmen skog AB</t>
        </is>
      </c>
      <c r="I1566" t="n">
        <v>0.7</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22166-2024</t>
        </is>
      </c>
      <c r="B1567" t="inlineStr">
        <is>
          <t>avverkningsanmälan</t>
        </is>
      </c>
      <c r="C1567" t="inlineStr">
        <is>
          <t>Föryngringsavverkning</t>
        </is>
      </c>
      <c r="D1567" s="1" t="n">
        <v>45446</v>
      </c>
      <c r="E1567" s="1" t="n">
        <v>46313</v>
      </c>
      <c r="F1567" t="inlineStr">
        <is>
          <t>SÖDERMANLANDS LÄN</t>
        </is>
      </c>
      <c r="G1567" t="inlineStr">
        <is>
          <t>GNESTA</t>
        </is>
      </c>
      <c r="I1567" t="n">
        <v>2.5</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21087-2026</t>
        </is>
      </c>
      <c r="B1568" t="inlineStr">
        <is>
          <t>avverkningsanmälan</t>
        </is>
      </c>
      <c r="C1568" t="inlineStr">
        <is>
          <t>Föryngringsavverkning</t>
        </is>
      </c>
      <c r="D1568" s="1" t="n">
        <v>46146</v>
      </c>
      <c r="E1568" s="1" t="n">
        <v>46313</v>
      </c>
      <c r="F1568" t="inlineStr">
        <is>
          <t>SÖDERMANLANDS LÄN</t>
        </is>
      </c>
      <c r="G1568" t="inlineStr">
        <is>
          <t>KATRINEHOLM</t>
        </is>
      </c>
      <c r="I1568" t="n">
        <v>1.4</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66979-2021</t>
        </is>
      </c>
      <c r="B1569" t="inlineStr">
        <is>
          <t>avverkningsanmälan</t>
        </is>
      </c>
      <c r="C1569" t="inlineStr">
        <is>
          <t>Föryngringsavverkning</t>
        </is>
      </c>
      <c r="D1569" s="1" t="n">
        <v>44522</v>
      </c>
      <c r="E1569" s="1" t="n">
        <v>46313</v>
      </c>
      <c r="F1569" t="inlineStr">
        <is>
          <t>SÖDERMANLANDS LÄN</t>
        </is>
      </c>
      <c r="G1569" t="inlineStr">
        <is>
          <t>FLEN</t>
        </is>
      </c>
      <c r="I1569" t="n">
        <v>5</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51880-2023</t>
        </is>
      </c>
      <c r="B1570" t="inlineStr">
        <is>
          <t>avverkningsanmälan</t>
        </is>
      </c>
      <c r="C1570" t="inlineStr">
        <is>
          <t>Föryngringsavverkning</t>
        </is>
      </c>
      <c r="D1570" s="1" t="n">
        <v>45216</v>
      </c>
      <c r="E1570" s="1" t="n">
        <v>46313</v>
      </c>
      <c r="F1570" t="inlineStr">
        <is>
          <t>SÖDERMANLANDS LÄN</t>
        </is>
      </c>
      <c r="G1570" t="inlineStr">
        <is>
          <t>NYKÖPING</t>
        </is>
      </c>
      <c r="I1570" t="n">
        <v>1.4</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29987-2024</t>
        </is>
      </c>
      <c r="B1571" t="inlineStr">
        <is>
          <t>avverkningsanmälan</t>
        </is>
      </c>
      <c r="C1571" t="inlineStr">
        <is>
          <t>Föryngringsavverkning</t>
        </is>
      </c>
      <c r="D1571" s="1" t="n">
        <v>45488</v>
      </c>
      <c r="E1571" s="1" t="n">
        <v>46313</v>
      </c>
      <c r="F1571" t="inlineStr">
        <is>
          <t>SÖDERMANLANDS LÄN</t>
        </is>
      </c>
      <c r="G1571" t="inlineStr">
        <is>
          <t>GNESTA</t>
        </is>
      </c>
      <c r="I1571" t="n">
        <v>7.2</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465-2024</t>
        </is>
      </c>
      <c r="B1572" t="inlineStr">
        <is>
          <t>avverkningsanmälan</t>
        </is>
      </c>
      <c r="C1572" t="inlineStr">
        <is>
          <t>Föryngringsavverkning</t>
        </is>
      </c>
      <c r="D1572" s="1" t="n">
        <v>45297</v>
      </c>
      <c r="E1572" s="1" t="n">
        <v>46313</v>
      </c>
      <c r="F1572" t="inlineStr">
        <is>
          <t>SÖDERMANLANDS LÄN</t>
        </is>
      </c>
      <c r="G1572" t="inlineStr">
        <is>
          <t>VINGÅKER</t>
        </is>
      </c>
      <c r="I1572" t="n">
        <v>3.2</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7496-2022</t>
        </is>
      </c>
      <c r="B1573" t="inlineStr">
        <is>
          <t>avverkningsanmälan</t>
        </is>
      </c>
      <c r="C1573" t="inlineStr">
        <is>
          <t>Föryngringsavverkning</t>
        </is>
      </c>
      <c r="D1573" s="1" t="n">
        <v>44607</v>
      </c>
      <c r="E1573" s="1" t="n">
        <v>46313</v>
      </c>
      <c r="F1573" t="inlineStr">
        <is>
          <t>SÖDERMANLANDS LÄN</t>
        </is>
      </c>
      <c r="G1573" t="inlineStr">
        <is>
          <t>NYKÖPING</t>
        </is>
      </c>
      <c r="I1573" t="n">
        <v>1.9</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16908-2024</t>
        </is>
      </c>
      <c r="B1574" t="inlineStr">
        <is>
          <t>avverkningsanmälan</t>
        </is>
      </c>
      <c r="C1574" t="inlineStr">
        <is>
          <t>Avverkning för annat ändamål</t>
        </is>
      </c>
      <c r="D1574" s="1" t="n">
        <v>45411</v>
      </c>
      <c r="E1574" s="1" t="n">
        <v>46313</v>
      </c>
      <c r="F1574" t="inlineStr">
        <is>
          <t>SÖDERMANLANDS LÄN</t>
        </is>
      </c>
      <c r="G1574" t="inlineStr">
        <is>
          <t>FLEN</t>
        </is>
      </c>
      <c r="I1574" t="n">
        <v>2.2</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16927-2024</t>
        </is>
      </c>
      <c r="B1575" t="inlineStr">
        <is>
          <t>avverkningsanmälan</t>
        </is>
      </c>
      <c r="C1575" t="inlineStr">
        <is>
          <t>Föryngringsavverkning</t>
        </is>
      </c>
      <c r="D1575" s="1" t="n">
        <v>45411</v>
      </c>
      <c r="E1575" s="1" t="n">
        <v>46313</v>
      </c>
      <c r="F1575" t="inlineStr">
        <is>
          <t>SÖDERMANLANDS LÄN</t>
        </is>
      </c>
      <c r="G1575" t="inlineStr">
        <is>
          <t>GNESTA</t>
        </is>
      </c>
      <c r="I1575" t="n">
        <v>0.5</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46031-2025</t>
        </is>
      </c>
      <c r="B1576" t="inlineStr">
        <is>
          <t>avverkningsanmälan</t>
        </is>
      </c>
      <c r="C1576" t="inlineStr">
        <is>
          <t>Föryngringsavverkning</t>
        </is>
      </c>
      <c r="D1576" s="1" t="n">
        <v>45924</v>
      </c>
      <c r="E1576" s="1" t="n">
        <v>46313</v>
      </c>
      <c r="F1576" t="inlineStr">
        <is>
          <t>SÖDERMANLANDS LÄN</t>
        </is>
      </c>
      <c r="G1576" t="inlineStr">
        <is>
          <t>FLEN</t>
        </is>
      </c>
      <c r="H1576" t="inlineStr">
        <is>
          <t>Holmen skog AB</t>
        </is>
      </c>
      <c r="I1576" t="n">
        <v>1</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41966-2023</t>
        </is>
      </c>
      <c r="B1577" t="inlineStr">
        <is>
          <t>avverkningsanmälan</t>
        </is>
      </c>
      <c r="C1577" t="inlineStr">
        <is>
          <t>Föryngringsavverkning</t>
        </is>
      </c>
      <c r="D1577" s="1" t="n">
        <v>45177</v>
      </c>
      <c r="E1577" s="1" t="n">
        <v>46313</v>
      </c>
      <c r="F1577" t="inlineStr">
        <is>
          <t>SÖDERMANLANDS LÄN</t>
        </is>
      </c>
      <c r="G1577" t="inlineStr">
        <is>
          <t>KATRINEHOLM</t>
        </is>
      </c>
      <c r="I1577" t="n">
        <v>36.9</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10446-2024</t>
        </is>
      </c>
      <c r="B1578" t="inlineStr">
        <is>
          <t>avverkningsanmälan</t>
        </is>
      </c>
      <c r="C1578" t="inlineStr">
        <is>
          <t>Föryngringsavverkning</t>
        </is>
      </c>
      <c r="D1578" s="1" t="n">
        <v>45366</v>
      </c>
      <c r="E1578" s="1" t="n">
        <v>46313</v>
      </c>
      <c r="F1578" t="inlineStr">
        <is>
          <t>SÖDERMANLANDS LÄN</t>
        </is>
      </c>
      <c r="G1578" t="inlineStr">
        <is>
          <t>KATRINEHOLM</t>
        </is>
      </c>
      <c r="I1578" t="n">
        <v>2.3</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8761-2023</t>
        </is>
      </c>
      <c r="B1579" t="inlineStr">
        <is>
          <t>avverkningsanmälan</t>
        </is>
      </c>
      <c r="C1579" t="inlineStr">
        <is>
          <t>Föryngringsavverkning</t>
        </is>
      </c>
      <c r="D1579" s="1" t="n">
        <v>44978</v>
      </c>
      <c r="E1579" s="1" t="n">
        <v>46313</v>
      </c>
      <c r="F1579" t="inlineStr">
        <is>
          <t>SÖDERMANLANDS LÄN</t>
        </is>
      </c>
      <c r="G1579" t="inlineStr">
        <is>
          <t>KATRINEHOLM</t>
        </is>
      </c>
      <c r="I1579" t="n">
        <v>1.2</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6125-2023</t>
        </is>
      </c>
      <c r="B1580" t="inlineStr">
        <is>
          <t>avverkningsanmälan</t>
        </is>
      </c>
      <c r="C1580" t="inlineStr">
        <is>
          <t>Föryngringsavverkning</t>
        </is>
      </c>
      <c r="D1580" s="1" t="n">
        <v>44964</v>
      </c>
      <c r="E1580" s="1" t="n">
        <v>46313</v>
      </c>
      <c r="F1580" t="inlineStr">
        <is>
          <t>SÖDERMANLANDS LÄN</t>
        </is>
      </c>
      <c r="G1580" t="inlineStr">
        <is>
          <t>NYKÖPING</t>
        </is>
      </c>
      <c r="I1580" t="n">
        <v>4.4</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46288-2025</t>
        </is>
      </c>
      <c r="B1581" t="inlineStr">
        <is>
          <t>avverkningsanmälan</t>
        </is>
      </c>
      <c r="C1581" t="inlineStr">
        <is>
          <t>Föryngringsavverkning</t>
        </is>
      </c>
      <c r="D1581" s="1" t="n">
        <v>45925</v>
      </c>
      <c r="E1581" s="1" t="n">
        <v>46313</v>
      </c>
      <c r="F1581" t="inlineStr">
        <is>
          <t>SÖDERMANLANDS LÄN</t>
        </is>
      </c>
      <c r="G1581" t="inlineStr">
        <is>
          <t>KATRINEHOLM</t>
        </is>
      </c>
      <c r="I1581" t="n">
        <v>0.4</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8778-2023</t>
        </is>
      </c>
      <c r="B1582" t="inlineStr">
        <is>
          <t>avverkningsanmälan</t>
        </is>
      </c>
      <c r="C1582" t="inlineStr">
        <is>
          <t>Föryngringsavverkning</t>
        </is>
      </c>
      <c r="D1582" s="1" t="n">
        <v>44978</v>
      </c>
      <c r="E1582" s="1" t="n">
        <v>46313</v>
      </c>
      <c r="F1582" t="inlineStr">
        <is>
          <t>SÖDERMANLANDS LÄN</t>
        </is>
      </c>
      <c r="G1582" t="inlineStr">
        <is>
          <t>KATRINEHOLM</t>
        </is>
      </c>
      <c r="I1582" t="n">
        <v>4.5</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8883-2023</t>
        </is>
      </c>
      <c r="B1583" t="inlineStr">
        <is>
          <t>avverkningsanmälan</t>
        </is>
      </c>
      <c r="C1583" t="inlineStr">
        <is>
          <t>Föryngringsavverkning</t>
        </is>
      </c>
      <c r="D1583" s="1" t="n">
        <v>44979</v>
      </c>
      <c r="E1583" s="1" t="n">
        <v>46313</v>
      </c>
      <c r="F1583" t="inlineStr">
        <is>
          <t>SÖDERMANLANDS LÄN</t>
        </is>
      </c>
      <c r="G1583" t="inlineStr">
        <is>
          <t>FLEN</t>
        </is>
      </c>
      <c r="I1583" t="n">
        <v>5.2</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40404-2024</t>
        </is>
      </c>
      <c r="B1584" t="inlineStr">
        <is>
          <t>avverkningsanmälan</t>
        </is>
      </c>
      <c r="C1584" t="inlineStr">
        <is>
          <t>Föryngringsavverkning</t>
        </is>
      </c>
      <c r="D1584" s="1" t="n">
        <v>45555</v>
      </c>
      <c r="E1584" s="1" t="n">
        <v>46313</v>
      </c>
      <c r="F1584" t="inlineStr">
        <is>
          <t>SÖDERMANLANDS LÄN</t>
        </is>
      </c>
      <c r="G1584" t="inlineStr">
        <is>
          <t>FLEN</t>
        </is>
      </c>
      <c r="I1584" t="n">
        <v>0.6</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11978-2023</t>
        </is>
      </c>
      <c r="B1585" t="inlineStr">
        <is>
          <t>avverkningsanmälan</t>
        </is>
      </c>
      <c r="C1585" t="inlineStr">
        <is>
          <t>Föryngringsavverkning</t>
        </is>
      </c>
      <c r="D1585" s="1" t="n">
        <v>44995</v>
      </c>
      <c r="E1585" s="1" t="n">
        <v>46313</v>
      </c>
      <c r="F1585" t="inlineStr">
        <is>
          <t>SÖDERMANLANDS LÄN</t>
        </is>
      </c>
      <c r="G1585" t="inlineStr">
        <is>
          <t>NYKÖPING</t>
        </is>
      </c>
      <c r="I1585" t="n">
        <v>2.1</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21672-2026</t>
        </is>
      </c>
      <c r="B1586" t="inlineStr">
        <is>
          <t>avverkningsanmälan</t>
        </is>
      </c>
      <c r="C1586" t="inlineStr">
        <is>
          <t>Föryngringsavverkning</t>
        </is>
      </c>
      <c r="D1586" s="1" t="n">
        <v>46149</v>
      </c>
      <c r="E1586" s="1" t="n">
        <v>46313</v>
      </c>
      <c r="F1586" t="inlineStr">
        <is>
          <t>SÖDERMANLANDS LÄN</t>
        </is>
      </c>
      <c r="G1586" t="inlineStr">
        <is>
          <t>NYKÖPING</t>
        </is>
      </c>
      <c r="I1586" t="n">
        <v>2.1</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21676-2026</t>
        </is>
      </c>
      <c r="B1587" t="inlineStr">
        <is>
          <t>avverkningsanmälan</t>
        </is>
      </c>
      <c r="C1587" t="inlineStr">
        <is>
          <t>Föryngringsavverkning</t>
        </is>
      </c>
      <c r="D1587" s="1" t="n">
        <v>46149</v>
      </c>
      <c r="E1587" s="1" t="n">
        <v>46313</v>
      </c>
      <c r="F1587" t="inlineStr">
        <is>
          <t>SÖDERMANLANDS LÄN</t>
        </is>
      </c>
      <c r="G1587" t="inlineStr">
        <is>
          <t>NYKÖPING</t>
        </is>
      </c>
      <c r="I1587" t="n">
        <v>0.4</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15397-2022</t>
        </is>
      </c>
      <c r="B1588" t="inlineStr">
        <is>
          <t>avverkningsanmälan</t>
        </is>
      </c>
      <c r="C1588" t="inlineStr">
        <is>
          <t>Föryngringsavverkning</t>
        </is>
      </c>
      <c r="D1588" s="1" t="n">
        <v>44659</v>
      </c>
      <c r="E1588" s="1" t="n">
        <v>46313</v>
      </c>
      <c r="F1588" t="inlineStr">
        <is>
          <t>SÖDERMANLANDS LÄN</t>
        </is>
      </c>
      <c r="G1588" t="inlineStr">
        <is>
          <t>STRÄNGNÄS</t>
        </is>
      </c>
      <c r="I1588" t="n">
        <v>0.7</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15399-2022</t>
        </is>
      </c>
      <c r="B1589" t="inlineStr">
        <is>
          <t>avverkningsanmälan</t>
        </is>
      </c>
      <c r="C1589" t="inlineStr">
        <is>
          <t>Föryngringsavverkning</t>
        </is>
      </c>
      <c r="D1589" s="1" t="n">
        <v>44659</v>
      </c>
      <c r="E1589" s="1" t="n">
        <v>46313</v>
      </c>
      <c r="F1589" t="inlineStr">
        <is>
          <t>SÖDERMANLANDS LÄN</t>
        </is>
      </c>
      <c r="G1589" t="inlineStr">
        <is>
          <t>KATRINEHOLM</t>
        </is>
      </c>
      <c r="I1589" t="n">
        <v>5.6</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6129-2023</t>
        </is>
      </c>
      <c r="B1590" t="inlineStr">
        <is>
          <t>avverkningsanmälan</t>
        </is>
      </c>
      <c r="C1590" t="inlineStr">
        <is>
          <t>Föryngringsavverkning</t>
        </is>
      </c>
      <c r="D1590" s="1" t="n">
        <v>44964</v>
      </c>
      <c r="E1590" s="1" t="n">
        <v>46313</v>
      </c>
      <c r="F1590" t="inlineStr">
        <is>
          <t>SÖDERMANLANDS LÄN</t>
        </is>
      </c>
      <c r="G1590" t="inlineStr">
        <is>
          <t>NYKÖPING</t>
        </is>
      </c>
      <c r="I1590" t="n">
        <v>4.3</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21172-2023</t>
        </is>
      </c>
      <c r="B1591" t="inlineStr">
        <is>
          <t>avverkningsanmälan</t>
        </is>
      </c>
      <c r="C1591" t="inlineStr">
        <is>
          <t>Avverkning för annat ändamål</t>
        </is>
      </c>
      <c r="D1591" s="1" t="n">
        <v>45062</v>
      </c>
      <c r="E1591" s="1" t="n">
        <v>46313</v>
      </c>
      <c r="F1591" t="inlineStr">
        <is>
          <t>SÖDERMANLANDS LÄN</t>
        </is>
      </c>
      <c r="G1591" t="inlineStr">
        <is>
          <t>GNESTA</t>
        </is>
      </c>
      <c r="H1591" t="inlineStr">
        <is>
          <t>Övriga Aktiebolag</t>
        </is>
      </c>
      <c r="I1591" t="n">
        <v>0.8</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40635-2023</t>
        </is>
      </c>
      <c r="B1592" t="inlineStr">
        <is>
          <t>avverkningsanmälan</t>
        </is>
      </c>
      <c r="C1592" t="inlineStr">
        <is>
          <t>Föryngringsavverkning</t>
        </is>
      </c>
      <c r="D1592" s="1" t="n">
        <v>45170</v>
      </c>
      <c r="E1592" s="1" t="n">
        <v>46313</v>
      </c>
      <c r="F1592" t="inlineStr">
        <is>
          <t>SÖDERMANLANDS LÄN</t>
        </is>
      </c>
      <c r="G1592" t="inlineStr">
        <is>
          <t>NYKÖPING</t>
        </is>
      </c>
      <c r="I1592" t="n">
        <v>1.2</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35419-2025</t>
        </is>
      </c>
      <c r="B1593" t="inlineStr">
        <is>
          <t>avverkningsanmälan</t>
        </is>
      </c>
      <c r="C1593" t="inlineStr">
        <is>
          <t>Föryngringsavverkning</t>
        </is>
      </c>
      <c r="D1593" s="1" t="n">
        <v>45855</v>
      </c>
      <c r="E1593" s="1" t="n">
        <v>46313</v>
      </c>
      <c r="F1593" t="inlineStr">
        <is>
          <t>SÖDERMANLANDS LÄN</t>
        </is>
      </c>
      <c r="G1593" t="inlineStr">
        <is>
          <t>NYKÖPING</t>
        </is>
      </c>
      <c r="H1593" t="inlineStr">
        <is>
          <t>Holmen skog AB</t>
        </is>
      </c>
      <c r="I1593" t="n">
        <v>0.8</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46662-2025</t>
        </is>
      </c>
      <c r="B1594" t="inlineStr">
        <is>
          <t>avverkningsanmälan</t>
        </is>
      </c>
      <c r="C1594" t="inlineStr">
        <is>
          <t>Föryngringsavverkning</t>
        </is>
      </c>
      <c r="D1594" s="1" t="n">
        <v>45926</v>
      </c>
      <c r="E1594" s="1" t="n">
        <v>46313</v>
      </c>
      <c r="F1594" t="inlineStr">
        <is>
          <t>SÖDERMANLANDS LÄN</t>
        </is>
      </c>
      <c r="G1594" t="inlineStr">
        <is>
          <t>FLEN</t>
        </is>
      </c>
      <c r="H1594" t="inlineStr">
        <is>
          <t>Holmen skog AB</t>
        </is>
      </c>
      <c r="I1594" t="n">
        <v>11.5</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49116-2024</t>
        </is>
      </c>
      <c r="B1595" t="inlineStr">
        <is>
          <t>avverkningsanmälan</t>
        </is>
      </c>
      <c r="C1595" t="inlineStr">
        <is>
          <t>Föryngringsavverkning</t>
        </is>
      </c>
      <c r="D1595" s="1" t="n">
        <v>45594</v>
      </c>
      <c r="E1595" s="1" t="n">
        <v>46313</v>
      </c>
      <c r="F1595" t="inlineStr">
        <is>
          <t>SÖDERMANLANDS LÄN</t>
        </is>
      </c>
      <c r="G1595" t="inlineStr">
        <is>
          <t>KATRINEHOLM</t>
        </is>
      </c>
      <c r="I1595" t="n">
        <v>0.9</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6753-2022</t>
        </is>
      </c>
      <c r="B1596" t="inlineStr">
        <is>
          <t>avverkningsanmälan</t>
        </is>
      </c>
      <c r="C1596" t="inlineStr">
        <is>
          <t>Föryngringsavverkning</t>
        </is>
      </c>
      <c r="D1596" s="1" t="n">
        <v>44602</v>
      </c>
      <c r="E1596" s="1" t="n">
        <v>46313</v>
      </c>
      <c r="F1596" t="inlineStr">
        <is>
          <t>SÖDERMANLANDS LÄN</t>
        </is>
      </c>
      <c r="G1596" t="inlineStr">
        <is>
          <t>KATRINEHOLM</t>
        </is>
      </c>
      <c r="I1596" t="n">
        <v>4.3</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6763-2022</t>
        </is>
      </c>
      <c r="B1597" t="inlineStr">
        <is>
          <t>avverkningsanmälan</t>
        </is>
      </c>
      <c r="C1597" t="inlineStr">
        <is>
          <t>Föryngringsavverkning</t>
        </is>
      </c>
      <c r="D1597" s="1" t="n">
        <v>44602</v>
      </c>
      <c r="E1597" s="1" t="n">
        <v>46313</v>
      </c>
      <c r="F1597" t="inlineStr">
        <is>
          <t>SÖDERMANLANDS LÄN</t>
        </is>
      </c>
      <c r="G1597" t="inlineStr">
        <is>
          <t>KATRINEHOLM</t>
        </is>
      </c>
      <c r="I1597" t="n">
        <v>6.7</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53098-2022</t>
        </is>
      </c>
      <c r="B1598" t="inlineStr">
        <is>
          <t>avverkningsanmälan</t>
        </is>
      </c>
      <c r="C1598" t="inlineStr">
        <is>
          <t>Föryngringsavverkning</t>
        </is>
      </c>
      <c r="D1598" s="1" t="n">
        <v>44873</v>
      </c>
      <c r="E1598" s="1" t="n">
        <v>46313</v>
      </c>
      <c r="F1598" t="inlineStr">
        <is>
          <t>SÖDERMANLANDS LÄN</t>
        </is>
      </c>
      <c r="G1598" t="inlineStr">
        <is>
          <t>ESKILSTUNA</t>
        </is>
      </c>
      <c r="I1598" t="n">
        <v>0.9</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23-2023</t>
        </is>
      </c>
      <c r="B1599" t="inlineStr">
        <is>
          <t>avverkningsanmälan</t>
        </is>
      </c>
      <c r="C1599" t="inlineStr">
        <is>
          <t>Föryngringsavverkning</t>
        </is>
      </c>
      <c r="D1599" s="1" t="n">
        <v>44928</v>
      </c>
      <c r="E1599" s="1" t="n">
        <v>46313</v>
      </c>
      <c r="F1599" t="inlineStr">
        <is>
          <t>SÖDERMANLANDS LÄN</t>
        </is>
      </c>
      <c r="G1599" t="inlineStr">
        <is>
          <t>ESKILSTUNA</t>
        </is>
      </c>
      <c r="I1599" t="n">
        <v>1.2</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62746-2025</t>
        </is>
      </c>
      <c r="B1600" t="inlineStr">
        <is>
          <t>avverkningsanmälan</t>
        </is>
      </c>
      <c r="C1600" t="inlineStr">
        <is>
          <t>Föryngringsavverkning</t>
        </is>
      </c>
      <c r="D1600" s="1" t="n">
        <v>46008</v>
      </c>
      <c r="E1600" s="1" t="n">
        <v>46313</v>
      </c>
      <c r="F1600" t="inlineStr">
        <is>
          <t>SÖDERMANLANDS LÄN</t>
        </is>
      </c>
      <c r="G1600" t="inlineStr">
        <is>
          <t>STRÄNGNÄS</t>
        </is>
      </c>
      <c r="I1600" t="n">
        <v>3</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11728-2022</t>
        </is>
      </c>
      <c r="B1601" t="inlineStr">
        <is>
          <t>avverkningsanmälan</t>
        </is>
      </c>
      <c r="C1601" t="inlineStr">
        <is>
          <t>Föryngringsavverkning</t>
        </is>
      </c>
      <c r="D1601" s="1" t="n">
        <v>44634</v>
      </c>
      <c r="E1601" s="1" t="n">
        <v>46313</v>
      </c>
      <c r="F1601" t="inlineStr">
        <is>
          <t>SÖDERMANLANDS LÄN</t>
        </is>
      </c>
      <c r="G1601" t="inlineStr">
        <is>
          <t>NYKÖPING</t>
        </is>
      </c>
      <c r="I1601" t="n">
        <v>11.4</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39068-2022</t>
        </is>
      </c>
      <c r="B1602" t="inlineStr">
        <is>
          <t>avverkningsanmälan</t>
        </is>
      </c>
      <c r="C1602" t="inlineStr">
        <is>
          <t>Föryngringsavverkning</t>
        </is>
      </c>
      <c r="D1602" s="1" t="n">
        <v>44816</v>
      </c>
      <c r="E1602" s="1" t="n">
        <v>46313</v>
      </c>
      <c r="F1602" t="inlineStr">
        <is>
          <t>SÖDERMANLANDS LÄN</t>
        </is>
      </c>
      <c r="G1602" t="inlineStr">
        <is>
          <t>KATRINEHOLM</t>
        </is>
      </c>
      <c r="I1602" t="n">
        <v>3.6</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23327-2023</t>
        </is>
      </c>
      <c r="B1603" t="inlineStr">
        <is>
          <t>avverkningsanmälan</t>
        </is>
      </c>
      <c r="C1603" t="inlineStr">
        <is>
          <t>Föryngringsavverkning</t>
        </is>
      </c>
      <c r="D1603" s="1" t="n">
        <v>45076</v>
      </c>
      <c r="E1603" s="1" t="n">
        <v>46313</v>
      </c>
      <c r="F1603" t="inlineStr">
        <is>
          <t>SÖDERMANLANDS LÄN</t>
        </is>
      </c>
      <c r="G1603" t="inlineStr">
        <is>
          <t>NYKÖPING</t>
        </is>
      </c>
      <c r="H1603" t="inlineStr">
        <is>
          <t>Övriga Aktiebolag</t>
        </is>
      </c>
      <c r="I1603" t="n">
        <v>1.7</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13259-2022</t>
        </is>
      </c>
      <c r="B1604" t="inlineStr">
        <is>
          <t>avverkningsanmälan</t>
        </is>
      </c>
      <c r="C1604" t="inlineStr">
        <is>
          <t>Föryngringsavverkning</t>
        </is>
      </c>
      <c r="D1604" s="1" t="n">
        <v>44644</v>
      </c>
      <c r="E1604" s="1" t="n">
        <v>46313</v>
      </c>
      <c r="F1604" t="inlineStr">
        <is>
          <t>SÖDERMANLANDS LÄN</t>
        </is>
      </c>
      <c r="G1604" t="inlineStr">
        <is>
          <t>STRÄNGNÄS</t>
        </is>
      </c>
      <c r="I1604" t="n">
        <v>3.6</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4391-2022</t>
        </is>
      </c>
      <c r="B1605" t="inlineStr">
        <is>
          <t>avverkningsanmälan</t>
        </is>
      </c>
      <c r="C1605" t="inlineStr">
        <is>
          <t>Föryngringsavverkning</t>
        </is>
      </c>
      <c r="D1605" s="1" t="n">
        <v>44589</v>
      </c>
      <c r="E1605" s="1" t="n">
        <v>46313</v>
      </c>
      <c r="F1605" t="inlineStr">
        <is>
          <t>SÖDERMANLANDS LÄN</t>
        </is>
      </c>
      <c r="G1605" t="inlineStr">
        <is>
          <t>GNESTA</t>
        </is>
      </c>
      <c r="I1605" t="n">
        <v>2.7</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66540-2021</t>
        </is>
      </c>
      <c r="B1606" t="inlineStr">
        <is>
          <t>avverkningsanmälan</t>
        </is>
      </c>
      <c r="C1606" t="inlineStr">
        <is>
          <t>Föryngringsavverkning</t>
        </is>
      </c>
      <c r="D1606" s="1" t="n">
        <v>44519</v>
      </c>
      <c r="E1606" s="1" t="n">
        <v>46313</v>
      </c>
      <c r="F1606" t="inlineStr">
        <is>
          <t>SÖDERMANLANDS LÄN</t>
        </is>
      </c>
      <c r="G1606" t="inlineStr">
        <is>
          <t>KATRINEHOLM</t>
        </is>
      </c>
      <c r="H1606" t="inlineStr">
        <is>
          <t>Holmen skog AB</t>
        </is>
      </c>
      <c r="I1606" t="n">
        <v>0.4</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45731-2025</t>
        </is>
      </c>
      <c r="B1607" t="inlineStr">
        <is>
          <t>avverkningsanmälan</t>
        </is>
      </c>
      <c r="C1607" t="inlineStr">
        <is>
          <t>Avverkning för annat ändamål</t>
        </is>
      </c>
      <c r="D1607" s="1" t="n">
        <v>45923</v>
      </c>
      <c r="E1607" s="1" t="n">
        <v>46313</v>
      </c>
      <c r="F1607" t="inlineStr">
        <is>
          <t>SÖDERMANLANDS LÄN</t>
        </is>
      </c>
      <c r="G1607" t="inlineStr">
        <is>
          <t>VINGÅKER</t>
        </is>
      </c>
      <c r="I1607" t="n">
        <v>1.5</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3112-2023</t>
        </is>
      </c>
      <c r="B1608" t="inlineStr">
        <is>
          <t>avverkningsanmälan</t>
        </is>
      </c>
      <c r="C1608" t="inlineStr">
        <is>
          <t>Föryngringsavverkning</t>
        </is>
      </c>
      <c r="D1608" s="1" t="n">
        <v>44946</v>
      </c>
      <c r="E1608" s="1" t="n">
        <v>46313</v>
      </c>
      <c r="F1608" t="inlineStr">
        <is>
          <t>SÖDERMANLANDS LÄN</t>
        </is>
      </c>
      <c r="G1608" t="inlineStr">
        <is>
          <t>ESKILSTUNA</t>
        </is>
      </c>
      <c r="I1608" t="n">
        <v>0.7</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3118-2023</t>
        </is>
      </c>
      <c r="B1609" t="inlineStr">
        <is>
          <t>avverkningsanmälan</t>
        </is>
      </c>
      <c r="C1609" t="inlineStr">
        <is>
          <t>Föryngringsavverkning</t>
        </is>
      </c>
      <c r="D1609" s="1" t="n">
        <v>44946</v>
      </c>
      <c r="E1609" s="1" t="n">
        <v>46313</v>
      </c>
      <c r="F1609" t="inlineStr">
        <is>
          <t>SÖDERMANLANDS LÄN</t>
        </is>
      </c>
      <c r="G1609" t="inlineStr">
        <is>
          <t>STRÄNGNÄS</t>
        </is>
      </c>
      <c r="I1609" t="n">
        <v>0.8</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21863-2026</t>
        </is>
      </c>
      <c r="B1610" t="inlineStr">
        <is>
          <t>avverkningsanmälan</t>
        </is>
      </c>
      <c r="C1610" t="inlineStr">
        <is>
          <t>Föryngringsavverkning</t>
        </is>
      </c>
      <c r="D1610" s="1" t="n">
        <v>46150</v>
      </c>
      <c r="E1610" s="1" t="n">
        <v>46313</v>
      </c>
      <c r="F1610" t="inlineStr">
        <is>
          <t>SÖDERMANLANDS LÄN</t>
        </is>
      </c>
      <c r="G1610" t="inlineStr">
        <is>
          <t>KATRINEHOLM</t>
        </is>
      </c>
      <c r="I1610" t="n">
        <v>6.8</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47845-2025</t>
        </is>
      </c>
      <c r="B1611" t="inlineStr">
        <is>
          <t>avverkningsanmälan</t>
        </is>
      </c>
      <c r="C1611" t="inlineStr">
        <is>
          <t>Föryngringsavverkning</t>
        </is>
      </c>
      <c r="D1611" s="1" t="n">
        <v>45931</v>
      </c>
      <c r="E1611" s="1" t="n">
        <v>46313</v>
      </c>
      <c r="F1611" t="inlineStr">
        <is>
          <t>SÖDERMANLANDS LÄN</t>
        </is>
      </c>
      <c r="G1611" t="inlineStr">
        <is>
          <t>ESKILSTUNA</t>
        </is>
      </c>
      <c r="I1611" t="n">
        <v>4.2</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35415-2025</t>
        </is>
      </c>
      <c r="B1612" t="inlineStr">
        <is>
          <t>avverkningsanmälan</t>
        </is>
      </c>
      <c r="C1612" t="inlineStr">
        <is>
          <t>Föryngringsavverkning</t>
        </is>
      </c>
      <c r="D1612" s="1" t="n">
        <v>45855</v>
      </c>
      <c r="E1612" s="1" t="n">
        <v>46313</v>
      </c>
      <c r="F1612" t="inlineStr">
        <is>
          <t>SÖDERMANLANDS LÄN</t>
        </is>
      </c>
      <c r="G1612" t="inlineStr">
        <is>
          <t>NYKÖPING</t>
        </is>
      </c>
      <c r="H1612" t="inlineStr">
        <is>
          <t>Holmen skog AB</t>
        </is>
      </c>
      <c r="I1612" t="n">
        <v>1.8</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48314-2025</t>
        </is>
      </c>
      <c r="B1613" t="inlineStr">
        <is>
          <t>avverkningsanmälan</t>
        </is>
      </c>
      <c r="C1613" t="inlineStr">
        <is>
          <t>Föryngringsavverkning</t>
        </is>
      </c>
      <c r="D1613" s="1" t="n">
        <v>45933</v>
      </c>
      <c r="E1613" s="1" t="n">
        <v>46313</v>
      </c>
      <c r="F1613" t="inlineStr">
        <is>
          <t>SÖDERMANLANDS LÄN</t>
        </is>
      </c>
      <c r="G1613" t="inlineStr">
        <is>
          <t>TROSA</t>
        </is>
      </c>
      <c r="I1613" t="n">
        <v>1</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35455-2025</t>
        </is>
      </c>
      <c r="B1614" t="inlineStr">
        <is>
          <t>avverkningsanmälan</t>
        </is>
      </c>
      <c r="C1614" t="inlineStr">
        <is>
          <t>Föryngringsavverkning</t>
        </is>
      </c>
      <c r="D1614" s="1" t="n">
        <v>45855</v>
      </c>
      <c r="E1614" s="1" t="n">
        <v>46313</v>
      </c>
      <c r="F1614" t="inlineStr">
        <is>
          <t>SÖDERMANLANDS LÄN</t>
        </is>
      </c>
      <c r="G1614" t="inlineStr">
        <is>
          <t>NYKÖPING</t>
        </is>
      </c>
      <c r="H1614" t="inlineStr">
        <is>
          <t>Holmen skog AB</t>
        </is>
      </c>
      <c r="I1614" t="n">
        <v>1</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21923-2026</t>
        </is>
      </c>
      <c r="B1615" t="inlineStr">
        <is>
          <t>avverkningsanmälan</t>
        </is>
      </c>
      <c r="C1615" t="inlineStr">
        <is>
          <t>Föryngringsavverkning</t>
        </is>
      </c>
      <c r="D1615" s="1" t="n">
        <v>46150</v>
      </c>
      <c r="E1615" s="1" t="n">
        <v>46313</v>
      </c>
      <c r="F1615" t="inlineStr">
        <is>
          <t>SÖDERMANLANDS LÄN</t>
        </is>
      </c>
      <c r="G1615" t="inlineStr">
        <is>
          <t>ESKILSTUNA</t>
        </is>
      </c>
      <c r="I1615" t="n">
        <v>2.2</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47989-2025</t>
        </is>
      </c>
      <c r="B1616" t="inlineStr">
        <is>
          <t>avverkningsanmälan</t>
        </is>
      </c>
      <c r="C1616" t="inlineStr">
        <is>
          <t>Föryngringsavverkning</t>
        </is>
      </c>
      <c r="D1616" s="1" t="n">
        <v>45932</v>
      </c>
      <c r="E1616" s="1" t="n">
        <v>46313</v>
      </c>
      <c r="F1616" t="inlineStr">
        <is>
          <t>SÖDERMANLANDS LÄN</t>
        </is>
      </c>
      <c r="G1616" t="inlineStr">
        <is>
          <t>FLEN</t>
        </is>
      </c>
      <c r="H1616" t="inlineStr">
        <is>
          <t>Holmen skog AB</t>
        </is>
      </c>
      <c r="I1616" t="n">
        <v>9.1</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35467-2025</t>
        </is>
      </c>
      <c r="B1617" t="inlineStr">
        <is>
          <t>avverkningsanmälan</t>
        </is>
      </c>
      <c r="C1617" t="inlineStr">
        <is>
          <t>Föryngringsavverkning</t>
        </is>
      </c>
      <c r="D1617" s="1" t="n">
        <v>45855</v>
      </c>
      <c r="E1617" s="1" t="n">
        <v>46313</v>
      </c>
      <c r="F1617" t="inlineStr">
        <is>
          <t>SÖDERMANLANDS LÄN</t>
        </is>
      </c>
      <c r="G1617" t="inlineStr">
        <is>
          <t>NYKÖPING</t>
        </is>
      </c>
      <c r="H1617" t="inlineStr">
        <is>
          <t>Holmen skog AB</t>
        </is>
      </c>
      <c r="I1617" t="n">
        <v>8</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22972-2023</t>
        </is>
      </c>
      <c r="B1618" t="inlineStr">
        <is>
          <t>avverkningsanmälan</t>
        </is>
      </c>
      <c r="C1618" t="inlineStr">
        <is>
          <t>Föryngringsavverkning</t>
        </is>
      </c>
      <c r="D1618" s="1" t="n">
        <v>45072</v>
      </c>
      <c r="E1618" s="1" t="n">
        <v>46313</v>
      </c>
      <c r="F1618" t="inlineStr">
        <is>
          <t>SÖDERMANLANDS LÄN</t>
        </is>
      </c>
      <c r="G1618" t="inlineStr">
        <is>
          <t>NYKÖPING</t>
        </is>
      </c>
      <c r="I1618" t="n">
        <v>4.1</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23001-2023</t>
        </is>
      </c>
      <c r="B1619" t="inlineStr">
        <is>
          <t>avverkningsanmälan</t>
        </is>
      </c>
      <c r="C1619" t="inlineStr">
        <is>
          <t>Föryngringsavverkning</t>
        </is>
      </c>
      <c r="D1619" s="1" t="n">
        <v>45072</v>
      </c>
      <c r="E1619" s="1" t="n">
        <v>46313</v>
      </c>
      <c r="F1619" t="inlineStr">
        <is>
          <t>SÖDERMANLANDS LÄN</t>
        </is>
      </c>
      <c r="G1619" t="inlineStr">
        <is>
          <t>STRÄNGNÄS</t>
        </is>
      </c>
      <c r="I1619" t="n">
        <v>1.8</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49223-2022</t>
        </is>
      </c>
      <c r="B1620" t="inlineStr">
        <is>
          <t>avverkningsanmälan</t>
        </is>
      </c>
      <c r="C1620" t="inlineStr">
        <is>
          <t>Föryngringsavverkning</t>
        </is>
      </c>
      <c r="D1620" s="1" t="n">
        <v>44858</v>
      </c>
      <c r="E1620" s="1" t="n">
        <v>46313</v>
      </c>
      <c r="F1620" t="inlineStr">
        <is>
          <t>SÖDERMANLANDS LÄN</t>
        </is>
      </c>
      <c r="G1620" t="inlineStr">
        <is>
          <t>NYKÖPING</t>
        </is>
      </c>
      <c r="H1620" t="inlineStr">
        <is>
          <t>Övriga statliga verk och myndigheter</t>
        </is>
      </c>
      <c r="I1620" t="n">
        <v>0.5</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25467-2023</t>
        </is>
      </c>
      <c r="B1621" t="inlineStr">
        <is>
          <t>avverkningsanmälan</t>
        </is>
      </c>
      <c r="C1621" t="inlineStr">
        <is>
          <t>Föryngringsavverkning</t>
        </is>
      </c>
      <c r="D1621" s="1" t="n">
        <v>45081</v>
      </c>
      <c r="E1621" s="1" t="n">
        <v>46313</v>
      </c>
      <c r="F1621" t="inlineStr">
        <is>
          <t>SÖDERMANLANDS LÄN</t>
        </is>
      </c>
      <c r="G1621" t="inlineStr">
        <is>
          <t>FLEN</t>
        </is>
      </c>
      <c r="I1621" t="n">
        <v>0.5</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25474-2023</t>
        </is>
      </c>
      <c r="B1622" t="inlineStr">
        <is>
          <t>avverkningsanmälan</t>
        </is>
      </c>
      <c r="C1622" t="inlineStr">
        <is>
          <t>Föryngringsavverkning</t>
        </is>
      </c>
      <c r="D1622" s="1" t="n">
        <v>45081</v>
      </c>
      <c r="E1622" s="1" t="n">
        <v>46313</v>
      </c>
      <c r="F1622" t="inlineStr">
        <is>
          <t>SÖDERMANLANDS LÄN</t>
        </is>
      </c>
      <c r="G1622" t="inlineStr">
        <is>
          <t>FLEN</t>
        </is>
      </c>
      <c r="I1622" t="n">
        <v>2</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34391-2024</t>
        </is>
      </c>
      <c r="B1623" t="inlineStr">
        <is>
          <t>avverkningsanmälan</t>
        </is>
      </c>
      <c r="C1623" t="inlineStr">
        <is>
          <t>Föryngringsavverkning</t>
        </is>
      </c>
      <c r="D1623" s="1" t="n">
        <v>45525</v>
      </c>
      <c r="E1623" s="1" t="n">
        <v>46313</v>
      </c>
      <c r="F1623" t="inlineStr">
        <is>
          <t>SÖDERMANLANDS LÄN</t>
        </is>
      </c>
      <c r="G1623" t="inlineStr">
        <is>
          <t>STRÄNGNÄS</t>
        </is>
      </c>
      <c r="I1623" t="n">
        <v>0.5</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10565-2023</t>
        </is>
      </c>
      <c r="B1624" t="inlineStr">
        <is>
          <t>avverkningsanmälan</t>
        </is>
      </c>
      <c r="C1624" t="inlineStr">
        <is>
          <t>Föryngringsavverkning</t>
        </is>
      </c>
      <c r="D1624" s="1" t="n">
        <v>44988</v>
      </c>
      <c r="E1624" s="1" t="n">
        <v>46313</v>
      </c>
      <c r="F1624" t="inlineStr">
        <is>
          <t>SÖDERMANLANDS LÄN</t>
        </is>
      </c>
      <c r="G1624" t="inlineStr">
        <is>
          <t>FLEN</t>
        </is>
      </c>
      <c r="H1624" t="inlineStr">
        <is>
          <t>Holmen skog AB</t>
        </is>
      </c>
      <c r="I1624" t="n">
        <v>1.3</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53119-2023</t>
        </is>
      </c>
      <c r="B1625" t="inlineStr">
        <is>
          <t>avverkningsanmälan</t>
        </is>
      </c>
      <c r="C1625" t="inlineStr">
        <is>
          <t>Föryngringsavverkning</t>
        </is>
      </c>
      <c r="D1625" s="1" t="n">
        <v>45228</v>
      </c>
      <c r="E1625" s="1" t="n">
        <v>46313</v>
      </c>
      <c r="F1625" t="inlineStr">
        <is>
          <t>SÖDERMANLANDS LÄN</t>
        </is>
      </c>
      <c r="G1625" t="inlineStr">
        <is>
          <t>FLEN</t>
        </is>
      </c>
      <c r="I1625" t="n">
        <v>0.5</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45766-2023</t>
        </is>
      </c>
      <c r="B1626" t="inlineStr">
        <is>
          <t>avverkningsanmälan</t>
        </is>
      </c>
      <c r="C1626" t="inlineStr">
        <is>
          <t>Föryngringsavverkning</t>
        </is>
      </c>
      <c r="D1626" s="1" t="n">
        <v>45195</v>
      </c>
      <c r="E1626" s="1" t="n">
        <v>46313</v>
      </c>
      <c r="F1626" t="inlineStr">
        <is>
          <t>SÖDERMANLANDS LÄN</t>
        </is>
      </c>
      <c r="G1626" t="inlineStr">
        <is>
          <t>GNESTA</t>
        </is>
      </c>
      <c r="I1626" t="n">
        <v>6.7</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46796-2023</t>
        </is>
      </c>
      <c r="B1627" t="inlineStr">
        <is>
          <t>avverkningsanmälan</t>
        </is>
      </c>
      <c r="C1627" t="inlineStr">
        <is>
          <t>Föryngringsavverkning</t>
        </is>
      </c>
      <c r="D1627" s="1" t="n">
        <v>45198</v>
      </c>
      <c r="E1627" s="1" t="n">
        <v>46313</v>
      </c>
      <c r="F1627" t="inlineStr">
        <is>
          <t>SÖDERMANLANDS LÄN</t>
        </is>
      </c>
      <c r="G1627" t="inlineStr">
        <is>
          <t>ESKILSTUNA</t>
        </is>
      </c>
      <c r="I1627" t="n">
        <v>1</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1670-2022</t>
        </is>
      </c>
      <c r="B1628" t="inlineStr">
        <is>
          <t>avverkningsanmälan</t>
        </is>
      </c>
      <c r="C1628" t="inlineStr">
        <is>
          <t>Föryngringsavverkning</t>
        </is>
      </c>
      <c r="D1628" s="1" t="n">
        <v>44573</v>
      </c>
      <c r="E1628" s="1" t="n">
        <v>46313</v>
      </c>
      <c r="F1628" t="inlineStr">
        <is>
          <t>SÖDERMANLANDS LÄN</t>
        </is>
      </c>
      <c r="G1628" t="inlineStr">
        <is>
          <t>VINGÅKER</t>
        </is>
      </c>
      <c r="I1628" t="n">
        <v>1</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28458-2023</t>
        </is>
      </c>
      <c r="B1629" t="inlineStr">
        <is>
          <t>avverkningsanmälan</t>
        </is>
      </c>
      <c r="C1629" t="inlineStr">
        <is>
          <t>Föryngringsavverkning</t>
        </is>
      </c>
      <c r="D1629" s="1" t="n">
        <v>45103</v>
      </c>
      <c r="E1629" s="1" t="n">
        <v>46313</v>
      </c>
      <c r="F1629" t="inlineStr">
        <is>
          <t>SÖDERMANLANDS LÄN</t>
        </is>
      </c>
      <c r="G1629" t="inlineStr">
        <is>
          <t>GNESTA</t>
        </is>
      </c>
      <c r="I1629" t="n">
        <v>6.4</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36613-2024</t>
        </is>
      </c>
      <c r="B1630" t="inlineStr">
        <is>
          <t>avverkningsanmälan</t>
        </is>
      </c>
      <c r="C1630" t="inlineStr">
        <is>
          <t>Föryngringsavverkning</t>
        </is>
      </c>
      <c r="D1630" s="1" t="n">
        <v>45537</v>
      </c>
      <c r="E1630" s="1" t="n">
        <v>46313</v>
      </c>
      <c r="F1630" t="inlineStr">
        <is>
          <t>SÖDERMANLANDS LÄN</t>
        </is>
      </c>
      <c r="G1630" t="inlineStr">
        <is>
          <t>ESKILSTUNA</t>
        </is>
      </c>
      <c r="I1630" t="n">
        <v>1.9</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61840-2022</t>
        </is>
      </c>
      <c r="B1631" t="inlineStr">
        <is>
          <t>avverkningsanmälan</t>
        </is>
      </c>
      <c r="C1631" t="inlineStr">
        <is>
          <t>Föryngringsavverkning</t>
        </is>
      </c>
      <c r="D1631" s="1" t="n">
        <v>44917</v>
      </c>
      <c r="E1631" s="1" t="n">
        <v>46313</v>
      </c>
      <c r="F1631" t="inlineStr">
        <is>
          <t>SÖDERMANLANDS LÄN</t>
        </is>
      </c>
      <c r="G1631" t="inlineStr">
        <is>
          <t>VINGÅKER</t>
        </is>
      </c>
      <c r="I1631" t="n">
        <v>0.4</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61842-2022</t>
        </is>
      </c>
      <c r="B1632" t="inlineStr">
        <is>
          <t>avverkningsanmälan</t>
        </is>
      </c>
      <c r="C1632" t="inlineStr">
        <is>
          <t>Föryngringsavverkning</t>
        </is>
      </c>
      <c r="D1632" s="1" t="n">
        <v>44917</v>
      </c>
      <c r="E1632" s="1" t="n">
        <v>46313</v>
      </c>
      <c r="F1632" t="inlineStr">
        <is>
          <t>SÖDERMANLANDS LÄN</t>
        </is>
      </c>
      <c r="G1632" t="inlineStr">
        <is>
          <t>VINGÅKER</t>
        </is>
      </c>
      <c r="I1632" t="n">
        <v>0.6</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15904-2023</t>
        </is>
      </c>
      <c r="B1633" t="inlineStr">
        <is>
          <t>avverkningsanmälan</t>
        </is>
      </c>
      <c r="C1633" t="inlineStr">
        <is>
          <t>Föryngringsavverkning</t>
        </is>
      </c>
      <c r="D1633" s="1" t="n">
        <v>45022</v>
      </c>
      <c r="E1633" s="1" t="n">
        <v>46313</v>
      </c>
      <c r="F1633" t="inlineStr">
        <is>
          <t>SÖDERMANLANDS LÄN</t>
        </is>
      </c>
      <c r="G1633" t="inlineStr">
        <is>
          <t>FLEN</t>
        </is>
      </c>
      <c r="I1633" t="n">
        <v>2</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8288-2023</t>
        </is>
      </c>
      <c r="B1634" t="inlineStr">
        <is>
          <t>avverkningsanmälan</t>
        </is>
      </c>
      <c r="C1634" t="inlineStr">
        <is>
          <t>Föryngringsavverkning</t>
        </is>
      </c>
      <c r="D1634" s="1" t="n">
        <v>44974</v>
      </c>
      <c r="E1634" s="1" t="n">
        <v>46313</v>
      </c>
      <c r="F1634" t="inlineStr">
        <is>
          <t>SÖDERMANLANDS LÄN</t>
        </is>
      </c>
      <c r="G1634" t="inlineStr">
        <is>
          <t>KATRINEHOLM</t>
        </is>
      </c>
      <c r="H1634" t="inlineStr">
        <is>
          <t>Allmännings- och besparingsskogar</t>
        </is>
      </c>
      <c r="I1634" t="n">
        <v>5.6</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6598-2024</t>
        </is>
      </c>
      <c r="B1635" t="inlineStr">
        <is>
          <t>avverkningsanmälan</t>
        </is>
      </c>
      <c r="C1635" t="inlineStr">
        <is>
          <t>Föryngringsavverkning</t>
        </is>
      </c>
      <c r="D1635" s="1" t="n">
        <v>45341</v>
      </c>
      <c r="E1635" s="1" t="n">
        <v>46313</v>
      </c>
      <c r="F1635" t="inlineStr">
        <is>
          <t>SÖDERMANLANDS LÄN</t>
        </is>
      </c>
      <c r="G1635" t="inlineStr">
        <is>
          <t>ESKILSTUNA</t>
        </is>
      </c>
      <c r="I1635" t="n">
        <v>2.4</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8006-2024</t>
        </is>
      </c>
      <c r="B1636" t="inlineStr">
        <is>
          <t>avverkningsanmälan</t>
        </is>
      </c>
      <c r="C1636" t="inlineStr">
        <is>
          <t>Föryngringsavverkning</t>
        </is>
      </c>
      <c r="D1636" s="1" t="n">
        <v>45350</v>
      </c>
      <c r="E1636" s="1" t="n">
        <v>46313</v>
      </c>
      <c r="F1636" t="inlineStr">
        <is>
          <t>SÖDERMANLANDS LÄN</t>
        </is>
      </c>
      <c r="G1636" t="inlineStr">
        <is>
          <t>NYKÖPING</t>
        </is>
      </c>
      <c r="I1636" t="n">
        <v>2.8</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28582-2023</t>
        </is>
      </c>
      <c r="B1637" t="inlineStr">
        <is>
          <t>avverkningsanmälan</t>
        </is>
      </c>
      <c r="C1637" t="inlineStr">
        <is>
          <t>Föryngringsavverkning</t>
        </is>
      </c>
      <c r="D1637" s="1" t="n">
        <v>45103</v>
      </c>
      <c r="E1637" s="1" t="n">
        <v>46313</v>
      </c>
      <c r="F1637" t="inlineStr">
        <is>
          <t>SÖDERMANLANDS LÄN</t>
        </is>
      </c>
      <c r="G1637" t="inlineStr">
        <is>
          <t>ESKILSTUNA</t>
        </is>
      </c>
      <c r="H1637" t="inlineStr">
        <is>
          <t>Sveaskog</t>
        </is>
      </c>
      <c r="I1637" t="n">
        <v>1.4</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58631-2024</t>
        </is>
      </c>
      <c r="B1638" t="inlineStr">
        <is>
          <t>avverkningsanmälan</t>
        </is>
      </c>
      <c r="C1638" t="inlineStr">
        <is>
          <t>Föryngringsavverkning</t>
        </is>
      </c>
      <c r="D1638" s="1" t="n">
        <v>45632</v>
      </c>
      <c r="E1638" s="1" t="n">
        <v>46313</v>
      </c>
      <c r="F1638" t="inlineStr">
        <is>
          <t>SÖDERMANLANDS LÄN</t>
        </is>
      </c>
      <c r="G1638" t="inlineStr">
        <is>
          <t>FLEN</t>
        </is>
      </c>
      <c r="I1638" t="n">
        <v>0.4</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15897-2023</t>
        </is>
      </c>
      <c r="B1639" t="inlineStr">
        <is>
          <t>avverkningsanmälan</t>
        </is>
      </c>
      <c r="C1639" t="inlineStr">
        <is>
          <t>Föryngringsavverkning</t>
        </is>
      </c>
      <c r="D1639" s="1" t="n">
        <v>45022</v>
      </c>
      <c r="E1639" s="1" t="n">
        <v>46313</v>
      </c>
      <c r="F1639" t="inlineStr">
        <is>
          <t>SÖDERMANLANDS LÄN</t>
        </is>
      </c>
      <c r="G1639" t="inlineStr">
        <is>
          <t>FLEN</t>
        </is>
      </c>
      <c r="I1639" t="n">
        <v>2.6</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26561-2023</t>
        </is>
      </c>
      <c r="B1640" t="inlineStr">
        <is>
          <t>avverkningsanmälan</t>
        </is>
      </c>
      <c r="C1640" t="inlineStr">
        <is>
          <t>Föryngringsavverkning</t>
        </is>
      </c>
      <c r="D1640" s="1" t="n">
        <v>45092</v>
      </c>
      <c r="E1640" s="1" t="n">
        <v>46313</v>
      </c>
      <c r="F1640" t="inlineStr">
        <is>
          <t>SÖDERMANLANDS LÄN</t>
        </is>
      </c>
      <c r="G1640" t="inlineStr">
        <is>
          <t>NYKÖPING</t>
        </is>
      </c>
      <c r="I1640" t="n">
        <v>4.1</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5788-2022</t>
        </is>
      </c>
      <c r="B1641" t="inlineStr">
        <is>
          <t>avverkningsanmälan</t>
        </is>
      </c>
      <c r="C1641" t="inlineStr">
        <is>
          <t>Föryngringsavverkning</t>
        </is>
      </c>
      <c r="D1641" s="1" t="n">
        <v>44596</v>
      </c>
      <c r="E1641" s="1" t="n">
        <v>46313</v>
      </c>
      <c r="F1641" t="inlineStr">
        <is>
          <t>SÖDERMANLANDS LÄN</t>
        </is>
      </c>
      <c r="G1641" t="inlineStr">
        <is>
          <t>KATRINEHOLM</t>
        </is>
      </c>
      <c r="I1641" t="n">
        <v>4.1</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5790-2022</t>
        </is>
      </c>
      <c r="B1642" t="inlineStr">
        <is>
          <t>avverkningsanmälan</t>
        </is>
      </c>
      <c r="C1642" t="inlineStr">
        <is>
          <t>Föryngringsavverkning</t>
        </is>
      </c>
      <c r="D1642" s="1" t="n">
        <v>44596</v>
      </c>
      <c r="E1642" s="1" t="n">
        <v>46313</v>
      </c>
      <c r="F1642" t="inlineStr">
        <is>
          <t>SÖDERMANLANDS LÄN</t>
        </is>
      </c>
      <c r="G1642" t="inlineStr">
        <is>
          <t>KATRINEHOLM</t>
        </is>
      </c>
      <c r="I1642" t="n">
        <v>0.6</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12144-2025</t>
        </is>
      </c>
      <c r="B1643" t="inlineStr">
        <is>
          <t>avverkningsanmälan</t>
        </is>
      </c>
      <c r="C1643" t="inlineStr">
        <is>
          <t>Föryngringsavverkning</t>
        </is>
      </c>
      <c r="D1643" s="1" t="n">
        <v>45729</v>
      </c>
      <c r="E1643" s="1" t="n">
        <v>46313</v>
      </c>
      <c r="F1643" t="inlineStr">
        <is>
          <t>SÖDERMANLANDS LÄN</t>
        </is>
      </c>
      <c r="G1643" t="inlineStr">
        <is>
          <t>NYKÖPING</t>
        </is>
      </c>
      <c r="I1643" t="n">
        <v>1.4</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55169-2022</t>
        </is>
      </c>
      <c r="B1644" t="inlineStr">
        <is>
          <t>avverkningsanmälan</t>
        </is>
      </c>
      <c r="C1644" t="inlineStr">
        <is>
          <t>Föryngringsavverkning</t>
        </is>
      </c>
      <c r="D1644" s="1" t="n">
        <v>44886</v>
      </c>
      <c r="E1644" s="1" t="n">
        <v>46313</v>
      </c>
      <c r="F1644" t="inlineStr">
        <is>
          <t>SÖDERMANLANDS LÄN</t>
        </is>
      </c>
      <c r="G1644" t="inlineStr">
        <is>
          <t>KATRINEHOLM</t>
        </is>
      </c>
      <c r="I1644" t="n">
        <v>1.3</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48875-2023</t>
        </is>
      </c>
      <c r="B1645" t="inlineStr">
        <is>
          <t>avverkningsanmälan</t>
        </is>
      </c>
      <c r="C1645" t="inlineStr">
        <is>
          <t>Föryngringsavverkning</t>
        </is>
      </c>
      <c r="D1645" s="1" t="n">
        <v>45204</v>
      </c>
      <c r="E1645" s="1" t="n">
        <v>46313</v>
      </c>
      <c r="F1645" t="inlineStr">
        <is>
          <t>SÖDERMANLANDS LÄN</t>
        </is>
      </c>
      <c r="G1645" t="inlineStr">
        <is>
          <t>STRÄNGNÄS</t>
        </is>
      </c>
      <c r="I1645" t="n">
        <v>1.7</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44788-2022</t>
        </is>
      </c>
      <c r="B1646" t="inlineStr">
        <is>
          <t>avverkningsanmälan</t>
        </is>
      </c>
      <c r="C1646" t="inlineStr">
        <is>
          <t>Föryngringsavverkning</t>
        </is>
      </c>
      <c r="D1646" s="1" t="n">
        <v>44839</v>
      </c>
      <c r="E1646" s="1" t="n">
        <v>46313</v>
      </c>
      <c r="F1646" t="inlineStr">
        <is>
          <t>SÖDERMANLANDS LÄN</t>
        </is>
      </c>
      <c r="G1646" t="inlineStr">
        <is>
          <t>GNESTA</t>
        </is>
      </c>
      <c r="I1646" t="n">
        <v>7</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59258-2022</t>
        </is>
      </c>
      <c r="B1647" t="inlineStr">
        <is>
          <t>avverkningsanmälan</t>
        </is>
      </c>
      <c r="C1647" t="inlineStr">
        <is>
          <t>Föryngringsavverkning</t>
        </is>
      </c>
      <c r="D1647" s="1" t="n">
        <v>44897</v>
      </c>
      <c r="E1647" s="1" t="n">
        <v>46313</v>
      </c>
      <c r="F1647" t="inlineStr">
        <is>
          <t>SÖDERMANLANDS LÄN</t>
        </is>
      </c>
      <c r="G1647" t="inlineStr">
        <is>
          <t>FLEN</t>
        </is>
      </c>
      <c r="H1647" t="inlineStr">
        <is>
          <t>Övriga statliga verk och myndigheter</t>
        </is>
      </c>
      <c r="I1647" t="n">
        <v>1</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36333-2023</t>
        </is>
      </c>
      <c r="B1648" t="inlineStr">
        <is>
          <t>avverkningsanmälan</t>
        </is>
      </c>
      <c r="C1648" t="inlineStr">
        <is>
          <t>Föryngringsavverkning</t>
        </is>
      </c>
      <c r="D1648" s="1" t="n">
        <v>45152</v>
      </c>
      <c r="E1648" s="1" t="n">
        <v>46313</v>
      </c>
      <c r="F1648" t="inlineStr">
        <is>
          <t>SÖDERMANLANDS LÄN</t>
        </is>
      </c>
      <c r="G1648" t="inlineStr">
        <is>
          <t>GNESTA</t>
        </is>
      </c>
      <c r="I1648" t="n">
        <v>4.9</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13612-2023</t>
        </is>
      </c>
      <c r="B1649" t="inlineStr">
        <is>
          <t>avverkningsanmälan</t>
        </is>
      </c>
      <c r="C1649" t="inlineStr">
        <is>
          <t>Avverkning för annat ändamål</t>
        </is>
      </c>
      <c r="D1649" s="1" t="n">
        <v>45006</v>
      </c>
      <c r="E1649" s="1" t="n">
        <v>46313</v>
      </c>
      <c r="F1649" t="inlineStr">
        <is>
          <t>SÖDERMANLANDS LÄN</t>
        </is>
      </c>
      <c r="G1649" t="inlineStr">
        <is>
          <t>KATRINEHOLM</t>
        </is>
      </c>
      <c r="I1649" t="n">
        <v>2.3</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13613-2023</t>
        </is>
      </c>
      <c r="B1650" t="inlineStr">
        <is>
          <t>avverkningsanmälan</t>
        </is>
      </c>
      <c r="C1650" t="inlineStr">
        <is>
          <t>Föryngringsavverkning</t>
        </is>
      </c>
      <c r="D1650" s="1" t="n">
        <v>45006</v>
      </c>
      <c r="E1650" s="1" t="n">
        <v>46313</v>
      </c>
      <c r="F1650" t="inlineStr">
        <is>
          <t>SÖDERMANLANDS LÄN</t>
        </is>
      </c>
      <c r="G1650" t="inlineStr">
        <is>
          <t>STRÄNGNÄS</t>
        </is>
      </c>
      <c r="I1650" t="n">
        <v>0.9</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1458-2025</t>
        </is>
      </c>
      <c r="B1651" t="inlineStr">
        <is>
          <t>avverkningsanmälan</t>
        </is>
      </c>
      <c r="C1651" t="inlineStr">
        <is>
          <t>Föryngringsavverkning</t>
        </is>
      </c>
      <c r="D1651" s="1" t="n">
        <v>45670</v>
      </c>
      <c r="E1651" s="1" t="n">
        <v>46313</v>
      </c>
      <c r="F1651" t="inlineStr">
        <is>
          <t>SÖDERMANLANDS LÄN</t>
        </is>
      </c>
      <c r="G1651" t="inlineStr">
        <is>
          <t>ESKILSTUNA</t>
        </is>
      </c>
      <c r="I1651" t="n">
        <v>1.2</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65153-2023</t>
        </is>
      </c>
      <c r="B1652" t="inlineStr">
        <is>
          <t>avverkningsanmälan</t>
        </is>
      </c>
      <c r="C1652" t="inlineStr">
        <is>
          <t>Föryngringsavverkning</t>
        </is>
      </c>
      <c r="D1652" s="1" t="n">
        <v>45288</v>
      </c>
      <c r="E1652" s="1" t="n">
        <v>46313</v>
      </c>
      <c r="F1652" t="inlineStr">
        <is>
          <t>SÖDERMANLANDS LÄN</t>
        </is>
      </c>
      <c r="G1652" t="inlineStr">
        <is>
          <t>STRÄNGNÄS</t>
        </is>
      </c>
      <c r="I1652" t="n">
        <v>2.6</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27944-2023</t>
        </is>
      </c>
      <c r="B1653" t="inlineStr">
        <is>
          <t>avverkningsanmälan</t>
        </is>
      </c>
      <c r="C1653" t="inlineStr">
        <is>
          <t>Föryngringsavverkning</t>
        </is>
      </c>
      <c r="D1653" s="1" t="n">
        <v>45098</v>
      </c>
      <c r="E1653" s="1" t="n">
        <v>46313</v>
      </c>
      <c r="F1653" t="inlineStr">
        <is>
          <t>SÖDERMANLANDS LÄN</t>
        </is>
      </c>
      <c r="G1653" t="inlineStr">
        <is>
          <t>NYKÖPING</t>
        </is>
      </c>
      <c r="I1653" t="n">
        <v>0.5</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49613-2025</t>
        </is>
      </c>
      <c r="B1654" t="inlineStr">
        <is>
          <t>avverkningsanmälan</t>
        </is>
      </c>
      <c r="C1654" t="inlineStr">
        <is>
          <t>Föryngringsavverkning</t>
        </is>
      </c>
      <c r="D1654" s="1" t="n">
        <v>45938</v>
      </c>
      <c r="E1654" s="1" t="n">
        <v>46313</v>
      </c>
      <c r="F1654" t="inlineStr">
        <is>
          <t>SÖDERMANLANDS LÄN</t>
        </is>
      </c>
      <c r="G1654" t="inlineStr">
        <is>
          <t>NYKÖPING</t>
        </is>
      </c>
      <c r="I1654" t="n">
        <v>1.3</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4249-2023</t>
        </is>
      </c>
      <c r="B1655" t="inlineStr">
        <is>
          <t>avverkningsanmälan</t>
        </is>
      </c>
      <c r="C1655" t="inlineStr">
        <is>
          <t>Föryngringsavverkning</t>
        </is>
      </c>
      <c r="D1655" s="1" t="n">
        <v>44953</v>
      </c>
      <c r="E1655" s="1" t="n">
        <v>46313</v>
      </c>
      <c r="F1655" t="inlineStr">
        <is>
          <t>SÖDERMANLANDS LÄN</t>
        </is>
      </c>
      <c r="G1655" t="inlineStr">
        <is>
          <t>ESKILSTUNA</t>
        </is>
      </c>
      <c r="H1655" t="inlineStr">
        <is>
          <t>Allmännings- och besparingsskogar</t>
        </is>
      </c>
      <c r="I1655" t="n">
        <v>1.4</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7747-2024</t>
        </is>
      </c>
      <c r="B1656" t="inlineStr">
        <is>
          <t>avverkningsanmälan</t>
        </is>
      </c>
      <c r="C1656" t="inlineStr">
        <is>
          <t>Föryngringsavverkning</t>
        </is>
      </c>
      <c r="D1656" s="1" t="n">
        <v>45348</v>
      </c>
      <c r="E1656" s="1" t="n">
        <v>46313</v>
      </c>
      <c r="F1656" t="inlineStr">
        <is>
          <t>SÖDERMANLANDS LÄN</t>
        </is>
      </c>
      <c r="G1656" t="inlineStr">
        <is>
          <t>KATRINEHOLM</t>
        </is>
      </c>
      <c r="I1656" t="n">
        <v>1.1</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58806-2023</t>
        </is>
      </c>
      <c r="B1657" t="inlineStr">
        <is>
          <t>avverkningsanmälan</t>
        </is>
      </c>
      <c r="C1657" t="inlineStr">
        <is>
          <t>Föryngringsavverkning</t>
        </is>
      </c>
      <c r="D1657" s="1" t="n">
        <v>45247</v>
      </c>
      <c r="E1657" s="1" t="n">
        <v>46313</v>
      </c>
      <c r="F1657" t="inlineStr">
        <is>
          <t>SÖDERMANLANDS LÄN</t>
        </is>
      </c>
      <c r="G1657" t="inlineStr">
        <is>
          <t>VINGÅKER</t>
        </is>
      </c>
      <c r="I1657" t="n">
        <v>1.6</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52663-2023</t>
        </is>
      </c>
      <c r="B1658" t="inlineStr">
        <is>
          <t>avverkningsanmälan</t>
        </is>
      </c>
      <c r="C1658" t="inlineStr">
        <is>
          <t>Föryngringsavverkning</t>
        </is>
      </c>
      <c r="D1658" s="1" t="n">
        <v>45225</v>
      </c>
      <c r="E1658" s="1" t="n">
        <v>46313</v>
      </c>
      <c r="F1658" t="inlineStr">
        <is>
          <t>SÖDERMANLANDS LÄN</t>
        </is>
      </c>
      <c r="G1658" t="inlineStr">
        <is>
          <t>ESKILSTUNA</t>
        </is>
      </c>
      <c r="I1658" t="n">
        <v>2.1</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32023-2022</t>
        </is>
      </c>
      <c r="B1659" t="inlineStr">
        <is>
          <t>avverkningsanmälan</t>
        </is>
      </c>
      <c r="C1659" t="inlineStr">
        <is>
          <t>Föryngringsavverkning</t>
        </is>
      </c>
      <c r="D1659" s="1" t="n">
        <v>44778</v>
      </c>
      <c r="E1659" s="1" t="n">
        <v>46313</v>
      </c>
      <c r="F1659" t="inlineStr">
        <is>
          <t>SÖDERMANLANDS LÄN</t>
        </is>
      </c>
      <c r="G1659" t="inlineStr">
        <is>
          <t>FLEN</t>
        </is>
      </c>
      <c r="I1659" t="n">
        <v>1.7</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37197-2025</t>
        </is>
      </c>
      <c r="B1660" t="inlineStr">
        <is>
          <t>avverkningsanmälan</t>
        </is>
      </c>
      <c r="C1660" t="inlineStr">
        <is>
          <t>Föryngringsavverkning</t>
        </is>
      </c>
      <c r="D1660" s="1" t="n">
        <v>45875</v>
      </c>
      <c r="E1660" s="1" t="n">
        <v>46313</v>
      </c>
      <c r="F1660" t="inlineStr">
        <is>
          <t>SÖDERMANLANDS LÄN</t>
        </is>
      </c>
      <c r="G1660" t="inlineStr">
        <is>
          <t>GNESTA</t>
        </is>
      </c>
      <c r="I1660" t="n">
        <v>3.9</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50340-2025</t>
        </is>
      </c>
      <c r="B1661" t="inlineStr">
        <is>
          <t>avverkningsanmälan</t>
        </is>
      </c>
      <c r="C1661" t="inlineStr">
        <is>
          <t>Föryngringsavverkning</t>
        </is>
      </c>
      <c r="D1661" s="1" t="n">
        <v>45944</v>
      </c>
      <c r="E1661" s="1" t="n">
        <v>46313</v>
      </c>
      <c r="F1661" t="inlineStr">
        <is>
          <t>SÖDERMANLANDS LÄN</t>
        </is>
      </c>
      <c r="G1661" t="inlineStr">
        <is>
          <t>NYKÖPING</t>
        </is>
      </c>
      <c r="I1661" t="n">
        <v>3.6</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4650-2024</t>
        </is>
      </c>
      <c r="B1662" t="inlineStr">
        <is>
          <t>avverkningsanmälan</t>
        </is>
      </c>
      <c r="C1662" t="inlineStr">
        <is>
          <t>Föryngringsavverkning</t>
        </is>
      </c>
      <c r="D1662" s="1" t="n">
        <v>45328</v>
      </c>
      <c r="E1662" s="1" t="n">
        <v>46313</v>
      </c>
      <c r="F1662" t="inlineStr">
        <is>
          <t>SÖDERMANLANDS LÄN</t>
        </is>
      </c>
      <c r="G1662" t="inlineStr">
        <is>
          <t>KATRINEHOLM</t>
        </is>
      </c>
      <c r="I1662" t="n">
        <v>0.6</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4652-2024</t>
        </is>
      </c>
      <c r="B1663" t="inlineStr">
        <is>
          <t>avverkningsanmälan</t>
        </is>
      </c>
      <c r="C1663" t="inlineStr">
        <is>
          <t>Föryngringsavverkning</t>
        </is>
      </c>
      <c r="D1663" s="1" t="n">
        <v>45328</v>
      </c>
      <c r="E1663" s="1" t="n">
        <v>46313</v>
      </c>
      <c r="F1663" t="inlineStr">
        <is>
          <t>SÖDERMANLANDS LÄN</t>
        </is>
      </c>
      <c r="G1663" t="inlineStr">
        <is>
          <t>KATRINEHOLM</t>
        </is>
      </c>
      <c r="H1663" t="inlineStr">
        <is>
          <t>Övriga Aktiebolag</t>
        </is>
      </c>
      <c r="I1663" t="n">
        <v>6.1</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42516-2022</t>
        </is>
      </c>
      <c r="B1664" t="inlineStr">
        <is>
          <t>avverkningsanmälan</t>
        </is>
      </c>
      <c r="C1664" t="inlineStr">
        <is>
          <t>Föryngringsavverkning</t>
        </is>
      </c>
      <c r="D1664" s="1" t="n">
        <v>44831</v>
      </c>
      <c r="E1664" s="1" t="n">
        <v>46313</v>
      </c>
      <c r="F1664" t="inlineStr">
        <is>
          <t>SÖDERMANLANDS LÄN</t>
        </is>
      </c>
      <c r="G1664" t="inlineStr">
        <is>
          <t>GNESTA</t>
        </is>
      </c>
      <c r="I1664" t="n">
        <v>2.8</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50874-2025</t>
        </is>
      </c>
      <c r="B1665" t="inlineStr">
        <is>
          <t>avverkningsanmälan</t>
        </is>
      </c>
      <c r="C1665" t="inlineStr">
        <is>
          <t>Föryngringsavverkning</t>
        </is>
      </c>
      <c r="D1665" s="1" t="n">
        <v>45946</v>
      </c>
      <c r="E1665" s="1" t="n">
        <v>46313</v>
      </c>
      <c r="F1665" t="inlineStr">
        <is>
          <t>SÖDERMANLANDS LÄN</t>
        </is>
      </c>
      <c r="G1665" t="inlineStr">
        <is>
          <t>NYKÖPING</t>
        </is>
      </c>
      <c r="H1665" t="inlineStr">
        <is>
          <t>Holmen skog AB</t>
        </is>
      </c>
      <c r="I1665" t="n">
        <v>2.5</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16072-2023</t>
        </is>
      </c>
      <c r="B1666" t="inlineStr">
        <is>
          <t>avverkningsanmälan</t>
        </is>
      </c>
      <c r="C1666" t="inlineStr">
        <is>
          <t>Föryngringsavverkning</t>
        </is>
      </c>
      <c r="D1666" s="1" t="n">
        <v>45027</v>
      </c>
      <c r="E1666" s="1" t="n">
        <v>46313</v>
      </c>
      <c r="F1666" t="inlineStr">
        <is>
          <t>SÖDERMANLANDS LÄN</t>
        </is>
      </c>
      <c r="G1666" t="inlineStr">
        <is>
          <t>NYKÖPING</t>
        </is>
      </c>
      <c r="I1666" t="n">
        <v>2.7</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65066-2023</t>
        </is>
      </c>
      <c r="B1667" t="inlineStr">
        <is>
          <t>avverkningsanmälan</t>
        </is>
      </c>
      <c r="C1667" t="inlineStr">
        <is>
          <t>Föryngringsavverkning</t>
        </is>
      </c>
      <c r="D1667" s="1" t="n">
        <v>45285</v>
      </c>
      <c r="E1667" s="1" t="n">
        <v>46313</v>
      </c>
      <c r="F1667" t="inlineStr">
        <is>
          <t>SÖDERMANLANDS LÄN</t>
        </is>
      </c>
      <c r="G1667" t="inlineStr">
        <is>
          <t>VINGÅKER</t>
        </is>
      </c>
      <c r="I1667" t="n">
        <v>1.2</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6405-2023</t>
        </is>
      </c>
      <c r="B1668" t="inlineStr">
        <is>
          <t>avverkningsanmälan</t>
        </is>
      </c>
      <c r="C1668" t="inlineStr">
        <is>
          <t>Föryngringsavverkning</t>
        </is>
      </c>
      <c r="D1668" s="1" t="n">
        <v>44965</v>
      </c>
      <c r="E1668" s="1" t="n">
        <v>46313</v>
      </c>
      <c r="F1668" t="inlineStr">
        <is>
          <t>SÖDERMANLANDS LÄN</t>
        </is>
      </c>
      <c r="G1668" t="inlineStr">
        <is>
          <t>ESKILSTUNA</t>
        </is>
      </c>
      <c r="I1668" t="n">
        <v>1.5</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18204-2025</t>
        </is>
      </c>
      <c r="B1669" t="inlineStr">
        <is>
          <t>avverkningsanmälan</t>
        </is>
      </c>
      <c r="C1669" t="inlineStr">
        <is>
          <t>Föryngringsavverkning</t>
        </is>
      </c>
      <c r="D1669" s="1" t="n">
        <v>45761</v>
      </c>
      <c r="E1669" s="1" t="n">
        <v>46313</v>
      </c>
      <c r="F1669" t="inlineStr">
        <is>
          <t>SÖDERMANLANDS LÄN</t>
        </is>
      </c>
      <c r="G1669" t="inlineStr">
        <is>
          <t>NYKÖPING</t>
        </is>
      </c>
      <c r="I1669" t="n">
        <v>2.7</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50727-2025</t>
        </is>
      </c>
      <c r="B1670" t="inlineStr">
        <is>
          <t>avverkningsanmälan</t>
        </is>
      </c>
      <c r="C1670" t="inlineStr">
        <is>
          <t>Föryngringsavverkning</t>
        </is>
      </c>
      <c r="D1670" s="1" t="n">
        <v>45946</v>
      </c>
      <c r="E1670" s="1" t="n">
        <v>46313</v>
      </c>
      <c r="F1670" t="inlineStr">
        <is>
          <t>SÖDERMANLANDS LÄN</t>
        </is>
      </c>
      <c r="G1670" t="inlineStr">
        <is>
          <t>FLEN</t>
        </is>
      </c>
      <c r="I1670" t="n">
        <v>0.7</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7008-2024</t>
        </is>
      </c>
      <c r="B1671" t="inlineStr">
        <is>
          <t>avverkningsanmälan</t>
        </is>
      </c>
      <c r="C1671" t="inlineStr">
        <is>
          <t>Föryngringsavverkning</t>
        </is>
      </c>
      <c r="D1671" s="1" t="n">
        <v>45343</v>
      </c>
      <c r="E1671" s="1" t="n">
        <v>46313</v>
      </c>
      <c r="F1671" t="inlineStr">
        <is>
          <t>SÖDERMANLANDS LÄN</t>
        </is>
      </c>
      <c r="G1671" t="inlineStr">
        <is>
          <t>NYKÖPING</t>
        </is>
      </c>
      <c r="H1671" t="inlineStr">
        <is>
          <t>Holmen skog AB</t>
        </is>
      </c>
      <c r="I1671" t="n">
        <v>0.9</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55824-2023</t>
        </is>
      </c>
      <c r="B1672" t="inlineStr">
        <is>
          <t>avverkningsanmälan</t>
        </is>
      </c>
      <c r="C1672" t="inlineStr">
        <is>
          <t>Föryngringsavverkning</t>
        </is>
      </c>
      <c r="D1672" s="1" t="n">
        <v>45239</v>
      </c>
      <c r="E1672" s="1" t="n">
        <v>46313</v>
      </c>
      <c r="F1672" t="inlineStr">
        <is>
          <t>SÖDERMANLANDS LÄN</t>
        </is>
      </c>
      <c r="G1672" t="inlineStr">
        <is>
          <t>VINGÅKER</t>
        </is>
      </c>
      <c r="I1672" t="n">
        <v>0.8</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32166-2022</t>
        </is>
      </c>
      <c r="B1673" t="inlineStr">
        <is>
          <t>avverkningsanmälan</t>
        </is>
      </c>
      <c r="C1673" t="inlineStr">
        <is>
          <t>Föryngringsavverkning</t>
        </is>
      </c>
      <c r="D1673" s="1" t="n">
        <v>44781</v>
      </c>
      <c r="E1673" s="1" t="n">
        <v>46313</v>
      </c>
      <c r="F1673" t="inlineStr">
        <is>
          <t>SÖDERMANLANDS LÄN</t>
        </is>
      </c>
      <c r="G1673" t="inlineStr">
        <is>
          <t>KATRINEHOLM</t>
        </is>
      </c>
      <c r="H1673" t="inlineStr">
        <is>
          <t>Kommuner</t>
        </is>
      </c>
      <c r="I1673" t="n">
        <v>0.5</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59384-2022</t>
        </is>
      </c>
      <c r="B1674" t="inlineStr">
        <is>
          <t>avverkningsanmälan</t>
        </is>
      </c>
      <c r="C1674" t="inlineStr">
        <is>
          <t>Föryngringsavverkning</t>
        </is>
      </c>
      <c r="D1674" s="1" t="n">
        <v>44905</v>
      </c>
      <c r="E1674" s="1" t="n">
        <v>46313</v>
      </c>
      <c r="F1674" t="inlineStr">
        <is>
          <t>SÖDERMANLANDS LÄN</t>
        </is>
      </c>
      <c r="G1674" t="inlineStr">
        <is>
          <t>KATRINEHOLM</t>
        </is>
      </c>
      <c r="I1674" t="n">
        <v>0.6</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35495-2023</t>
        </is>
      </c>
      <c r="B1675" t="inlineStr">
        <is>
          <t>avverkningsanmälan</t>
        </is>
      </c>
      <c r="C1675" t="inlineStr">
        <is>
          <t>Föryngringsavverkning</t>
        </is>
      </c>
      <c r="D1675" s="1" t="n">
        <v>45146</v>
      </c>
      <c r="E1675" s="1" t="n">
        <v>46313</v>
      </c>
      <c r="F1675" t="inlineStr">
        <is>
          <t>SÖDERMANLANDS LÄN</t>
        </is>
      </c>
      <c r="G1675" t="inlineStr">
        <is>
          <t>STRÄNGNÄS</t>
        </is>
      </c>
      <c r="I1675" t="n">
        <v>7.4</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326-2022</t>
        </is>
      </c>
      <c r="B1676" t="inlineStr">
        <is>
          <t>avverkningsanmälan</t>
        </is>
      </c>
      <c r="C1676" t="inlineStr">
        <is>
          <t>Föryngringsavverkning</t>
        </is>
      </c>
      <c r="D1676" s="1" t="n">
        <v>44565</v>
      </c>
      <c r="E1676" s="1" t="n">
        <v>46313</v>
      </c>
      <c r="F1676" t="inlineStr">
        <is>
          <t>SÖDERMANLANDS LÄN</t>
        </is>
      </c>
      <c r="G1676" t="inlineStr">
        <is>
          <t>VINGÅKER</t>
        </is>
      </c>
      <c r="I1676" t="n">
        <v>1</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10996-2022</t>
        </is>
      </c>
      <c r="B1677" t="inlineStr">
        <is>
          <t>avverkningsanmälan</t>
        </is>
      </c>
      <c r="C1677" t="inlineStr">
        <is>
          <t>Föryngringsavverkning</t>
        </is>
      </c>
      <c r="D1677" s="1" t="n">
        <v>44628</v>
      </c>
      <c r="E1677" s="1" t="n">
        <v>46313</v>
      </c>
      <c r="F1677" t="inlineStr">
        <is>
          <t>SÖDERMANLANDS LÄN</t>
        </is>
      </c>
      <c r="G1677" t="inlineStr">
        <is>
          <t>KATRINEHOLM</t>
        </is>
      </c>
      <c r="I1677" t="n">
        <v>0.3</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2543-2023</t>
        </is>
      </c>
      <c r="B1678" t="inlineStr">
        <is>
          <t>avverkningsanmälan</t>
        </is>
      </c>
      <c r="C1678" t="inlineStr">
        <is>
          <t>Föryngringsavverkning</t>
        </is>
      </c>
      <c r="D1678" s="1" t="n">
        <v>44943</v>
      </c>
      <c r="E1678" s="1" t="n">
        <v>46313</v>
      </c>
      <c r="F1678" t="inlineStr">
        <is>
          <t>SÖDERMANLANDS LÄN</t>
        </is>
      </c>
      <c r="G1678" t="inlineStr">
        <is>
          <t>NYKÖPING</t>
        </is>
      </c>
      <c r="I1678" t="n">
        <v>0.5</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2544-2023</t>
        </is>
      </c>
      <c r="B1679" t="inlineStr">
        <is>
          <t>avverkningsanmälan</t>
        </is>
      </c>
      <c r="C1679" t="inlineStr">
        <is>
          <t>Föryngringsavverkning</t>
        </is>
      </c>
      <c r="D1679" s="1" t="n">
        <v>44943</v>
      </c>
      <c r="E1679" s="1" t="n">
        <v>46313</v>
      </c>
      <c r="F1679" t="inlineStr">
        <is>
          <t>SÖDERMANLANDS LÄN</t>
        </is>
      </c>
      <c r="G1679" t="inlineStr">
        <is>
          <t>NYKÖPING</t>
        </is>
      </c>
      <c r="I1679" t="n">
        <v>0.2</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44615-2022</t>
        </is>
      </c>
      <c r="B1680" t="inlineStr">
        <is>
          <t>avverkningsanmälan</t>
        </is>
      </c>
      <c r="C1680" t="inlineStr">
        <is>
          <t>Föryngringsavverkning</t>
        </is>
      </c>
      <c r="D1680" s="1" t="n">
        <v>44839</v>
      </c>
      <c r="E1680" s="1" t="n">
        <v>46313</v>
      </c>
      <c r="F1680" t="inlineStr">
        <is>
          <t>SÖDERMANLANDS LÄN</t>
        </is>
      </c>
      <c r="G1680" t="inlineStr">
        <is>
          <t>ESKILSTUNA</t>
        </is>
      </c>
      <c r="I1680" t="n">
        <v>2.5</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5911-2023</t>
        </is>
      </c>
      <c r="B1681" t="inlineStr">
        <is>
          <t>avverkningsanmälan</t>
        </is>
      </c>
      <c r="C1681" t="inlineStr">
        <is>
          <t>Föryngringsavverkning</t>
        </is>
      </c>
      <c r="D1681" s="1" t="n">
        <v>44963</v>
      </c>
      <c r="E1681" s="1" t="n">
        <v>46313</v>
      </c>
      <c r="F1681" t="inlineStr">
        <is>
          <t>SÖDERMANLANDS LÄN</t>
        </is>
      </c>
      <c r="G1681" t="inlineStr">
        <is>
          <t>GNESTA</t>
        </is>
      </c>
      <c r="I1681" t="n">
        <v>2.8</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41353-2025</t>
        </is>
      </c>
      <c r="B1682" t="inlineStr">
        <is>
          <t>avverkningsanmälan</t>
        </is>
      </c>
      <c r="C1682" t="inlineStr">
        <is>
          <t>Föryngringsavverkning</t>
        </is>
      </c>
      <c r="D1682" s="1" t="n">
        <v>45900</v>
      </c>
      <c r="E1682" s="1" t="n">
        <v>46313</v>
      </c>
      <c r="F1682" t="inlineStr">
        <is>
          <t>SÖDERMANLANDS LÄN</t>
        </is>
      </c>
      <c r="G1682" t="inlineStr">
        <is>
          <t>NYKÖPING</t>
        </is>
      </c>
      <c r="I1682" t="n">
        <v>0.8</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51367-2025</t>
        </is>
      </c>
      <c r="B1683" t="inlineStr">
        <is>
          <t>avverkningsanmälan</t>
        </is>
      </c>
      <c r="C1683" t="inlineStr">
        <is>
          <t>Föryngringsavverkning</t>
        </is>
      </c>
      <c r="D1683" s="1" t="n">
        <v>45950</v>
      </c>
      <c r="E1683" s="1" t="n">
        <v>46313</v>
      </c>
      <c r="F1683" t="inlineStr">
        <is>
          <t>SÖDERMANLANDS LÄN</t>
        </is>
      </c>
      <c r="G1683" t="inlineStr">
        <is>
          <t>KATRINEHOLM</t>
        </is>
      </c>
      <c r="I1683" t="n">
        <v>2.7</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34364-2023</t>
        </is>
      </c>
      <c r="B1684" t="inlineStr">
        <is>
          <t>avverkningsanmälan</t>
        </is>
      </c>
      <c r="C1684" t="inlineStr">
        <is>
          <t>Föryngringsavverkning</t>
        </is>
      </c>
      <c r="D1684" s="1" t="n">
        <v>45131</v>
      </c>
      <c r="E1684" s="1" t="n">
        <v>46313</v>
      </c>
      <c r="F1684" t="inlineStr">
        <is>
          <t>SÖDERMANLANDS LÄN</t>
        </is>
      </c>
      <c r="G1684" t="inlineStr">
        <is>
          <t>STRÄNGNÄS</t>
        </is>
      </c>
      <c r="I1684" t="n">
        <v>3.8</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5331-2024</t>
        </is>
      </c>
      <c r="B1685" t="inlineStr">
        <is>
          <t>avverkningsanmälan</t>
        </is>
      </c>
      <c r="C1685" t="inlineStr">
        <is>
          <t>Föryngringsavverkning</t>
        </is>
      </c>
      <c r="D1685" s="1" t="n">
        <v>45331</v>
      </c>
      <c r="E1685" s="1" t="n">
        <v>46313</v>
      </c>
      <c r="F1685" t="inlineStr">
        <is>
          <t>SÖDERMANLANDS LÄN</t>
        </is>
      </c>
      <c r="G1685" t="inlineStr">
        <is>
          <t>FLEN</t>
        </is>
      </c>
      <c r="I1685" t="n">
        <v>0.5</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22028-2023</t>
        </is>
      </c>
      <c r="B1686" t="inlineStr">
        <is>
          <t>avverkningsanmälan</t>
        </is>
      </c>
      <c r="C1686" t="inlineStr">
        <is>
          <t>Föryngringsavverkning</t>
        </is>
      </c>
      <c r="D1686" s="1" t="n">
        <v>45066</v>
      </c>
      <c r="E1686" s="1" t="n">
        <v>46313</v>
      </c>
      <c r="F1686" t="inlineStr">
        <is>
          <t>SÖDERMANLANDS LÄN</t>
        </is>
      </c>
      <c r="G1686" t="inlineStr">
        <is>
          <t>FLEN</t>
        </is>
      </c>
      <c r="I1686" t="n">
        <v>2.3</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25363-2023</t>
        </is>
      </c>
      <c r="B1687" t="inlineStr">
        <is>
          <t>avverkningsanmälan</t>
        </is>
      </c>
      <c r="C1687" t="inlineStr">
        <is>
          <t>Föryngringsavverkning</t>
        </is>
      </c>
      <c r="D1687" s="1" t="n">
        <v>45088</v>
      </c>
      <c r="E1687" s="1" t="n">
        <v>46313</v>
      </c>
      <c r="F1687" t="inlineStr">
        <is>
          <t>SÖDERMANLANDS LÄN</t>
        </is>
      </c>
      <c r="G1687" t="inlineStr">
        <is>
          <t>KATRINEHOLM</t>
        </is>
      </c>
      <c r="I1687" t="n">
        <v>1.6</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51332-2025</t>
        </is>
      </c>
      <c r="B1688" t="inlineStr">
        <is>
          <t>avverkningsanmälan</t>
        </is>
      </c>
      <c r="C1688" t="inlineStr">
        <is>
          <t>Föryngringsavverkning</t>
        </is>
      </c>
      <c r="D1688" s="1" t="n">
        <v>45950</v>
      </c>
      <c r="E1688" s="1" t="n">
        <v>46313</v>
      </c>
      <c r="F1688" t="inlineStr">
        <is>
          <t>SÖDERMANLANDS LÄN</t>
        </is>
      </c>
      <c r="G1688" t="inlineStr">
        <is>
          <t>ESKILSTUNA</t>
        </is>
      </c>
      <c r="I1688" t="n">
        <v>8</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13963-2022</t>
        </is>
      </c>
      <c r="B1689" t="inlineStr">
        <is>
          <t>avverkningsanmälan</t>
        </is>
      </c>
      <c r="C1689" t="inlineStr">
        <is>
          <t>Föryngringsavverkning</t>
        </is>
      </c>
      <c r="D1689" s="1" t="n">
        <v>44650</v>
      </c>
      <c r="E1689" s="1" t="n">
        <v>46313</v>
      </c>
      <c r="F1689" t="inlineStr">
        <is>
          <t>SÖDERMANLANDS LÄN</t>
        </is>
      </c>
      <c r="G1689" t="inlineStr">
        <is>
          <t>NYKÖPING</t>
        </is>
      </c>
      <c r="I1689" t="n">
        <v>1.1</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22475-2026</t>
        </is>
      </c>
      <c r="B1690" t="inlineStr">
        <is>
          <t>avverkningsanmälan</t>
        </is>
      </c>
      <c r="C1690" t="inlineStr">
        <is>
          <t>Avverkning för annat ändamål</t>
        </is>
      </c>
      <c r="D1690" s="1" t="n">
        <v>46155</v>
      </c>
      <c r="E1690" s="1" t="n">
        <v>46313</v>
      </c>
      <c r="F1690" t="inlineStr">
        <is>
          <t>SÖDERMANLANDS LÄN</t>
        </is>
      </c>
      <c r="G1690" t="inlineStr">
        <is>
          <t>NYKÖPING</t>
        </is>
      </c>
      <c r="I1690" t="n">
        <v>3.7</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9892-2023</t>
        </is>
      </c>
      <c r="B1691" t="inlineStr">
        <is>
          <t>avverkningsanmälan</t>
        </is>
      </c>
      <c r="C1691" t="inlineStr">
        <is>
          <t>Föryngringsavverkning</t>
        </is>
      </c>
      <c r="D1691" s="1" t="n">
        <v>44979</v>
      </c>
      <c r="E1691" s="1" t="n">
        <v>46313</v>
      </c>
      <c r="F1691" t="inlineStr">
        <is>
          <t>SÖDERMANLANDS LÄN</t>
        </is>
      </c>
      <c r="G1691" t="inlineStr">
        <is>
          <t>FLEN</t>
        </is>
      </c>
      <c r="I1691" t="n">
        <v>0.7</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26993-2022</t>
        </is>
      </c>
      <c r="B1692" t="inlineStr">
        <is>
          <t>avverkningsanmälan</t>
        </is>
      </c>
      <c r="C1692" t="inlineStr">
        <is>
          <t>Föryngringsavverkning</t>
        </is>
      </c>
      <c r="D1692" s="1" t="n">
        <v>44740</v>
      </c>
      <c r="E1692" s="1" t="n">
        <v>46313</v>
      </c>
      <c r="F1692" t="inlineStr">
        <is>
          <t>SÖDERMANLANDS LÄN</t>
        </is>
      </c>
      <c r="G1692" t="inlineStr">
        <is>
          <t>NYKÖPING</t>
        </is>
      </c>
      <c r="I1692" t="n">
        <v>13.1</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52222-2025</t>
        </is>
      </c>
      <c r="B1693" t="inlineStr">
        <is>
          <t>avverkningsanmälan</t>
        </is>
      </c>
      <c r="C1693" t="inlineStr">
        <is>
          <t>Föryngringsavverkning</t>
        </is>
      </c>
      <c r="D1693" s="1" t="n">
        <v>45953</v>
      </c>
      <c r="E1693" s="1" t="n">
        <v>46313</v>
      </c>
      <c r="F1693" t="inlineStr">
        <is>
          <t>SÖDERMANLANDS LÄN</t>
        </is>
      </c>
      <c r="G1693" t="inlineStr">
        <is>
          <t>ESKILSTUNA</t>
        </is>
      </c>
      <c r="I1693" t="n">
        <v>2.1</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52248-2025</t>
        </is>
      </c>
      <c r="B1694" t="inlineStr">
        <is>
          <t>avverkningsanmälan</t>
        </is>
      </c>
      <c r="C1694" t="inlineStr">
        <is>
          <t>Föryngringsavverkning</t>
        </is>
      </c>
      <c r="D1694" s="1" t="n">
        <v>45953</v>
      </c>
      <c r="E1694" s="1" t="n">
        <v>46313</v>
      </c>
      <c r="F1694" t="inlineStr">
        <is>
          <t>SÖDERMANLANDS LÄN</t>
        </is>
      </c>
      <c r="G1694" t="inlineStr">
        <is>
          <t>ESKILSTUNA</t>
        </is>
      </c>
      <c r="I1694" t="n">
        <v>0.5</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10211-2024</t>
        </is>
      </c>
      <c r="B1695" t="inlineStr">
        <is>
          <t>avverkningsanmälan</t>
        </is>
      </c>
      <c r="C1695" t="inlineStr">
        <is>
          <t>Föryngringsavverkning</t>
        </is>
      </c>
      <c r="D1695" s="1" t="n">
        <v>45364</v>
      </c>
      <c r="E1695" s="1" t="n">
        <v>46313</v>
      </c>
      <c r="F1695" t="inlineStr">
        <is>
          <t>SÖDERMANLANDS LÄN</t>
        </is>
      </c>
      <c r="G1695" t="inlineStr">
        <is>
          <t>NYKÖPING</t>
        </is>
      </c>
      <c r="I1695" t="n">
        <v>2</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22525-2026</t>
        </is>
      </c>
      <c r="B1696" t="inlineStr">
        <is>
          <t>avverkningsanmälan</t>
        </is>
      </c>
      <c r="C1696" t="inlineStr">
        <is>
          <t>Föryngringsavverkning</t>
        </is>
      </c>
      <c r="D1696" s="1" t="n">
        <v>46155</v>
      </c>
      <c r="E1696" s="1" t="n">
        <v>46313</v>
      </c>
      <c r="F1696" t="inlineStr">
        <is>
          <t>SÖDERMANLANDS LÄN</t>
        </is>
      </c>
      <c r="G1696" t="inlineStr">
        <is>
          <t>VINGÅKER</t>
        </is>
      </c>
      <c r="I1696" t="n">
        <v>1.8</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8378-2024</t>
        </is>
      </c>
      <c r="B1697" t="inlineStr">
        <is>
          <t>avverkningsanmälan</t>
        </is>
      </c>
      <c r="C1697" t="inlineStr">
        <is>
          <t>Avverkning för annat ändamål</t>
        </is>
      </c>
      <c r="D1697" s="1" t="n">
        <v>45351</v>
      </c>
      <c r="E1697" s="1" t="n">
        <v>46313</v>
      </c>
      <c r="F1697" t="inlineStr">
        <is>
          <t>SÖDERMANLANDS LÄN</t>
        </is>
      </c>
      <c r="G1697" t="inlineStr">
        <is>
          <t>NYKÖPING</t>
        </is>
      </c>
      <c r="I1697" t="n">
        <v>2.6</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6325-2023</t>
        </is>
      </c>
      <c r="B1698" t="inlineStr">
        <is>
          <t>avverkningsanmälan</t>
        </is>
      </c>
      <c r="C1698" t="inlineStr">
        <is>
          <t>Föryngringsavverkning</t>
        </is>
      </c>
      <c r="D1698" s="1" t="n">
        <v>44965</v>
      </c>
      <c r="E1698" s="1" t="n">
        <v>46313</v>
      </c>
      <c r="F1698" t="inlineStr">
        <is>
          <t>SÖDERMANLANDS LÄN</t>
        </is>
      </c>
      <c r="G1698" t="inlineStr">
        <is>
          <t>ESKILSTUNA</t>
        </is>
      </c>
      <c r="H1698" t="inlineStr">
        <is>
          <t>Allmännings- och besparingsskogar</t>
        </is>
      </c>
      <c r="I1698" t="n">
        <v>0.8</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5194-2024</t>
        </is>
      </c>
      <c r="B1699" t="inlineStr">
        <is>
          <t>avverkningsanmälan</t>
        </is>
      </c>
      <c r="C1699" t="inlineStr">
        <is>
          <t>Föryngringsavverkning</t>
        </is>
      </c>
      <c r="D1699" s="1" t="n">
        <v>45330</v>
      </c>
      <c r="E1699" s="1" t="n">
        <v>46313</v>
      </c>
      <c r="F1699" t="inlineStr">
        <is>
          <t>SÖDERMANLANDS LÄN</t>
        </is>
      </c>
      <c r="G1699" t="inlineStr">
        <is>
          <t>FLEN</t>
        </is>
      </c>
      <c r="H1699" t="inlineStr">
        <is>
          <t>Övriga statliga verk och myndigheter</t>
        </is>
      </c>
      <c r="I1699" t="n">
        <v>1.5</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28705-2025</t>
        </is>
      </c>
      <c r="B1700" t="inlineStr">
        <is>
          <t>avverkningsanmälan</t>
        </is>
      </c>
      <c r="C1700" t="inlineStr">
        <is>
          <t>Föryngringsavverkning</t>
        </is>
      </c>
      <c r="D1700" s="1" t="n">
        <v>45820</v>
      </c>
      <c r="E1700" s="1" t="n">
        <v>46313</v>
      </c>
      <c r="F1700" t="inlineStr">
        <is>
          <t>SÖDERMANLANDS LÄN</t>
        </is>
      </c>
      <c r="G1700" t="inlineStr">
        <is>
          <t>NYKÖPING</t>
        </is>
      </c>
      <c r="H1700" t="inlineStr">
        <is>
          <t>Holmen skog AB</t>
        </is>
      </c>
      <c r="I1700" t="n">
        <v>4.4</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16881-2024</t>
        </is>
      </c>
      <c r="B1701" t="inlineStr">
        <is>
          <t>avverkningsanmälan</t>
        </is>
      </c>
      <c r="C1701" t="inlineStr">
        <is>
          <t>Föryngringsavverkning</t>
        </is>
      </c>
      <c r="D1701" s="1" t="n">
        <v>45410</v>
      </c>
      <c r="E1701" s="1" t="n">
        <v>46313</v>
      </c>
      <c r="F1701" t="inlineStr">
        <is>
          <t>SÖDERMANLANDS LÄN</t>
        </is>
      </c>
      <c r="G1701" t="inlineStr">
        <is>
          <t>NYKÖPING</t>
        </is>
      </c>
      <c r="I1701" t="n">
        <v>5.4</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52572-2025</t>
        </is>
      </c>
      <c r="B1702" t="inlineStr">
        <is>
          <t>avverkningsanmälan</t>
        </is>
      </c>
      <c r="C1702" t="inlineStr">
        <is>
          <t>Föryngringsavverkning</t>
        </is>
      </c>
      <c r="D1702" s="1" t="n">
        <v>45954</v>
      </c>
      <c r="E1702" s="1" t="n">
        <v>46313</v>
      </c>
      <c r="F1702" t="inlineStr">
        <is>
          <t>SÖDERMANLANDS LÄN</t>
        </is>
      </c>
      <c r="G1702" t="inlineStr">
        <is>
          <t>NYKÖPING</t>
        </is>
      </c>
      <c r="H1702" t="inlineStr">
        <is>
          <t>Holmen skog AB</t>
        </is>
      </c>
      <c r="I1702" t="n">
        <v>1.2</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52585-2025</t>
        </is>
      </c>
      <c r="B1703" t="inlineStr">
        <is>
          <t>avverkningsanmälan</t>
        </is>
      </c>
      <c r="C1703" t="inlineStr">
        <is>
          <t>Föryngringsavverkning</t>
        </is>
      </c>
      <c r="D1703" s="1" t="n">
        <v>45954</v>
      </c>
      <c r="E1703" s="1" t="n">
        <v>46313</v>
      </c>
      <c r="F1703" t="inlineStr">
        <is>
          <t>SÖDERMANLANDS LÄN</t>
        </is>
      </c>
      <c r="G1703" t="inlineStr">
        <is>
          <t>NYKÖPING</t>
        </is>
      </c>
      <c r="H1703" t="inlineStr">
        <is>
          <t>Holmen skog AB</t>
        </is>
      </c>
      <c r="I1703" t="n">
        <v>1.1</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11376-2023</t>
        </is>
      </c>
      <c r="B1704" t="inlineStr">
        <is>
          <t>avverkningsanmälan</t>
        </is>
      </c>
      <c r="C1704" t="inlineStr">
        <is>
          <t>Avverkning för annat ändamål</t>
        </is>
      </c>
      <c r="D1704" s="1" t="n">
        <v>44990</v>
      </c>
      <c r="E1704" s="1" t="n">
        <v>46313</v>
      </c>
      <c r="F1704" t="inlineStr">
        <is>
          <t>SÖDERMANLANDS LÄN</t>
        </is>
      </c>
      <c r="G1704" t="inlineStr">
        <is>
          <t>VINGÅKER</t>
        </is>
      </c>
      <c r="I1704" t="n">
        <v>1.1</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48398-2022</t>
        </is>
      </c>
      <c r="B1705" t="inlineStr">
        <is>
          <t>avverkningsanmälan</t>
        </is>
      </c>
      <c r="C1705" t="inlineStr">
        <is>
          <t>Föryngringsavverkning</t>
        </is>
      </c>
      <c r="D1705" s="1" t="n">
        <v>44858</v>
      </c>
      <c r="E1705" s="1" t="n">
        <v>46313</v>
      </c>
      <c r="F1705" t="inlineStr">
        <is>
          <t>SÖDERMANLANDS LÄN</t>
        </is>
      </c>
      <c r="G1705" t="inlineStr">
        <is>
          <t>KATRINEHOLM</t>
        </is>
      </c>
      <c r="I1705" t="n">
        <v>1.9</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29551-2023</t>
        </is>
      </c>
      <c r="B1706" t="inlineStr">
        <is>
          <t>avverkningsanmälan</t>
        </is>
      </c>
      <c r="C1706" t="inlineStr">
        <is>
          <t>Föryngringsavverkning</t>
        </is>
      </c>
      <c r="D1706" s="1" t="n">
        <v>45106</v>
      </c>
      <c r="E1706" s="1" t="n">
        <v>46313</v>
      </c>
      <c r="F1706" t="inlineStr">
        <is>
          <t>SÖDERMANLANDS LÄN</t>
        </is>
      </c>
      <c r="G1706" t="inlineStr">
        <is>
          <t>NYKÖPING</t>
        </is>
      </c>
      <c r="I1706" t="n">
        <v>5.1</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49469-2022</t>
        </is>
      </c>
      <c r="B1707" t="inlineStr">
        <is>
          <t>avverkningsanmälan</t>
        </is>
      </c>
      <c r="C1707" t="inlineStr">
        <is>
          <t>Föryngringsavverkning</t>
        </is>
      </c>
      <c r="D1707" s="1" t="n">
        <v>44861</v>
      </c>
      <c r="E1707" s="1" t="n">
        <v>46313</v>
      </c>
      <c r="F1707" t="inlineStr">
        <is>
          <t>SÖDERMANLANDS LÄN</t>
        </is>
      </c>
      <c r="G1707" t="inlineStr">
        <is>
          <t>ESKILSTUNA</t>
        </is>
      </c>
      <c r="H1707" t="inlineStr">
        <is>
          <t>Allmännings- och besparingsskogar</t>
        </is>
      </c>
      <c r="I1707" t="n">
        <v>5.8</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12297-2023</t>
        </is>
      </c>
      <c r="B1708" t="inlineStr">
        <is>
          <t>avverkningsanmälan</t>
        </is>
      </c>
      <c r="C1708" t="inlineStr">
        <is>
          <t>Föryngringsavverkning</t>
        </is>
      </c>
      <c r="D1708" s="1" t="n">
        <v>44998</v>
      </c>
      <c r="E1708" s="1" t="n">
        <v>46313</v>
      </c>
      <c r="F1708" t="inlineStr">
        <is>
          <t>SÖDERMANLANDS LÄN</t>
        </is>
      </c>
      <c r="G1708" t="inlineStr">
        <is>
          <t>ESKILSTUNA</t>
        </is>
      </c>
      <c r="H1708" t="inlineStr">
        <is>
          <t>Kommuner</t>
        </is>
      </c>
      <c r="I1708" t="n">
        <v>4.1</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20842-2023</t>
        </is>
      </c>
      <c r="B1709" t="inlineStr">
        <is>
          <t>avverkningsanmälan</t>
        </is>
      </c>
      <c r="C1709" t="inlineStr">
        <is>
          <t>Föryngringsavverkning</t>
        </is>
      </c>
      <c r="D1709" s="1" t="n">
        <v>45058</v>
      </c>
      <c r="E1709" s="1" t="n">
        <v>46313</v>
      </c>
      <c r="F1709" t="inlineStr">
        <is>
          <t>SÖDERMANLANDS LÄN</t>
        </is>
      </c>
      <c r="G1709" t="inlineStr">
        <is>
          <t>ESKILSTUNA</t>
        </is>
      </c>
      <c r="I1709" t="n">
        <v>1</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15945-2024</t>
        </is>
      </c>
      <c r="B1710" t="inlineStr">
        <is>
          <t>avverkningsanmälan</t>
        </is>
      </c>
      <c r="C1710" t="inlineStr">
        <is>
          <t>Föryngringsavverkning</t>
        </is>
      </c>
      <c r="D1710" s="1" t="n">
        <v>45405</v>
      </c>
      <c r="E1710" s="1" t="n">
        <v>46313</v>
      </c>
      <c r="F1710" t="inlineStr">
        <is>
          <t>SÖDERMANLANDS LÄN</t>
        </is>
      </c>
      <c r="G1710" t="inlineStr">
        <is>
          <t>KATRINEHOLM</t>
        </is>
      </c>
      <c r="I1710" t="n">
        <v>1.8</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24504-2025</t>
        </is>
      </c>
      <c r="B1711" t="inlineStr">
        <is>
          <t>avverkningsanmälan</t>
        </is>
      </c>
      <c r="C1711" t="inlineStr">
        <is>
          <t>Föryngringsavverkning</t>
        </is>
      </c>
      <c r="D1711" s="1" t="n">
        <v>45798</v>
      </c>
      <c r="E1711" s="1" t="n">
        <v>46313</v>
      </c>
      <c r="F1711" t="inlineStr">
        <is>
          <t>SÖDERMANLANDS LÄN</t>
        </is>
      </c>
      <c r="G1711" t="inlineStr">
        <is>
          <t>NYKÖPING</t>
        </is>
      </c>
      <c r="H1711" t="inlineStr">
        <is>
          <t>Holmen skog AB</t>
        </is>
      </c>
      <c r="I1711" t="n">
        <v>2.4</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49902-2025</t>
        </is>
      </c>
      <c r="B1712" t="inlineStr">
        <is>
          <t>avverkningsanmälan</t>
        </is>
      </c>
      <c r="C1712" t="inlineStr">
        <is>
          <t>Föryngringsavverkning</t>
        </is>
      </c>
      <c r="D1712" s="1" t="n">
        <v>45940</v>
      </c>
      <c r="E1712" s="1" t="n">
        <v>46313</v>
      </c>
      <c r="F1712" t="inlineStr">
        <is>
          <t>SÖDERMANLANDS LÄN</t>
        </is>
      </c>
      <c r="G1712" t="inlineStr">
        <is>
          <t>NYKÖPING</t>
        </is>
      </c>
      <c r="H1712" t="inlineStr">
        <is>
          <t>Sveaskog</t>
        </is>
      </c>
      <c r="I1712" t="n">
        <v>2.4</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50898-2022</t>
        </is>
      </c>
      <c r="B1713" t="inlineStr">
        <is>
          <t>avverkningsanmälan</t>
        </is>
      </c>
      <c r="C1713" t="inlineStr">
        <is>
          <t>Föryngringsavverkning</t>
        </is>
      </c>
      <c r="D1713" s="1" t="n">
        <v>44864</v>
      </c>
      <c r="E1713" s="1" t="n">
        <v>46313</v>
      </c>
      <c r="F1713" t="inlineStr">
        <is>
          <t>SÖDERMANLANDS LÄN</t>
        </is>
      </c>
      <c r="G1713" t="inlineStr">
        <is>
          <t>FLEN</t>
        </is>
      </c>
      <c r="I1713" t="n">
        <v>1</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71115-2021</t>
        </is>
      </c>
      <c r="B1714" t="inlineStr">
        <is>
          <t>avverkningsanmälan</t>
        </is>
      </c>
      <c r="C1714" t="inlineStr">
        <is>
          <t>Föryngringsavverkning</t>
        </is>
      </c>
      <c r="D1714" s="1" t="n">
        <v>44537</v>
      </c>
      <c r="E1714" s="1" t="n">
        <v>46313</v>
      </c>
      <c r="F1714" t="inlineStr">
        <is>
          <t>SÖDERMANLANDS LÄN</t>
        </is>
      </c>
      <c r="G1714" t="inlineStr">
        <is>
          <t>NYKÖPING</t>
        </is>
      </c>
      <c r="I1714" t="n">
        <v>2.3</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18406-2023</t>
        </is>
      </c>
      <c r="B1715" t="inlineStr">
        <is>
          <t>avverkningsanmälan</t>
        </is>
      </c>
      <c r="C1715" t="inlineStr">
        <is>
          <t>Avverkning för att bevara och utveckla /försöksver</t>
        </is>
      </c>
      <c r="D1715" s="1" t="n">
        <v>45042</v>
      </c>
      <c r="E1715" s="1" t="n">
        <v>46313</v>
      </c>
      <c r="F1715" t="inlineStr">
        <is>
          <t>SÖDERMANLANDS LÄN</t>
        </is>
      </c>
      <c r="G1715" t="inlineStr">
        <is>
          <t>GNESTA</t>
        </is>
      </c>
      <c r="H1715" t="inlineStr">
        <is>
          <t>Holmen skog AB</t>
        </is>
      </c>
      <c r="I1715" t="n">
        <v>3.7</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48749-2022</t>
        </is>
      </c>
      <c r="B1716" t="inlineStr">
        <is>
          <t>avverkningsanmälan</t>
        </is>
      </c>
      <c r="C1716" t="inlineStr">
        <is>
          <t>Föryngringsavverkning</t>
        </is>
      </c>
      <c r="D1716" s="1" t="n">
        <v>44855</v>
      </c>
      <c r="E1716" s="1" t="n">
        <v>46313</v>
      </c>
      <c r="F1716" t="inlineStr">
        <is>
          <t>SÖDERMANLANDS LÄN</t>
        </is>
      </c>
      <c r="G1716" t="inlineStr">
        <is>
          <t>FLEN</t>
        </is>
      </c>
      <c r="I1716" t="n">
        <v>5</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58364-2023</t>
        </is>
      </c>
      <c r="B1717" t="inlineStr">
        <is>
          <t>avverkningsanmälan</t>
        </is>
      </c>
      <c r="C1717" t="inlineStr">
        <is>
          <t>Föryngringsavverkning</t>
        </is>
      </c>
      <c r="D1717" s="1" t="n">
        <v>45250</v>
      </c>
      <c r="E1717" s="1" t="n">
        <v>46313</v>
      </c>
      <c r="F1717" t="inlineStr">
        <is>
          <t>SÖDERMANLANDS LÄN</t>
        </is>
      </c>
      <c r="G1717" t="inlineStr">
        <is>
          <t>FLEN</t>
        </is>
      </c>
      <c r="H1717" t="inlineStr">
        <is>
          <t>Holmen skog AB</t>
        </is>
      </c>
      <c r="I1717" t="n">
        <v>2.2</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53316-2025</t>
        </is>
      </c>
      <c r="B1718" t="inlineStr">
        <is>
          <t>avverkningsanmälan</t>
        </is>
      </c>
      <c r="C1718" t="inlineStr">
        <is>
          <t>Föryngringsavverkning</t>
        </is>
      </c>
      <c r="D1718" s="1" t="n">
        <v>45959</v>
      </c>
      <c r="E1718" s="1" t="n">
        <v>46313</v>
      </c>
      <c r="F1718" t="inlineStr">
        <is>
          <t>SÖDERMANLANDS LÄN</t>
        </is>
      </c>
      <c r="G1718" t="inlineStr">
        <is>
          <t>VINGÅKER</t>
        </is>
      </c>
      <c r="I1718" t="n">
        <v>4.7</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58377-2023</t>
        </is>
      </c>
      <c r="B1719" t="inlineStr">
        <is>
          <t>avverkningsanmälan</t>
        </is>
      </c>
      <c r="C1719" t="inlineStr">
        <is>
          <t>Föryngringsavverkning</t>
        </is>
      </c>
      <c r="D1719" s="1" t="n">
        <v>45250</v>
      </c>
      <c r="E1719" s="1" t="n">
        <v>46313</v>
      </c>
      <c r="F1719" t="inlineStr">
        <is>
          <t>SÖDERMANLANDS LÄN</t>
        </is>
      </c>
      <c r="G1719" t="inlineStr">
        <is>
          <t>FLEN</t>
        </is>
      </c>
      <c r="I1719" t="n">
        <v>0.5</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48774-2022</t>
        </is>
      </c>
      <c r="B1720" t="inlineStr">
        <is>
          <t>avverkningsanmälan</t>
        </is>
      </c>
      <c r="C1720" t="inlineStr">
        <is>
          <t>Föryngringsavverkning</t>
        </is>
      </c>
      <c r="D1720" s="1" t="n">
        <v>44855</v>
      </c>
      <c r="E1720" s="1" t="n">
        <v>46313</v>
      </c>
      <c r="F1720" t="inlineStr">
        <is>
          <t>SÖDERMANLANDS LÄN</t>
        </is>
      </c>
      <c r="G1720" t="inlineStr">
        <is>
          <t>FLEN</t>
        </is>
      </c>
      <c r="I1720" t="n">
        <v>0.8</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1742-2023</t>
        </is>
      </c>
      <c r="B1721" t="inlineStr">
        <is>
          <t>avverkningsanmälan</t>
        </is>
      </c>
      <c r="C1721" t="inlineStr">
        <is>
          <t>Föryngringsavverkning</t>
        </is>
      </c>
      <c r="D1721" s="1" t="n">
        <v>44938</v>
      </c>
      <c r="E1721" s="1" t="n">
        <v>46313</v>
      </c>
      <c r="F1721" t="inlineStr">
        <is>
          <t>SÖDERMANLANDS LÄN</t>
        </is>
      </c>
      <c r="G1721" t="inlineStr">
        <is>
          <t>NYKÖPING</t>
        </is>
      </c>
      <c r="I1721" t="n">
        <v>2</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22759-2026</t>
        </is>
      </c>
      <c r="B1722" t="inlineStr">
        <is>
          <t>avverkningsanmälan</t>
        </is>
      </c>
      <c r="C1722" t="inlineStr">
        <is>
          <t>Föryngringsavverkning</t>
        </is>
      </c>
      <c r="D1722" s="1" t="n">
        <v>46157</v>
      </c>
      <c r="E1722" s="1" t="n">
        <v>46313</v>
      </c>
      <c r="F1722" t="inlineStr">
        <is>
          <t>SÖDERMANLANDS LÄN</t>
        </is>
      </c>
      <c r="G1722" t="inlineStr">
        <is>
          <t>ESKILSTUNA</t>
        </is>
      </c>
      <c r="I1722" t="n">
        <v>4.7</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8140-2023</t>
        </is>
      </c>
      <c r="B1723" t="inlineStr">
        <is>
          <t>avverkningsanmälan</t>
        </is>
      </c>
      <c r="C1723" t="inlineStr">
        <is>
          <t>Föryngringsavverkning</t>
        </is>
      </c>
      <c r="D1723" s="1" t="n">
        <v>44974</v>
      </c>
      <c r="E1723" s="1" t="n">
        <v>46313</v>
      </c>
      <c r="F1723" t="inlineStr">
        <is>
          <t>SÖDERMANLANDS LÄN</t>
        </is>
      </c>
      <c r="G1723" t="inlineStr">
        <is>
          <t>NYKÖPING</t>
        </is>
      </c>
      <c r="H1723" t="inlineStr">
        <is>
          <t>Holmen skog AB</t>
        </is>
      </c>
      <c r="I1723" t="n">
        <v>1</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9711-2025</t>
        </is>
      </c>
      <c r="B1724" t="inlineStr">
        <is>
          <t>avverkningsanmälan</t>
        </is>
      </c>
      <c r="C1724" t="inlineStr">
        <is>
          <t>Avverkning för annat ändamål</t>
        </is>
      </c>
      <c r="D1724" s="1" t="n">
        <v>45715</v>
      </c>
      <c r="E1724" s="1" t="n">
        <v>46313</v>
      </c>
      <c r="F1724" t="inlineStr">
        <is>
          <t>SÖDERMANLANDS LÄN</t>
        </is>
      </c>
      <c r="G1724" t="inlineStr">
        <is>
          <t>ESKILSTUNA</t>
        </is>
      </c>
      <c r="I1724" t="n">
        <v>3.7</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32594-2022</t>
        </is>
      </c>
      <c r="B1725" t="inlineStr">
        <is>
          <t>avverkningsanmälan</t>
        </is>
      </c>
      <c r="C1725" t="inlineStr">
        <is>
          <t>Föryngringsavverkning</t>
        </is>
      </c>
      <c r="D1725" s="1" t="n">
        <v>44783</v>
      </c>
      <c r="E1725" s="1" t="n">
        <v>46313</v>
      </c>
      <c r="F1725" t="inlineStr">
        <is>
          <t>SÖDERMANLANDS LÄN</t>
        </is>
      </c>
      <c r="G1725" t="inlineStr">
        <is>
          <t>NYKÖPING</t>
        </is>
      </c>
      <c r="I1725" t="n">
        <v>3.3</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40574-2023</t>
        </is>
      </c>
      <c r="B1726" t="inlineStr">
        <is>
          <t>avverkningsanmälan</t>
        </is>
      </c>
      <c r="C1726" t="inlineStr">
        <is>
          <t>Föryngringsavverkning</t>
        </is>
      </c>
      <c r="D1726" s="1" t="n">
        <v>45170</v>
      </c>
      <c r="E1726" s="1" t="n">
        <v>46313</v>
      </c>
      <c r="F1726" t="inlineStr">
        <is>
          <t>SÖDERMANLANDS LÄN</t>
        </is>
      </c>
      <c r="G1726" t="inlineStr">
        <is>
          <t>ESKILSTUNA</t>
        </is>
      </c>
      <c r="I1726" t="n">
        <v>1.8</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8475-2023</t>
        </is>
      </c>
      <c r="B1727" t="inlineStr">
        <is>
          <t>avverkningsanmälan</t>
        </is>
      </c>
      <c r="C1727" t="inlineStr">
        <is>
          <t>Föryngringsavverkning</t>
        </is>
      </c>
      <c r="D1727" s="1" t="n">
        <v>44977</v>
      </c>
      <c r="E1727" s="1" t="n">
        <v>46313</v>
      </c>
      <c r="F1727" t="inlineStr">
        <is>
          <t>SÖDERMANLANDS LÄN</t>
        </is>
      </c>
      <c r="G1727" t="inlineStr">
        <is>
          <t>KATRINEHOLM</t>
        </is>
      </c>
      <c r="H1727" t="inlineStr">
        <is>
          <t>Allmännings- och besparingsskogar</t>
        </is>
      </c>
      <c r="I1727" t="n">
        <v>8.1</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8518-2023</t>
        </is>
      </c>
      <c r="B1728" t="inlineStr">
        <is>
          <t>avverkningsanmälan</t>
        </is>
      </c>
      <c r="C1728" t="inlineStr">
        <is>
          <t>Föryngringsavverkning</t>
        </is>
      </c>
      <c r="D1728" s="1" t="n">
        <v>44977</v>
      </c>
      <c r="E1728" s="1" t="n">
        <v>46313</v>
      </c>
      <c r="F1728" t="inlineStr">
        <is>
          <t>SÖDERMANLANDS LÄN</t>
        </is>
      </c>
      <c r="G1728" t="inlineStr">
        <is>
          <t>KATRINEHOLM</t>
        </is>
      </c>
      <c r="H1728" t="inlineStr">
        <is>
          <t>Allmännings- och besparingsskogar</t>
        </is>
      </c>
      <c r="I1728" t="n">
        <v>35.3</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8573-2023</t>
        </is>
      </c>
      <c r="B1729" t="inlineStr">
        <is>
          <t>avverkningsanmälan</t>
        </is>
      </c>
      <c r="C1729" t="inlineStr">
        <is>
          <t>Föryngringsavverkning</t>
        </is>
      </c>
      <c r="D1729" s="1" t="n">
        <v>44977</v>
      </c>
      <c r="E1729" s="1" t="n">
        <v>46313</v>
      </c>
      <c r="F1729" t="inlineStr">
        <is>
          <t>SÖDERMANLANDS LÄN</t>
        </is>
      </c>
      <c r="G1729" t="inlineStr">
        <is>
          <t>NYKÖPING</t>
        </is>
      </c>
      <c r="H1729" t="inlineStr">
        <is>
          <t>Övriga Aktiebolag</t>
        </is>
      </c>
      <c r="I1729" t="n">
        <v>0.6</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43585-2022</t>
        </is>
      </c>
      <c r="B1730" t="inlineStr">
        <is>
          <t>avverkningsanmälan</t>
        </is>
      </c>
      <c r="C1730" t="inlineStr">
        <is>
          <t>Föryngringsavverkning</t>
        </is>
      </c>
      <c r="D1730" s="1" t="n">
        <v>44837</v>
      </c>
      <c r="E1730" s="1" t="n">
        <v>46313</v>
      </c>
      <c r="F1730" t="inlineStr">
        <is>
          <t>SÖDERMANLANDS LÄN</t>
        </is>
      </c>
      <c r="G1730" t="inlineStr">
        <is>
          <t>NYKÖPING</t>
        </is>
      </c>
      <c r="I1730" t="n">
        <v>0.9</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14055-2023</t>
        </is>
      </c>
      <c r="B1731" t="inlineStr">
        <is>
          <t>avverkningsanmälan</t>
        </is>
      </c>
      <c r="C1731" t="inlineStr">
        <is>
          <t>Föryngringsavverkning</t>
        </is>
      </c>
      <c r="D1731" s="1" t="n">
        <v>45008</v>
      </c>
      <c r="E1731" s="1" t="n">
        <v>46313</v>
      </c>
      <c r="F1731" t="inlineStr">
        <is>
          <t>SÖDERMANLANDS LÄN</t>
        </is>
      </c>
      <c r="G1731" t="inlineStr">
        <is>
          <t>GNESTA</t>
        </is>
      </c>
      <c r="I1731" t="n">
        <v>0.5</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52353-2023</t>
        </is>
      </c>
      <c r="B1732" t="inlineStr">
        <is>
          <t>avverkningsanmälan</t>
        </is>
      </c>
      <c r="C1732" t="inlineStr">
        <is>
          <t>Föryngringsavverkning</t>
        </is>
      </c>
      <c r="D1732" s="1" t="n">
        <v>45224</v>
      </c>
      <c r="E1732" s="1" t="n">
        <v>46313</v>
      </c>
      <c r="F1732" t="inlineStr">
        <is>
          <t>SÖDERMANLANDS LÄN</t>
        </is>
      </c>
      <c r="G1732" t="inlineStr">
        <is>
          <t>FLEN</t>
        </is>
      </c>
      <c r="H1732" t="inlineStr">
        <is>
          <t>Kyrkan</t>
        </is>
      </c>
      <c r="I1732" t="n">
        <v>8.199999999999999</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8388-2024</t>
        </is>
      </c>
      <c r="B1733" t="inlineStr">
        <is>
          <t>avverkningsanmälan</t>
        </is>
      </c>
      <c r="C1733" t="inlineStr">
        <is>
          <t>Föryngringsavverkning</t>
        </is>
      </c>
      <c r="D1733" s="1" t="n">
        <v>45352</v>
      </c>
      <c r="E1733" s="1" t="n">
        <v>46313</v>
      </c>
      <c r="F1733" t="inlineStr">
        <is>
          <t>SÖDERMANLANDS LÄN</t>
        </is>
      </c>
      <c r="G1733" t="inlineStr">
        <is>
          <t>NYKÖPING</t>
        </is>
      </c>
      <c r="H1733" t="inlineStr">
        <is>
          <t>Sveaskog</t>
        </is>
      </c>
      <c r="I1733" t="n">
        <v>0.5</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54283-2025</t>
        </is>
      </c>
      <c r="B1734" t="inlineStr">
        <is>
          <t>avverkningsanmälan</t>
        </is>
      </c>
      <c r="C1734" t="inlineStr">
        <is>
          <t>Avverkning för att bevara och utveckla /försöksver</t>
        </is>
      </c>
      <c r="D1734" s="1" t="n">
        <v>45964</v>
      </c>
      <c r="E1734" s="1" t="n">
        <v>46313</v>
      </c>
      <c r="F1734" t="inlineStr">
        <is>
          <t>SÖDERMANLANDS LÄN</t>
        </is>
      </c>
      <c r="G1734" t="inlineStr">
        <is>
          <t>FLEN</t>
        </is>
      </c>
      <c r="I1734" t="n">
        <v>0.8</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54282-2025</t>
        </is>
      </c>
      <c r="B1735" t="inlineStr">
        <is>
          <t>avverkningsanmälan</t>
        </is>
      </c>
      <c r="C1735" t="inlineStr">
        <is>
          <t>Avverkning för att bevara och utveckla /försöksver</t>
        </is>
      </c>
      <c r="D1735" s="1" t="n">
        <v>45964</v>
      </c>
      <c r="E1735" s="1" t="n">
        <v>46313</v>
      </c>
      <c r="F1735" t="inlineStr">
        <is>
          <t>SÖDERMANLANDS LÄN</t>
        </is>
      </c>
      <c r="G1735" t="inlineStr">
        <is>
          <t>FLEN</t>
        </is>
      </c>
      <c r="I1735" t="n">
        <v>0.5</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59151-2022</t>
        </is>
      </c>
      <c r="B1736" t="inlineStr">
        <is>
          <t>avverkningsanmälan</t>
        </is>
      </c>
      <c r="C1736" t="inlineStr">
        <is>
          <t>Föryngringsavverkning</t>
        </is>
      </c>
      <c r="D1736" s="1" t="n">
        <v>44904</v>
      </c>
      <c r="E1736" s="1" t="n">
        <v>46313</v>
      </c>
      <c r="F1736" t="inlineStr">
        <is>
          <t>SÖDERMANLANDS LÄN</t>
        </is>
      </c>
      <c r="G1736" t="inlineStr">
        <is>
          <t>ESKILSTUNA</t>
        </is>
      </c>
      <c r="H1736" t="inlineStr">
        <is>
          <t>Allmännings- och besparingsskogar</t>
        </is>
      </c>
      <c r="I1736" t="n">
        <v>1.3</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50099-2024</t>
        </is>
      </c>
      <c r="B1737" t="inlineStr">
        <is>
          <t>avverkningsanmälan</t>
        </is>
      </c>
      <c r="C1737" t="inlineStr">
        <is>
          <t>Föryngringsavverkning</t>
        </is>
      </c>
      <c r="D1737" s="1" t="n">
        <v>45597</v>
      </c>
      <c r="E1737" s="1" t="n">
        <v>46313</v>
      </c>
      <c r="F1737" t="inlineStr">
        <is>
          <t>SÖDERMANLANDS LÄN</t>
        </is>
      </c>
      <c r="G1737" t="inlineStr">
        <is>
          <t>VINGÅKER</t>
        </is>
      </c>
      <c r="I1737" t="n">
        <v>4.1</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40930-2025</t>
        </is>
      </c>
      <c r="B1738" t="inlineStr">
        <is>
          <t>avverkningsanmälan</t>
        </is>
      </c>
      <c r="C1738" t="inlineStr">
        <is>
          <t>Föryngringsavverkning</t>
        </is>
      </c>
      <c r="D1738" s="1" t="n">
        <v>45897</v>
      </c>
      <c r="E1738" s="1" t="n">
        <v>46313</v>
      </c>
      <c r="F1738" t="inlineStr">
        <is>
          <t>SÖDERMANLANDS LÄN</t>
        </is>
      </c>
      <c r="G1738" t="inlineStr">
        <is>
          <t>ESKILSTUNA</t>
        </is>
      </c>
      <c r="I1738" t="n">
        <v>3.5</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12149-2023</t>
        </is>
      </c>
      <c r="B1739" t="inlineStr">
        <is>
          <t>avverkningsanmälan</t>
        </is>
      </c>
      <c r="C1739" t="inlineStr">
        <is>
          <t>Föryngringsavverkning</t>
        </is>
      </c>
      <c r="D1739" s="1" t="n">
        <v>44998</v>
      </c>
      <c r="E1739" s="1" t="n">
        <v>46313</v>
      </c>
      <c r="F1739" t="inlineStr">
        <is>
          <t>SÖDERMANLANDS LÄN</t>
        </is>
      </c>
      <c r="G1739" t="inlineStr">
        <is>
          <t>NYKÖPING</t>
        </is>
      </c>
      <c r="I1739" t="n">
        <v>2.2</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43653-2022</t>
        </is>
      </c>
      <c r="B1740" t="inlineStr">
        <is>
          <t>avverkningsanmälan</t>
        </is>
      </c>
      <c r="C1740" t="inlineStr">
        <is>
          <t>Föryngringsavverkning</t>
        </is>
      </c>
      <c r="D1740" s="1" t="n">
        <v>44837</v>
      </c>
      <c r="E1740" s="1" t="n">
        <v>46313</v>
      </c>
      <c r="F1740" t="inlineStr">
        <is>
          <t>SÖDERMANLANDS LÄN</t>
        </is>
      </c>
      <c r="G1740" t="inlineStr">
        <is>
          <t>NYKÖPING</t>
        </is>
      </c>
      <c r="I1740" t="n">
        <v>4.2</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43657-2022</t>
        </is>
      </c>
      <c r="B1741" t="inlineStr">
        <is>
          <t>avverkningsanmälan</t>
        </is>
      </c>
      <c r="C1741" t="inlineStr">
        <is>
          <t>Föryngringsavverkning</t>
        </is>
      </c>
      <c r="D1741" s="1" t="n">
        <v>44837</v>
      </c>
      <c r="E1741" s="1" t="n">
        <v>46313</v>
      </c>
      <c r="F1741" t="inlineStr">
        <is>
          <t>SÖDERMANLANDS LÄN</t>
        </is>
      </c>
      <c r="G1741" t="inlineStr">
        <is>
          <t>NYKÖPING</t>
        </is>
      </c>
      <c r="I1741" t="n">
        <v>2.3</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10689-2023</t>
        </is>
      </c>
      <c r="B1742" t="inlineStr">
        <is>
          <t>avverkningsanmälan</t>
        </is>
      </c>
      <c r="C1742" t="inlineStr">
        <is>
          <t>Föryngringsavverkning</t>
        </is>
      </c>
      <c r="D1742" s="1" t="n">
        <v>44988</v>
      </c>
      <c r="E1742" s="1" t="n">
        <v>46313</v>
      </c>
      <c r="F1742" t="inlineStr">
        <is>
          <t>SÖDERMANLANDS LÄN</t>
        </is>
      </c>
      <c r="G1742" t="inlineStr">
        <is>
          <t>NYKÖPING</t>
        </is>
      </c>
      <c r="I1742" t="n">
        <v>1.9</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36709-2024</t>
        </is>
      </c>
      <c r="B1743" t="inlineStr">
        <is>
          <t>avverkningsanmälan</t>
        </is>
      </c>
      <c r="C1743" t="inlineStr">
        <is>
          <t>Avverkning för annat ändamål</t>
        </is>
      </c>
      <c r="D1743" s="1" t="n">
        <v>45537</v>
      </c>
      <c r="E1743" s="1" t="n">
        <v>46313</v>
      </c>
      <c r="F1743" t="inlineStr">
        <is>
          <t>SÖDERMANLANDS LÄN</t>
        </is>
      </c>
      <c r="G1743" t="inlineStr">
        <is>
          <t>TROSA</t>
        </is>
      </c>
      <c r="H1743" t="inlineStr">
        <is>
          <t>Övriga Aktiebolag</t>
        </is>
      </c>
      <c r="I1743" t="n">
        <v>1.8</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36711-2024</t>
        </is>
      </c>
      <c r="B1744" t="inlineStr">
        <is>
          <t>avverkningsanmälan</t>
        </is>
      </c>
      <c r="C1744" t="inlineStr">
        <is>
          <t>Avverkning för annat ändamål</t>
        </is>
      </c>
      <c r="D1744" s="1" t="n">
        <v>45537</v>
      </c>
      <c r="E1744" s="1" t="n">
        <v>46313</v>
      </c>
      <c r="F1744" t="inlineStr">
        <is>
          <t>SÖDERMANLANDS LÄN</t>
        </is>
      </c>
      <c r="G1744" t="inlineStr">
        <is>
          <t>TROSA</t>
        </is>
      </c>
      <c r="H1744" t="inlineStr">
        <is>
          <t>Övriga Aktiebolag</t>
        </is>
      </c>
      <c r="I1744" t="n">
        <v>0.7</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42446-2025</t>
        </is>
      </c>
      <c r="B1745" t="inlineStr">
        <is>
          <t>avverkningsanmälan</t>
        </is>
      </c>
      <c r="C1745" t="inlineStr">
        <is>
          <t>Föryngringsavverkning</t>
        </is>
      </c>
      <c r="D1745" s="1" t="n">
        <v>45905</v>
      </c>
      <c r="E1745" s="1" t="n">
        <v>46313</v>
      </c>
      <c r="F1745" t="inlineStr">
        <is>
          <t>SÖDERMANLANDS LÄN</t>
        </is>
      </c>
      <c r="G1745" t="inlineStr">
        <is>
          <t>VINGÅKER</t>
        </is>
      </c>
      <c r="I1745" t="n">
        <v>0.7</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16339-2024</t>
        </is>
      </c>
      <c r="B1746" t="inlineStr">
        <is>
          <t>avverkningsanmälan</t>
        </is>
      </c>
      <c r="C1746" t="inlineStr">
        <is>
          <t>Föryngringsavverkning</t>
        </is>
      </c>
      <c r="D1746" s="1" t="n">
        <v>45407</v>
      </c>
      <c r="E1746" s="1" t="n">
        <v>46313</v>
      </c>
      <c r="F1746" t="inlineStr">
        <is>
          <t>SÖDERMANLANDS LÄN</t>
        </is>
      </c>
      <c r="G1746" t="inlineStr">
        <is>
          <t>ESKILSTUNA</t>
        </is>
      </c>
      <c r="I1746" t="n">
        <v>3.9</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48638-2022</t>
        </is>
      </c>
      <c r="B1747" t="inlineStr">
        <is>
          <t>avverkningsanmälan</t>
        </is>
      </c>
      <c r="C1747" t="inlineStr">
        <is>
          <t>Föryngringsavverkning</t>
        </is>
      </c>
      <c r="D1747" s="1" t="n">
        <v>44859</v>
      </c>
      <c r="E1747" s="1" t="n">
        <v>46313</v>
      </c>
      <c r="F1747" t="inlineStr">
        <is>
          <t>SÖDERMANLANDS LÄN</t>
        </is>
      </c>
      <c r="G1747" t="inlineStr">
        <is>
          <t>VINGÅKER</t>
        </is>
      </c>
      <c r="I1747" t="n">
        <v>1.4</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47260-2023</t>
        </is>
      </c>
      <c r="B1748" t="inlineStr">
        <is>
          <t>avverkningsanmälan</t>
        </is>
      </c>
      <c r="C1748" t="inlineStr">
        <is>
          <t>Föryngringsavverkning</t>
        </is>
      </c>
      <c r="D1748" s="1" t="n">
        <v>45202</v>
      </c>
      <c r="E1748" s="1" t="n">
        <v>46313</v>
      </c>
      <c r="F1748" t="inlineStr">
        <is>
          <t>SÖDERMANLANDS LÄN</t>
        </is>
      </c>
      <c r="G1748" t="inlineStr">
        <is>
          <t>NYKÖPING</t>
        </is>
      </c>
      <c r="I1748" t="n">
        <v>1.8</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12135-2025</t>
        </is>
      </c>
      <c r="B1749" t="inlineStr">
        <is>
          <t>avverkningsanmälan</t>
        </is>
      </c>
      <c r="C1749" t="inlineStr">
        <is>
          <t>Föryngringsavverkning</t>
        </is>
      </c>
      <c r="D1749" s="1" t="n">
        <v>45729</v>
      </c>
      <c r="E1749" s="1" t="n">
        <v>46313</v>
      </c>
      <c r="F1749" t="inlineStr">
        <is>
          <t>SÖDERMANLANDS LÄN</t>
        </is>
      </c>
      <c r="G1749" t="inlineStr">
        <is>
          <t>NYKÖPING</t>
        </is>
      </c>
      <c r="I1749" t="n">
        <v>0.7</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10616-2025</t>
        </is>
      </c>
      <c r="B1750" t="inlineStr">
        <is>
          <t>avverkningsanmälan</t>
        </is>
      </c>
      <c r="C1750" t="inlineStr">
        <is>
          <t>Föryngringsavverkning</t>
        </is>
      </c>
      <c r="D1750" s="1" t="n">
        <v>45721</v>
      </c>
      <c r="E1750" s="1" t="n">
        <v>46313</v>
      </c>
      <c r="F1750" t="inlineStr">
        <is>
          <t>SÖDERMANLANDS LÄN</t>
        </is>
      </c>
      <c r="G1750" t="inlineStr">
        <is>
          <t>NYKÖPING</t>
        </is>
      </c>
      <c r="I1750" t="n">
        <v>6.4</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52373-2023</t>
        </is>
      </c>
      <c r="B1751" t="inlineStr">
        <is>
          <t>avverkningsanmälan</t>
        </is>
      </c>
      <c r="C1751" t="inlineStr">
        <is>
          <t>Föryngringsavverkning</t>
        </is>
      </c>
      <c r="D1751" s="1" t="n">
        <v>45224</v>
      </c>
      <c r="E1751" s="1" t="n">
        <v>46313</v>
      </c>
      <c r="F1751" t="inlineStr">
        <is>
          <t>SÖDERMANLANDS LÄN</t>
        </is>
      </c>
      <c r="G1751" t="inlineStr">
        <is>
          <t>NYKÖPING</t>
        </is>
      </c>
      <c r="I1751" t="n">
        <v>1.6</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52374-2023</t>
        </is>
      </c>
      <c r="B1752" t="inlineStr">
        <is>
          <t>avverkningsanmälan</t>
        </is>
      </c>
      <c r="C1752" t="inlineStr">
        <is>
          <t>Avverkning för annat ändamål</t>
        </is>
      </c>
      <c r="D1752" s="1" t="n">
        <v>45224</v>
      </c>
      <c r="E1752" s="1" t="n">
        <v>46313</v>
      </c>
      <c r="F1752" t="inlineStr">
        <is>
          <t>SÖDERMANLANDS LÄN</t>
        </is>
      </c>
      <c r="G1752" t="inlineStr">
        <is>
          <t>NYKÖPING</t>
        </is>
      </c>
      <c r="I1752" t="n">
        <v>2</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35118-2024</t>
        </is>
      </c>
      <c r="B1753" t="inlineStr">
        <is>
          <t>avverkningsanmälan</t>
        </is>
      </c>
      <c r="C1753" t="inlineStr">
        <is>
          <t>Föryngringsavverkning</t>
        </is>
      </c>
      <c r="D1753" s="1" t="n">
        <v>45528</v>
      </c>
      <c r="E1753" s="1" t="n">
        <v>46313</v>
      </c>
      <c r="F1753" t="inlineStr">
        <is>
          <t>SÖDERMANLANDS LÄN</t>
        </is>
      </c>
      <c r="G1753" t="inlineStr">
        <is>
          <t>FLEN</t>
        </is>
      </c>
      <c r="I1753" t="n">
        <v>2.1</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55311-2025</t>
        </is>
      </c>
      <c r="B1754" t="inlineStr">
        <is>
          <t>avverkningsanmälan</t>
        </is>
      </c>
      <c r="C1754" t="inlineStr">
        <is>
          <t>Föryngringsavverkning</t>
        </is>
      </c>
      <c r="D1754" s="1" t="n">
        <v>45970</v>
      </c>
      <c r="E1754" s="1" t="n">
        <v>46313</v>
      </c>
      <c r="F1754" t="inlineStr">
        <is>
          <t>SÖDERMANLANDS LÄN</t>
        </is>
      </c>
      <c r="G1754" t="inlineStr">
        <is>
          <t>NYKÖPING</t>
        </is>
      </c>
      <c r="I1754" t="n">
        <v>1.6</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18358-2024</t>
        </is>
      </c>
      <c r="B1755" t="inlineStr">
        <is>
          <t>avverkningsanmälan</t>
        </is>
      </c>
      <c r="C1755" t="inlineStr">
        <is>
          <t>Föryngringsavverkning</t>
        </is>
      </c>
      <c r="D1755" s="1" t="n">
        <v>45422</v>
      </c>
      <c r="E1755" s="1" t="n">
        <v>46313</v>
      </c>
      <c r="F1755" t="inlineStr">
        <is>
          <t>SÖDERMANLANDS LÄN</t>
        </is>
      </c>
      <c r="G1755" t="inlineStr">
        <is>
          <t>STRÄNGNÄS</t>
        </is>
      </c>
      <c r="I1755" t="n">
        <v>2</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18242-2023</t>
        </is>
      </c>
      <c r="B1756" t="inlineStr">
        <is>
          <t>avverkningsanmälan</t>
        </is>
      </c>
      <c r="C1756" t="inlineStr">
        <is>
          <t>Föryngringsavverkning</t>
        </is>
      </c>
      <c r="D1756" s="1" t="n">
        <v>45041</v>
      </c>
      <c r="E1756" s="1" t="n">
        <v>46313</v>
      </c>
      <c r="F1756" t="inlineStr">
        <is>
          <t>SÖDERMANLANDS LÄN</t>
        </is>
      </c>
      <c r="G1756" t="inlineStr">
        <is>
          <t>STRÄNGNÄS</t>
        </is>
      </c>
      <c r="H1756" t="inlineStr">
        <is>
          <t>Allmännings- och besparingsskogar</t>
        </is>
      </c>
      <c r="I1756" t="n">
        <v>0.6</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2735-2025</t>
        </is>
      </c>
      <c r="B1757" t="inlineStr">
        <is>
          <t>avverkningsanmälan</t>
        </is>
      </c>
      <c r="C1757" t="inlineStr">
        <is>
          <t>Avverkning för annat ändamål</t>
        </is>
      </c>
      <c r="D1757" s="1" t="n">
        <v>45677</v>
      </c>
      <c r="E1757" s="1" t="n">
        <v>46313</v>
      </c>
      <c r="F1757" t="inlineStr">
        <is>
          <t>SÖDERMANLANDS LÄN</t>
        </is>
      </c>
      <c r="G1757" t="inlineStr">
        <is>
          <t>KATRINEHOLM</t>
        </is>
      </c>
      <c r="I1757" t="n">
        <v>0.8</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43513-2023</t>
        </is>
      </c>
      <c r="B1758" t="inlineStr">
        <is>
          <t>avverkningsanmälan</t>
        </is>
      </c>
      <c r="C1758" t="inlineStr">
        <is>
          <t>Föryngringsavverkning</t>
        </is>
      </c>
      <c r="D1758" s="1" t="n">
        <v>45184</v>
      </c>
      <c r="E1758" s="1" t="n">
        <v>46313</v>
      </c>
      <c r="F1758" t="inlineStr">
        <is>
          <t>SÖDERMANLANDS LÄN</t>
        </is>
      </c>
      <c r="G1758" t="inlineStr">
        <is>
          <t>KATRINEHOLM</t>
        </is>
      </c>
      <c r="I1758" t="n">
        <v>3.8</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132-2023</t>
        </is>
      </c>
      <c r="B1759" t="inlineStr">
        <is>
          <t>avverkningsanmälan</t>
        </is>
      </c>
      <c r="C1759" t="inlineStr">
        <is>
          <t>Föryngringsavverkning</t>
        </is>
      </c>
      <c r="D1759" s="1" t="n">
        <v>44918</v>
      </c>
      <c r="E1759" s="1" t="n">
        <v>46313</v>
      </c>
      <c r="F1759" t="inlineStr">
        <is>
          <t>SÖDERMANLANDS LÄN</t>
        </is>
      </c>
      <c r="G1759" t="inlineStr">
        <is>
          <t>VINGÅKER</t>
        </is>
      </c>
      <c r="I1759" t="n">
        <v>1.1</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55265-2025</t>
        </is>
      </c>
      <c r="B1760" t="inlineStr">
        <is>
          <t>avverkningsanmälan</t>
        </is>
      </c>
      <c r="C1760" t="inlineStr">
        <is>
          <t>Föryngringsavverkning</t>
        </is>
      </c>
      <c r="D1760" s="1" t="n">
        <v>45968</v>
      </c>
      <c r="E1760" s="1" t="n">
        <v>46313</v>
      </c>
      <c r="F1760" t="inlineStr">
        <is>
          <t>SÖDERMANLANDS LÄN</t>
        </is>
      </c>
      <c r="G1760" t="inlineStr">
        <is>
          <t>TROSA</t>
        </is>
      </c>
      <c r="H1760" t="inlineStr">
        <is>
          <t>Holmen skog AB</t>
        </is>
      </c>
      <c r="I1760" t="n">
        <v>3.5</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55257-2025</t>
        </is>
      </c>
      <c r="B1761" t="inlineStr">
        <is>
          <t>avverkningsanmälan</t>
        </is>
      </c>
      <c r="C1761" t="inlineStr">
        <is>
          <t>Föryngringsavverkning</t>
        </is>
      </c>
      <c r="D1761" s="1" t="n">
        <v>45968</v>
      </c>
      <c r="E1761" s="1" t="n">
        <v>46313</v>
      </c>
      <c r="F1761" t="inlineStr">
        <is>
          <t>SÖDERMANLANDS LÄN</t>
        </is>
      </c>
      <c r="G1761" t="inlineStr">
        <is>
          <t>TROSA</t>
        </is>
      </c>
      <c r="H1761" t="inlineStr">
        <is>
          <t>Holmen skog AB</t>
        </is>
      </c>
      <c r="I1761" t="n">
        <v>1.6</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38508-2023</t>
        </is>
      </c>
      <c r="B1762" t="inlineStr">
        <is>
          <t>avverkningsanmälan</t>
        </is>
      </c>
      <c r="C1762" t="inlineStr">
        <is>
          <t>Föryngringsavverkning</t>
        </is>
      </c>
      <c r="D1762" s="1" t="n">
        <v>45162</v>
      </c>
      <c r="E1762" s="1" t="n">
        <v>46313</v>
      </c>
      <c r="F1762" t="inlineStr">
        <is>
          <t>SÖDERMANLANDS LÄN</t>
        </is>
      </c>
      <c r="G1762" t="inlineStr">
        <is>
          <t>NYKÖPING</t>
        </is>
      </c>
      <c r="I1762" t="n">
        <v>1.9</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7824-2024</t>
        </is>
      </c>
      <c r="B1763" t="inlineStr">
        <is>
          <t>avverkningsanmälan</t>
        </is>
      </c>
      <c r="C1763" t="inlineStr">
        <is>
          <t>Föryngringsavverkning</t>
        </is>
      </c>
      <c r="D1763" s="1" t="n">
        <v>45349</v>
      </c>
      <c r="E1763" s="1" t="n">
        <v>46313</v>
      </c>
      <c r="F1763" t="inlineStr">
        <is>
          <t>SÖDERMANLANDS LÄN</t>
        </is>
      </c>
      <c r="G1763" t="inlineStr">
        <is>
          <t>NYKÖPING</t>
        </is>
      </c>
      <c r="I1763" t="n">
        <v>3</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54451-2025</t>
        </is>
      </c>
      <c r="B1764" t="inlineStr">
        <is>
          <t>avverkningsanmälan</t>
        </is>
      </c>
      <c r="C1764" t="inlineStr">
        <is>
          <t>Föryngringsavverkning</t>
        </is>
      </c>
      <c r="D1764" s="1" t="n">
        <v>45965</v>
      </c>
      <c r="E1764" s="1" t="n">
        <v>46313</v>
      </c>
      <c r="F1764" t="inlineStr">
        <is>
          <t>SÖDERMANLANDS LÄN</t>
        </is>
      </c>
      <c r="G1764" t="inlineStr">
        <is>
          <t>STRÄNGNÄS</t>
        </is>
      </c>
      <c r="I1764" t="n">
        <v>2.3</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49122-2024</t>
        </is>
      </c>
      <c r="B1765" t="inlineStr">
        <is>
          <t>avverkningsanmälan</t>
        </is>
      </c>
      <c r="C1765" t="inlineStr">
        <is>
          <t>Föryngringsavverkning</t>
        </is>
      </c>
      <c r="D1765" s="1" t="n">
        <v>45594</v>
      </c>
      <c r="E1765" s="1" t="n">
        <v>46313</v>
      </c>
      <c r="F1765" t="inlineStr">
        <is>
          <t>SÖDERMANLANDS LÄN</t>
        </is>
      </c>
      <c r="G1765" t="inlineStr">
        <is>
          <t>KATRINEHOLM</t>
        </is>
      </c>
      <c r="I1765" t="n">
        <v>19.4</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5849-2023</t>
        </is>
      </c>
      <c r="B1766" t="inlineStr">
        <is>
          <t>avverkningsanmälan</t>
        </is>
      </c>
      <c r="C1766" t="inlineStr">
        <is>
          <t>Föryngringsavverkning</t>
        </is>
      </c>
      <c r="D1766" s="1" t="n">
        <v>44963</v>
      </c>
      <c r="E1766" s="1" t="n">
        <v>46313</v>
      </c>
      <c r="F1766" t="inlineStr">
        <is>
          <t>SÖDERMANLANDS LÄN</t>
        </is>
      </c>
      <c r="G1766" t="inlineStr">
        <is>
          <t>STRÄNGNÄS</t>
        </is>
      </c>
      <c r="I1766" t="n">
        <v>0.5</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3121-2023</t>
        </is>
      </c>
      <c r="B1767" t="inlineStr">
        <is>
          <t>avverkningsanmälan</t>
        </is>
      </c>
      <c r="C1767" t="inlineStr">
        <is>
          <t>Föryngringsavverkning</t>
        </is>
      </c>
      <c r="D1767" s="1" t="n">
        <v>44946</v>
      </c>
      <c r="E1767" s="1" t="n">
        <v>46313</v>
      </c>
      <c r="F1767" t="inlineStr">
        <is>
          <t>SÖDERMANLANDS LÄN</t>
        </is>
      </c>
      <c r="G1767" t="inlineStr">
        <is>
          <t>STRÄNGNÄS</t>
        </is>
      </c>
      <c r="I1767" t="n">
        <v>2.3</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23402-2026</t>
        </is>
      </c>
      <c r="B1768" t="inlineStr">
        <is>
          <t>avverkningsanmälan</t>
        </is>
      </c>
      <c r="C1768" t="inlineStr">
        <is>
          <t>Föryngringsavverkning</t>
        </is>
      </c>
      <c r="D1768" s="1" t="n">
        <v>46162</v>
      </c>
      <c r="E1768" s="1" t="n">
        <v>46313</v>
      </c>
      <c r="F1768" t="inlineStr">
        <is>
          <t>SÖDERMANLANDS LÄN</t>
        </is>
      </c>
      <c r="G1768" t="inlineStr">
        <is>
          <t>ESKILSTUNA</t>
        </is>
      </c>
      <c r="I1768" t="n">
        <v>1.1</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11755-2026</t>
        </is>
      </c>
      <c r="B1769" t="inlineStr">
        <is>
          <t>avverkningsanmälan</t>
        </is>
      </c>
      <c r="C1769" t="inlineStr">
        <is>
          <t>Föryngringsavverkning</t>
        </is>
      </c>
      <c r="D1769" s="1" t="n">
        <v>46084</v>
      </c>
      <c r="E1769" s="1" t="n">
        <v>46313</v>
      </c>
      <c r="F1769" t="inlineStr">
        <is>
          <t>SÖDERMANLANDS LÄN</t>
        </is>
      </c>
      <c r="G1769" t="inlineStr">
        <is>
          <t>NYKÖPING</t>
        </is>
      </c>
      <c r="I1769" t="n">
        <v>1.7</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10543-2026</t>
        </is>
      </c>
      <c r="B1770" t="inlineStr">
        <is>
          <t>avverkningsanmälan</t>
        </is>
      </c>
      <c r="C1770" t="inlineStr">
        <is>
          <t>Föryngringsavverkning</t>
        </is>
      </c>
      <c r="D1770" s="1" t="n">
        <v>46077</v>
      </c>
      <c r="E1770" s="1" t="n">
        <v>46313</v>
      </c>
      <c r="F1770" t="inlineStr">
        <is>
          <t>SÖDERMANLANDS LÄN</t>
        </is>
      </c>
      <c r="G1770" t="inlineStr">
        <is>
          <t>STRÄNGNÄS</t>
        </is>
      </c>
      <c r="H1770" t="inlineStr">
        <is>
          <t>Övriga Aktiebolag</t>
        </is>
      </c>
      <c r="I1770" t="n">
        <v>8.199999999999999</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1627-2024</t>
        </is>
      </c>
      <c r="B1771" t="inlineStr">
        <is>
          <t>avverkningsanmälan</t>
        </is>
      </c>
      <c r="C1771" t="inlineStr">
        <is>
          <t>Föryngringsavverkning</t>
        </is>
      </c>
      <c r="D1771" s="1" t="n">
        <v>45306</v>
      </c>
      <c r="E1771" s="1" t="n">
        <v>46313</v>
      </c>
      <c r="F1771" t="inlineStr">
        <is>
          <t>SÖDERMANLANDS LÄN</t>
        </is>
      </c>
      <c r="G1771" t="inlineStr">
        <is>
          <t>VINGÅKER</t>
        </is>
      </c>
      <c r="I1771" t="n">
        <v>2.7</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8791-2023</t>
        </is>
      </c>
      <c r="B1772" t="inlineStr">
        <is>
          <t>avverkningsanmälan</t>
        </is>
      </c>
      <c r="C1772" t="inlineStr">
        <is>
          <t>Föryngringsavverkning</t>
        </is>
      </c>
      <c r="D1772" s="1" t="n">
        <v>44978</v>
      </c>
      <c r="E1772" s="1" t="n">
        <v>46313</v>
      </c>
      <c r="F1772" t="inlineStr">
        <is>
          <t>SÖDERMANLANDS LÄN</t>
        </is>
      </c>
      <c r="G1772" t="inlineStr">
        <is>
          <t>KATRINEHOLM</t>
        </is>
      </c>
      <c r="I1772" t="n">
        <v>1.4</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9836-2026</t>
        </is>
      </c>
      <c r="B1773" t="inlineStr">
        <is>
          <t>avverkningsanmälan</t>
        </is>
      </c>
      <c r="C1773" t="inlineStr">
        <is>
          <t>Föryngringsavverkning</t>
        </is>
      </c>
      <c r="D1773" s="1" t="n">
        <v>46072</v>
      </c>
      <c r="E1773" s="1" t="n">
        <v>46313</v>
      </c>
      <c r="F1773" t="inlineStr">
        <is>
          <t>SÖDERMANLANDS LÄN</t>
        </is>
      </c>
      <c r="G1773" t="inlineStr">
        <is>
          <t>NYKÖPING</t>
        </is>
      </c>
      <c r="I1773" t="n">
        <v>10</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11757-2026</t>
        </is>
      </c>
      <c r="B1774" t="inlineStr">
        <is>
          <t>avverkningsanmälan</t>
        </is>
      </c>
      <c r="C1774" t="inlineStr">
        <is>
          <t>Föryngringsavverkning</t>
        </is>
      </c>
      <c r="D1774" s="1" t="n">
        <v>46084</v>
      </c>
      <c r="E1774" s="1" t="n">
        <v>46313</v>
      </c>
      <c r="F1774" t="inlineStr">
        <is>
          <t>SÖDERMANLANDS LÄN</t>
        </is>
      </c>
      <c r="G1774" t="inlineStr">
        <is>
          <t>NYKÖPING</t>
        </is>
      </c>
      <c r="I1774" t="n">
        <v>2.8</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55825-2022</t>
        </is>
      </c>
      <c r="B1775" t="inlineStr">
        <is>
          <t>avverkningsanmälan</t>
        </is>
      </c>
      <c r="C1775" t="inlineStr">
        <is>
          <t>Föryngringsavverkning</t>
        </is>
      </c>
      <c r="D1775" s="1" t="n">
        <v>44886</v>
      </c>
      <c r="E1775" s="1" t="n">
        <v>46313</v>
      </c>
      <c r="F1775" t="inlineStr">
        <is>
          <t>SÖDERMANLANDS LÄN</t>
        </is>
      </c>
      <c r="G1775" t="inlineStr">
        <is>
          <t>KATRINEHOLM</t>
        </is>
      </c>
      <c r="I1775" t="n">
        <v>1.3</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56770-2025</t>
        </is>
      </c>
      <c r="B1776" t="inlineStr">
        <is>
          <t>avverkningsanmälan</t>
        </is>
      </c>
      <c r="C1776" t="inlineStr">
        <is>
          <t>Föryngringsavverkning</t>
        </is>
      </c>
      <c r="D1776" s="1" t="n">
        <v>45978</v>
      </c>
      <c r="E1776" s="1" t="n">
        <v>46313</v>
      </c>
      <c r="F1776" t="inlineStr">
        <is>
          <t>SÖDERMANLANDS LÄN</t>
        </is>
      </c>
      <c r="G1776" t="inlineStr">
        <is>
          <t>NYKÖPING</t>
        </is>
      </c>
      <c r="H1776" t="inlineStr">
        <is>
          <t>Holmen skog AB</t>
        </is>
      </c>
      <c r="I1776" t="n">
        <v>2.8</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10715-2022</t>
        </is>
      </c>
      <c r="B1777" t="inlineStr">
        <is>
          <t>avverkningsanmälan</t>
        </is>
      </c>
      <c r="C1777" t="inlineStr">
        <is>
          <t>Föryngringsavverkning</t>
        </is>
      </c>
      <c r="D1777" s="1" t="n">
        <v>44626</v>
      </c>
      <c r="E1777" s="1" t="n">
        <v>46313</v>
      </c>
      <c r="F1777" t="inlineStr">
        <is>
          <t>SÖDERMANLANDS LÄN</t>
        </is>
      </c>
      <c r="G1777" t="inlineStr">
        <is>
          <t>ESKILSTUNA</t>
        </is>
      </c>
      <c r="I1777" t="n">
        <v>3.7</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68041-2021</t>
        </is>
      </c>
      <c r="B1778" t="inlineStr">
        <is>
          <t>avverkningsanmälan</t>
        </is>
      </c>
      <c r="C1778" t="inlineStr">
        <is>
          <t>Föryngringsavverkning</t>
        </is>
      </c>
      <c r="D1778" s="1" t="n">
        <v>44525</v>
      </c>
      <c r="E1778" s="1" t="n">
        <v>46313</v>
      </c>
      <c r="F1778" t="inlineStr">
        <is>
          <t>SÖDERMANLANDS LÄN</t>
        </is>
      </c>
      <c r="G1778" t="inlineStr">
        <is>
          <t>NYKÖPING</t>
        </is>
      </c>
      <c r="I1778" t="n">
        <v>0.8</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12826-2024</t>
        </is>
      </c>
      <c r="B1779" t="inlineStr">
        <is>
          <t>avverkningsanmälan</t>
        </is>
      </c>
      <c r="C1779" t="inlineStr">
        <is>
          <t>Föryngringsavverkning</t>
        </is>
      </c>
      <c r="D1779" s="1" t="n">
        <v>45384</v>
      </c>
      <c r="E1779" s="1" t="n">
        <v>46313</v>
      </c>
      <c r="F1779" t="inlineStr">
        <is>
          <t>SÖDERMANLANDS LÄN</t>
        </is>
      </c>
      <c r="G1779" t="inlineStr">
        <is>
          <t>NYKÖPING</t>
        </is>
      </c>
      <c r="I1779" t="n">
        <v>0.7</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4683-2023</t>
        </is>
      </c>
      <c r="B1780" t="inlineStr">
        <is>
          <t>avverkningsanmälan</t>
        </is>
      </c>
      <c r="C1780" t="inlineStr">
        <is>
          <t>Föryngringsavverkning</t>
        </is>
      </c>
      <c r="D1780" s="1" t="n">
        <v>44957</v>
      </c>
      <c r="E1780" s="1" t="n">
        <v>46313</v>
      </c>
      <c r="F1780" t="inlineStr">
        <is>
          <t>SÖDERMANLANDS LÄN</t>
        </is>
      </c>
      <c r="G1780" t="inlineStr">
        <is>
          <t>NYKÖPING</t>
        </is>
      </c>
      <c r="I1780" t="n">
        <v>1</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62954-2023</t>
        </is>
      </c>
      <c r="B1781" t="inlineStr">
        <is>
          <t>avverkningsanmälan</t>
        </is>
      </c>
      <c r="C1781" t="inlineStr">
        <is>
          <t>Föryngringsavverkning</t>
        </is>
      </c>
      <c r="D1781" s="1" t="n">
        <v>45272</v>
      </c>
      <c r="E1781" s="1" t="n">
        <v>46313</v>
      </c>
      <c r="F1781" t="inlineStr">
        <is>
          <t>SÖDERMANLANDS LÄN</t>
        </is>
      </c>
      <c r="G1781" t="inlineStr">
        <is>
          <t>KATRINEHOLM</t>
        </is>
      </c>
      <c r="I1781" t="n">
        <v>2.3</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56389-2025</t>
        </is>
      </c>
      <c r="B1782" t="inlineStr">
        <is>
          <t>avverkningsanmälan</t>
        </is>
      </c>
      <c r="C1782" t="inlineStr">
        <is>
          <t>Föryngringsavverkning</t>
        </is>
      </c>
      <c r="D1782" s="1" t="n">
        <v>45974</v>
      </c>
      <c r="E1782" s="1" t="n">
        <v>46313</v>
      </c>
      <c r="F1782" t="inlineStr">
        <is>
          <t>SÖDERMANLANDS LÄN</t>
        </is>
      </c>
      <c r="G1782" t="inlineStr">
        <is>
          <t>ESKILSTUNA</t>
        </is>
      </c>
      <c r="I1782" t="n">
        <v>0.7</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56128-2025</t>
        </is>
      </c>
      <c r="B1783" t="inlineStr">
        <is>
          <t>avverkningsanmälan</t>
        </is>
      </c>
      <c r="C1783" t="inlineStr">
        <is>
          <t>Föryngringsavverkning</t>
        </is>
      </c>
      <c r="D1783" s="1" t="n">
        <v>45974</v>
      </c>
      <c r="E1783" s="1" t="n">
        <v>46313</v>
      </c>
      <c r="F1783" t="inlineStr">
        <is>
          <t>SÖDERMANLANDS LÄN</t>
        </is>
      </c>
      <c r="G1783" t="inlineStr">
        <is>
          <t>NYKÖPING</t>
        </is>
      </c>
      <c r="H1783" t="inlineStr">
        <is>
          <t>Holmen skog AB</t>
        </is>
      </c>
      <c r="I1783" t="n">
        <v>3.2</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11103-2026</t>
        </is>
      </c>
      <c r="B1784" t="inlineStr">
        <is>
          <t>avverkningsanmälan</t>
        </is>
      </c>
      <c r="C1784" t="inlineStr">
        <is>
          <t>Föryngringsavverkning</t>
        </is>
      </c>
      <c r="D1784" s="1" t="n">
        <v>46079</v>
      </c>
      <c r="E1784" s="1" t="n">
        <v>46313</v>
      </c>
      <c r="F1784" t="inlineStr">
        <is>
          <t>SÖDERMANLANDS LÄN</t>
        </is>
      </c>
      <c r="G1784" t="inlineStr">
        <is>
          <t>TROSA</t>
        </is>
      </c>
      <c r="I1784" t="n">
        <v>5.6</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57353-2022</t>
        </is>
      </c>
      <c r="B1785" t="inlineStr">
        <is>
          <t>avverkningsanmälan</t>
        </is>
      </c>
      <c r="C1785" t="inlineStr">
        <is>
          <t>Föryngringsavverkning</t>
        </is>
      </c>
      <c r="D1785" s="1" t="n">
        <v>44896</v>
      </c>
      <c r="E1785" s="1" t="n">
        <v>46313</v>
      </c>
      <c r="F1785" t="inlineStr">
        <is>
          <t>SÖDERMANLANDS LÄN</t>
        </is>
      </c>
      <c r="G1785" t="inlineStr">
        <is>
          <t>FLEN</t>
        </is>
      </c>
      <c r="H1785" t="inlineStr">
        <is>
          <t>Övriga statliga verk och myndigheter</t>
        </is>
      </c>
      <c r="I1785" t="n">
        <v>1.5</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23637-2026</t>
        </is>
      </c>
      <c r="B1786" t="inlineStr">
        <is>
          <t>avverkningsanmälan</t>
        </is>
      </c>
      <c r="C1786" t="inlineStr">
        <is>
          <t>Avverkning för annat ändamål</t>
        </is>
      </c>
      <c r="D1786" s="1" t="n">
        <v>46163</v>
      </c>
      <c r="E1786" s="1" t="n">
        <v>46313</v>
      </c>
      <c r="F1786" t="inlineStr">
        <is>
          <t>SÖDERMANLANDS LÄN</t>
        </is>
      </c>
      <c r="G1786" t="inlineStr">
        <is>
          <t>NYKÖPING</t>
        </is>
      </c>
      <c r="H1786" t="inlineStr">
        <is>
          <t>Kyrkan</t>
        </is>
      </c>
      <c r="I1786" t="n">
        <v>1</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56573-2025</t>
        </is>
      </c>
      <c r="B1787" t="inlineStr">
        <is>
          <t>avverkningsanmälan</t>
        </is>
      </c>
      <c r="C1787" t="inlineStr">
        <is>
          <t>Avverkning för annat ändamål</t>
        </is>
      </c>
      <c r="D1787" s="1" t="n">
        <v>45974</v>
      </c>
      <c r="E1787" s="1" t="n">
        <v>46313</v>
      </c>
      <c r="F1787" t="inlineStr">
        <is>
          <t>SÖDERMANLANDS LÄN</t>
        </is>
      </c>
      <c r="G1787" t="inlineStr">
        <is>
          <t>FLEN</t>
        </is>
      </c>
      <c r="I1787" t="n">
        <v>1.5</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56845-2025</t>
        </is>
      </c>
      <c r="B1788" t="inlineStr">
        <is>
          <t>avverkningsanmälan</t>
        </is>
      </c>
      <c r="C1788" t="inlineStr">
        <is>
          <t>Föryngringsavverkning</t>
        </is>
      </c>
      <c r="D1788" s="1" t="n">
        <v>45978</v>
      </c>
      <c r="E1788" s="1" t="n">
        <v>46313</v>
      </c>
      <c r="F1788" t="inlineStr">
        <is>
          <t>SÖDERMANLANDS LÄN</t>
        </is>
      </c>
      <c r="G1788" t="inlineStr">
        <is>
          <t>NYKÖPING</t>
        </is>
      </c>
      <c r="I1788" t="n">
        <v>0.6</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56124-2025</t>
        </is>
      </c>
      <c r="B1789" t="inlineStr">
        <is>
          <t>avverkningsanmälan</t>
        </is>
      </c>
      <c r="C1789" t="inlineStr">
        <is>
          <t>Avverkning för annat ändamål</t>
        </is>
      </c>
      <c r="D1789" s="1" t="n">
        <v>45973</v>
      </c>
      <c r="E1789" s="1" t="n">
        <v>46313</v>
      </c>
      <c r="F1789" t="inlineStr">
        <is>
          <t>SÖDERMANLANDS LÄN</t>
        </is>
      </c>
      <c r="G1789" t="inlineStr">
        <is>
          <t>STRÄNGNÄS</t>
        </is>
      </c>
      <c r="I1789" t="n">
        <v>1.2</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31983-2023</t>
        </is>
      </c>
      <c r="B1790" t="inlineStr">
        <is>
          <t>avverkningsanmälan</t>
        </is>
      </c>
      <c r="C1790" t="inlineStr">
        <is>
          <t>Föryngringsavverkning</t>
        </is>
      </c>
      <c r="D1790" s="1" t="n">
        <v>45119</v>
      </c>
      <c r="E1790" s="1" t="n">
        <v>46313</v>
      </c>
      <c r="F1790" t="inlineStr">
        <is>
          <t>SÖDERMANLANDS LÄN</t>
        </is>
      </c>
      <c r="G1790" t="inlineStr">
        <is>
          <t>ESKILSTUNA</t>
        </is>
      </c>
      <c r="H1790" t="inlineStr">
        <is>
          <t>Sveaskog</t>
        </is>
      </c>
      <c r="I1790" t="n">
        <v>3.2</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7191-2023</t>
        </is>
      </c>
      <c r="B1791" t="inlineStr">
        <is>
          <t>avverkningsanmälan</t>
        </is>
      </c>
      <c r="C1791" t="inlineStr">
        <is>
          <t>Föryngringsavverkning</t>
        </is>
      </c>
      <c r="D1791" s="1" t="n">
        <v>44965</v>
      </c>
      <c r="E1791" s="1" t="n">
        <v>46313</v>
      </c>
      <c r="F1791" t="inlineStr">
        <is>
          <t>SÖDERMANLANDS LÄN</t>
        </is>
      </c>
      <c r="G1791" t="inlineStr">
        <is>
          <t>KATRINEHOLM</t>
        </is>
      </c>
      <c r="I1791" t="n">
        <v>14.1</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7194-2023</t>
        </is>
      </c>
      <c r="B1792" t="inlineStr">
        <is>
          <t>avverkningsanmälan</t>
        </is>
      </c>
      <c r="C1792" t="inlineStr">
        <is>
          <t>Föryngringsavverkning</t>
        </is>
      </c>
      <c r="D1792" s="1" t="n">
        <v>44970</v>
      </c>
      <c r="E1792" s="1" t="n">
        <v>46313</v>
      </c>
      <c r="F1792" t="inlineStr">
        <is>
          <t>SÖDERMANLANDS LÄN</t>
        </is>
      </c>
      <c r="G1792" t="inlineStr">
        <is>
          <t>FLEN</t>
        </is>
      </c>
      <c r="I1792" t="n">
        <v>2.1</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57150-2025</t>
        </is>
      </c>
      <c r="B1793" t="inlineStr">
        <is>
          <t>avverkningsanmälan</t>
        </is>
      </c>
      <c r="C1793" t="inlineStr">
        <is>
          <t>Föryngringsavverkning</t>
        </is>
      </c>
      <c r="D1793" s="1" t="n">
        <v>45979</v>
      </c>
      <c r="E1793" s="1" t="n">
        <v>46313</v>
      </c>
      <c r="F1793" t="inlineStr">
        <is>
          <t>SÖDERMANLANDS LÄN</t>
        </is>
      </c>
      <c r="G1793" t="inlineStr">
        <is>
          <t>STRÄNGNÄS</t>
        </is>
      </c>
      <c r="I1793" t="n">
        <v>13.8</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2255-2022</t>
        </is>
      </c>
      <c r="B1794" t="inlineStr">
        <is>
          <t>avverkningsanmälan</t>
        </is>
      </c>
      <c r="C1794" t="inlineStr">
        <is>
          <t>Föryngringsavverkning</t>
        </is>
      </c>
      <c r="D1794" s="1" t="n">
        <v>44578</v>
      </c>
      <c r="E1794" s="1" t="n">
        <v>46313</v>
      </c>
      <c r="F1794" t="inlineStr">
        <is>
          <t>SÖDERMANLANDS LÄN</t>
        </is>
      </c>
      <c r="G1794" t="inlineStr">
        <is>
          <t>NYKÖPING</t>
        </is>
      </c>
      <c r="I1794" t="n">
        <v>2.1</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36142-2022</t>
        </is>
      </c>
      <c r="B1795" t="inlineStr">
        <is>
          <t>avverkningsanmälan</t>
        </is>
      </c>
      <c r="C1795" t="inlineStr">
        <is>
          <t>Föryngringsavverkning</t>
        </is>
      </c>
      <c r="D1795" s="1" t="n">
        <v>44803</v>
      </c>
      <c r="E1795" s="1" t="n">
        <v>46313</v>
      </c>
      <c r="F1795" t="inlineStr">
        <is>
          <t>SÖDERMANLANDS LÄN</t>
        </is>
      </c>
      <c r="G1795" t="inlineStr">
        <is>
          <t>ESKILSTUNA</t>
        </is>
      </c>
      <c r="I1795" t="n">
        <v>0.5</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36153-2022</t>
        </is>
      </c>
      <c r="B1796" t="inlineStr">
        <is>
          <t>avverkningsanmälan</t>
        </is>
      </c>
      <c r="C1796" t="inlineStr">
        <is>
          <t>Föryngringsavverkning</t>
        </is>
      </c>
      <c r="D1796" s="1" t="n">
        <v>44803</v>
      </c>
      <c r="E1796" s="1" t="n">
        <v>46313</v>
      </c>
      <c r="F1796" t="inlineStr">
        <is>
          <t>SÖDERMANLANDS LÄN</t>
        </is>
      </c>
      <c r="G1796" t="inlineStr">
        <is>
          <t>ESKILSTUNA</t>
        </is>
      </c>
      <c r="I1796" t="n">
        <v>2.7</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15047-2025</t>
        </is>
      </c>
      <c r="B1797" t="inlineStr">
        <is>
          <t>avverkningsanmälan</t>
        </is>
      </c>
      <c r="C1797" t="inlineStr">
        <is>
          <t>Föryngringsavverkning</t>
        </is>
      </c>
      <c r="D1797" s="1" t="n">
        <v>45743</v>
      </c>
      <c r="E1797" s="1" t="n">
        <v>46313</v>
      </c>
      <c r="F1797" t="inlineStr">
        <is>
          <t>SÖDERMANLANDS LÄN</t>
        </is>
      </c>
      <c r="G1797" t="inlineStr">
        <is>
          <t>NYKÖPING</t>
        </is>
      </c>
      <c r="I1797" t="n">
        <v>2</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48620-2022</t>
        </is>
      </c>
      <c r="B1798" t="inlineStr">
        <is>
          <t>avverkningsanmälan</t>
        </is>
      </c>
      <c r="C1798" t="inlineStr">
        <is>
          <t>Föryngringsavverkning</t>
        </is>
      </c>
      <c r="D1798" s="1" t="n">
        <v>44859</v>
      </c>
      <c r="E1798" s="1" t="n">
        <v>46313</v>
      </c>
      <c r="F1798" t="inlineStr">
        <is>
          <t>SÖDERMANLANDS LÄN</t>
        </is>
      </c>
      <c r="G1798" t="inlineStr">
        <is>
          <t>VINGÅKER</t>
        </is>
      </c>
      <c r="I1798" t="n">
        <v>1.2</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48627-2022</t>
        </is>
      </c>
      <c r="B1799" t="inlineStr">
        <is>
          <t>avverkningsanmälan</t>
        </is>
      </c>
      <c r="C1799" t="inlineStr">
        <is>
          <t>Föryngringsavverkning</t>
        </is>
      </c>
      <c r="D1799" s="1" t="n">
        <v>44859</v>
      </c>
      <c r="E1799" s="1" t="n">
        <v>46313</v>
      </c>
      <c r="F1799" t="inlineStr">
        <is>
          <t>SÖDERMANLANDS LÄN</t>
        </is>
      </c>
      <c r="G1799" t="inlineStr">
        <is>
          <t>VINGÅKER</t>
        </is>
      </c>
      <c r="I1799" t="n">
        <v>0.7</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57342-2025</t>
        </is>
      </c>
      <c r="B1800" t="inlineStr">
        <is>
          <t>avverkningsanmälan</t>
        </is>
      </c>
      <c r="C1800" t="inlineStr">
        <is>
          <t>Föryngringsavverkning</t>
        </is>
      </c>
      <c r="D1800" s="1" t="n">
        <v>45979</v>
      </c>
      <c r="E1800" s="1" t="n">
        <v>46313</v>
      </c>
      <c r="F1800" t="inlineStr">
        <is>
          <t>SÖDERMANLANDS LÄN</t>
        </is>
      </c>
      <c r="G1800" t="inlineStr">
        <is>
          <t>TROSA</t>
        </is>
      </c>
      <c r="H1800" t="inlineStr">
        <is>
          <t>Övriga Aktiebolag</t>
        </is>
      </c>
      <c r="I1800" t="n">
        <v>0.7</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57338-2025</t>
        </is>
      </c>
      <c r="B1801" t="inlineStr">
        <is>
          <t>avverkningsanmälan</t>
        </is>
      </c>
      <c r="C1801" t="inlineStr">
        <is>
          <t>Föryngringsavverkning</t>
        </is>
      </c>
      <c r="D1801" s="1" t="n">
        <v>45979</v>
      </c>
      <c r="E1801" s="1" t="n">
        <v>46313</v>
      </c>
      <c r="F1801" t="inlineStr">
        <is>
          <t>SÖDERMANLANDS LÄN</t>
        </is>
      </c>
      <c r="G1801" t="inlineStr">
        <is>
          <t>TROSA</t>
        </is>
      </c>
      <c r="H1801" t="inlineStr">
        <is>
          <t>Övriga Aktiebolag</t>
        </is>
      </c>
      <c r="I1801" t="n">
        <v>0.5</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57074-2025</t>
        </is>
      </c>
      <c r="B1802" t="inlineStr">
        <is>
          <t>avverkningsanmälan</t>
        </is>
      </c>
      <c r="C1802" t="inlineStr">
        <is>
          <t>Föryngringsavverkning</t>
        </is>
      </c>
      <c r="D1802" s="1" t="n">
        <v>45979</v>
      </c>
      <c r="E1802" s="1" t="n">
        <v>46313</v>
      </c>
      <c r="F1802" t="inlineStr">
        <is>
          <t>SÖDERMANLANDS LÄN</t>
        </is>
      </c>
      <c r="G1802" t="inlineStr">
        <is>
          <t>NYKÖPING</t>
        </is>
      </c>
      <c r="I1802" t="n">
        <v>3</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57128-2025</t>
        </is>
      </c>
      <c r="B1803" t="inlineStr">
        <is>
          <t>avverkningsanmälan</t>
        </is>
      </c>
      <c r="C1803" t="inlineStr">
        <is>
          <t>Föryngringsavverkning</t>
        </is>
      </c>
      <c r="D1803" s="1" t="n">
        <v>45979</v>
      </c>
      <c r="E1803" s="1" t="n">
        <v>46313</v>
      </c>
      <c r="F1803" t="inlineStr">
        <is>
          <t>SÖDERMANLANDS LÄN</t>
        </is>
      </c>
      <c r="G1803" t="inlineStr">
        <is>
          <t>ESKILSTUNA</t>
        </is>
      </c>
      <c r="I1803" t="n">
        <v>1.4</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5458-2025</t>
        </is>
      </c>
      <c r="B1804" t="inlineStr">
        <is>
          <t>avverkningsanmälan</t>
        </is>
      </c>
      <c r="C1804" t="inlineStr">
        <is>
          <t>Föryngringsavverkning</t>
        </is>
      </c>
      <c r="D1804" s="1" t="n">
        <v>45692</v>
      </c>
      <c r="E1804" s="1" t="n">
        <v>46313</v>
      </c>
      <c r="F1804" t="inlineStr">
        <is>
          <t>SÖDERMANLANDS LÄN</t>
        </is>
      </c>
      <c r="G1804" t="inlineStr">
        <is>
          <t>STRÄNGNÄS</t>
        </is>
      </c>
      <c r="I1804" t="n">
        <v>2.3</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39448-2024</t>
        </is>
      </c>
      <c r="B1805" t="inlineStr">
        <is>
          <t>avverkningsanmälan</t>
        </is>
      </c>
      <c r="C1805" t="inlineStr">
        <is>
          <t>Föryngringsavverkning</t>
        </is>
      </c>
      <c r="D1805" s="1" t="n">
        <v>45551</v>
      </c>
      <c r="E1805" s="1" t="n">
        <v>46313</v>
      </c>
      <c r="F1805" t="inlineStr">
        <is>
          <t>SÖDERMANLANDS LÄN</t>
        </is>
      </c>
      <c r="G1805" t="inlineStr">
        <is>
          <t>STRÄNGNÄS</t>
        </is>
      </c>
      <c r="I1805" t="n">
        <v>1.2</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37834-2023</t>
        </is>
      </c>
      <c r="B1806" t="inlineStr">
        <is>
          <t>avverkningsanmälan</t>
        </is>
      </c>
      <c r="C1806" t="inlineStr">
        <is>
          <t>Föryngringsavverkning</t>
        </is>
      </c>
      <c r="D1806" s="1" t="n">
        <v>45160</v>
      </c>
      <c r="E1806" s="1" t="n">
        <v>46313</v>
      </c>
      <c r="F1806" t="inlineStr">
        <is>
          <t>SÖDERMANLANDS LÄN</t>
        </is>
      </c>
      <c r="G1806" t="inlineStr">
        <is>
          <t>KATRINEHOLM</t>
        </is>
      </c>
      <c r="H1806" t="inlineStr">
        <is>
          <t>Kyrkan</t>
        </is>
      </c>
      <c r="I1806" t="n">
        <v>2.8</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57134-2025</t>
        </is>
      </c>
      <c r="B1807" t="inlineStr">
        <is>
          <t>avverkningsanmälan</t>
        </is>
      </c>
      <c r="C1807" t="inlineStr">
        <is>
          <t>Föryngringsavverkning</t>
        </is>
      </c>
      <c r="D1807" s="1" t="n">
        <v>45979</v>
      </c>
      <c r="E1807" s="1" t="n">
        <v>46313</v>
      </c>
      <c r="F1807" t="inlineStr">
        <is>
          <t>SÖDERMANLANDS LÄN</t>
        </is>
      </c>
      <c r="G1807" t="inlineStr">
        <is>
          <t>ESKILSTUNA</t>
        </is>
      </c>
      <c r="I1807" t="n">
        <v>0.8</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36210-2022</t>
        </is>
      </c>
      <c r="B1808" t="inlineStr">
        <is>
          <t>avverkningsanmälan</t>
        </is>
      </c>
      <c r="C1808" t="inlineStr">
        <is>
          <t>Föryngringsavverkning</t>
        </is>
      </c>
      <c r="D1808" s="1" t="n">
        <v>44803</v>
      </c>
      <c r="E1808" s="1" t="n">
        <v>46313</v>
      </c>
      <c r="F1808" t="inlineStr">
        <is>
          <t>SÖDERMANLANDS LÄN</t>
        </is>
      </c>
      <c r="G1808" t="inlineStr">
        <is>
          <t>KATRINEHOLM</t>
        </is>
      </c>
      <c r="I1808" t="n">
        <v>1.6</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19685-2022</t>
        </is>
      </c>
      <c r="B1809" t="inlineStr">
        <is>
          <t>avverkningsanmälan</t>
        </is>
      </c>
      <c r="C1809" t="inlineStr">
        <is>
          <t>Föryngringsavverkning</t>
        </is>
      </c>
      <c r="D1809" s="1" t="n">
        <v>44694</v>
      </c>
      <c r="E1809" s="1" t="n">
        <v>46313</v>
      </c>
      <c r="F1809" t="inlineStr">
        <is>
          <t>SÖDERMANLANDS LÄN</t>
        </is>
      </c>
      <c r="G1809" t="inlineStr">
        <is>
          <t>KATRINEHOLM</t>
        </is>
      </c>
      <c r="I1809" t="n">
        <v>1.7</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57344-2025</t>
        </is>
      </c>
      <c r="B1810" t="inlineStr">
        <is>
          <t>avverkningsanmälan</t>
        </is>
      </c>
      <c r="C1810" t="inlineStr">
        <is>
          <t>Föryngringsavverkning</t>
        </is>
      </c>
      <c r="D1810" s="1" t="n">
        <v>45979</v>
      </c>
      <c r="E1810" s="1" t="n">
        <v>46313</v>
      </c>
      <c r="F1810" t="inlineStr">
        <is>
          <t>SÖDERMANLANDS LÄN</t>
        </is>
      </c>
      <c r="G1810" t="inlineStr">
        <is>
          <t>TROSA</t>
        </is>
      </c>
      <c r="H1810" t="inlineStr">
        <is>
          <t>Övriga Aktiebolag</t>
        </is>
      </c>
      <c r="I1810" t="n">
        <v>0.7</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57632-2024</t>
        </is>
      </c>
      <c r="B1811" t="inlineStr">
        <is>
          <t>avverkningsanmälan</t>
        </is>
      </c>
      <c r="C1811" t="inlineStr">
        <is>
          <t>Föryngringsavverkning</t>
        </is>
      </c>
      <c r="D1811" s="1" t="n">
        <v>45630</v>
      </c>
      <c r="E1811" s="1" t="n">
        <v>46313</v>
      </c>
      <c r="F1811" t="inlineStr">
        <is>
          <t>SÖDERMANLANDS LÄN</t>
        </is>
      </c>
      <c r="G1811" t="inlineStr">
        <is>
          <t>VINGÅKER</t>
        </is>
      </c>
      <c r="I1811" t="n">
        <v>1</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57138-2025</t>
        </is>
      </c>
      <c r="B1812" t="inlineStr">
        <is>
          <t>avverkningsanmälan</t>
        </is>
      </c>
      <c r="C1812" t="inlineStr">
        <is>
          <t>Föryngringsavverkning</t>
        </is>
      </c>
      <c r="D1812" s="1" t="n">
        <v>45979</v>
      </c>
      <c r="E1812" s="1" t="n">
        <v>46313</v>
      </c>
      <c r="F1812" t="inlineStr">
        <is>
          <t>SÖDERMANLANDS LÄN</t>
        </is>
      </c>
      <c r="G1812" t="inlineStr">
        <is>
          <t>ESKILSTUNA</t>
        </is>
      </c>
      <c r="I1812" t="n">
        <v>1.5</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34783-2023</t>
        </is>
      </c>
      <c r="B1813" t="inlineStr">
        <is>
          <t>avverkningsanmälan</t>
        </is>
      </c>
      <c r="C1813" t="inlineStr">
        <is>
          <t>Föryngringsavverkning</t>
        </is>
      </c>
      <c r="D1813" s="1" t="n">
        <v>45140</v>
      </c>
      <c r="E1813" s="1" t="n">
        <v>46313</v>
      </c>
      <c r="F1813" t="inlineStr">
        <is>
          <t>SÖDERMANLANDS LÄN</t>
        </is>
      </c>
      <c r="G1813" t="inlineStr">
        <is>
          <t>FLEN</t>
        </is>
      </c>
      <c r="I1813" t="n">
        <v>3.9</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57183-2025</t>
        </is>
      </c>
      <c r="B1814" t="inlineStr">
        <is>
          <t>avverkningsanmälan</t>
        </is>
      </c>
      <c r="C1814" t="inlineStr">
        <is>
          <t>Föryngringsavverkning</t>
        </is>
      </c>
      <c r="D1814" s="1" t="n">
        <v>45979</v>
      </c>
      <c r="E1814" s="1" t="n">
        <v>46313</v>
      </c>
      <c r="F1814" t="inlineStr">
        <is>
          <t>SÖDERMANLANDS LÄN</t>
        </is>
      </c>
      <c r="G1814" t="inlineStr">
        <is>
          <t>GNESTA</t>
        </is>
      </c>
      <c r="I1814" t="n">
        <v>2</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48631-2022</t>
        </is>
      </c>
      <c r="B1815" t="inlineStr">
        <is>
          <t>avverkningsanmälan</t>
        </is>
      </c>
      <c r="C1815" t="inlineStr">
        <is>
          <t>Föryngringsavverkning</t>
        </is>
      </c>
      <c r="D1815" s="1" t="n">
        <v>44859</v>
      </c>
      <c r="E1815" s="1" t="n">
        <v>46313</v>
      </c>
      <c r="F1815" t="inlineStr">
        <is>
          <t>SÖDERMANLANDS LÄN</t>
        </is>
      </c>
      <c r="G1815" t="inlineStr">
        <is>
          <t>VINGÅKER</t>
        </is>
      </c>
      <c r="I1815" t="n">
        <v>1.7</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48644-2022</t>
        </is>
      </c>
      <c r="B1816" t="inlineStr">
        <is>
          <t>avverkningsanmälan</t>
        </is>
      </c>
      <c r="C1816" t="inlineStr">
        <is>
          <t>Föryngringsavverkning</t>
        </is>
      </c>
      <c r="D1816" s="1" t="n">
        <v>44859</v>
      </c>
      <c r="E1816" s="1" t="n">
        <v>46313</v>
      </c>
      <c r="F1816" t="inlineStr">
        <is>
          <t>SÖDERMANLANDS LÄN</t>
        </is>
      </c>
      <c r="G1816" t="inlineStr">
        <is>
          <t>VINGÅKER</t>
        </is>
      </c>
      <c r="I1816" t="n">
        <v>1.2</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52203-2025</t>
        </is>
      </c>
      <c r="B1817" t="inlineStr">
        <is>
          <t>avverkningsanmälan</t>
        </is>
      </c>
      <c r="C1817" t="inlineStr">
        <is>
          <t>Avverkning för annat ändamål</t>
        </is>
      </c>
      <c r="D1817" s="1" t="n">
        <v>45953</v>
      </c>
      <c r="E1817" s="1" t="n">
        <v>46313</v>
      </c>
      <c r="F1817" t="inlineStr">
        <is>
          <t>SÖDERMANLANDS LÄN</t>
        </is>
      </c>
      <c r="G1817" t="inlineStr">
        <is>
          <t>ESKILSTUNA</t>
        </is>
      </c>
      <c r="I1817" t="n">
        <v>0.9</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57862-2025</t>
        </is>
      </c>
      <c r="B1818" t="inlineStr">
        <is>
          <t>avverkningsanmälan</t>
        </is>
      </c>
      <c r="C1818" t="inlineStr">
        <is>
          <t>Föryngringsavverkning</t>
        </is>
      </c>
      <c r="D1818" s="1" t="n">
        <v>45981</v>
      </c>
      <c r="E1818" s="1" t="n">
        <v>46313</v>
      </c>
      <c r="F1818" t="inlineStr">
        <is>
          <t>SÖDERMANLANDS LÄN</t>
        </is>
      </c>
      <c r="G1818" t="inlineStr">
        <is>
          <t>VINGÅKER</t>
        </is>
      </c>
      <c r="H1818" t="inlineStr">
        <is>
          <t>Sveaskog</t>
        </is>
      </c>
      <c r="I1818" t="n">
        <v>15.9</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8951-2024</t>
        </is>
      </c>
      <c r="B1819" t="inlineStr">
        <is>
          <t>avverkningsanmälan</t>
        </is>
      </c>
      <c r="C1819" t="inlineStr">
        <is>
          <t>Föryngringsavverkning</t>
        </is>
      </c>
      <c r="D1819" s="1" t="n">
        <v>45357</v>
      </c>
      <c r="E1819" s="1" t="n">
        <v>46313</v>
      </c>
      <c r="F1819" t="inlineStr">
        <is>
          <t>SÖDERMANLANDS LÄN</t>
        </is>
      </c>
      <c r="G1819" t="inlineStr">
        <is>
          <t>KATRINEHOLM</t>
        </is>
      </c>
      <c r="I1819" t="n">
        <v>3.3</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30639-2023</t>
        </is>
      </c>
      <c r="B1820" t="inlineStr">
        <is>
          <t>avverkningsanmälan</t>
        </is>
      </c>
      <c r="C1820" t="inlineStr">
        <is>
          <t>Föryngringsavverkning</t>
        </is>
      </c>
      <c r="D1820" s="1" t="n">
        <v>45112</v>
      </c>
      <c r="E1820" s="1" t="n">
        <v>46313</v>
      </c>
      <c r="F1820" t="inlineStr">
        <is>
          <t>SÖDERMANLANDS LÄN</t>
        </is>
      </c>
      <c r="G1820" t="inlineStr">
        <is>
          <t>NYKÖPING</t>
        </is>
      </c>
      <c r="I1820" t="n">
        <v>2.8</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23753-2026</t>
        </is>
      </c>
      <c r="B1821" t="inlineStr">
        <is>
          <t>avverkningsanmälan</t>
        </is>
      </c>
      <c r="C1821" t="inlineStr">
        <is>
          <t>Föryngringsavverkning</t>
        </is>
      </c>
      <c r="D1821" s="1" t="n">
        <v>46164</v>
      </c>
      <c r="E1821" s="1" t="n">
        <v>46313</v>
      </c>
      <c r="F1821" t="inlineStr">
        <is>
          <t>SÖDERMANLANDS LÄN</t>
        </is>
      </c>
      <c r="G1821" t="inlineStr">
        <is>
          <t>KATRINEHOLM</t>
        </is>
      </c>
      <c r="I1821" t="n">
        <v>24.4</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1398-2023</t>
        </is>
      </c>
      <c r="B1822" t="inlineStr">
        <is>
          <t>avverkningsanmälan</t>
        </is>
      </c>
      <c r="C1822" t="inlineStr">
        <is>
          <t>Föryngringsavverkning</t>
        </is>
      </c>
      <c r="D1822" s="1" t="n">
        <v>44936</v>
      </c>
      <c r="E1822" s="1" t="n">
        <v>46313</v>
      </c>
      <c r="F1822" t="inlineStr">
        <is>
          <t>SÖDERMANLANDS LÄN</t>
        </is>
      </c>
      <c r="G1822" t="inlineStr">
        <is>
          <t>NYKÖPING</t>
        </is>
      </c>
      <c r="I1822" t="n">
        <v>1</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57393-2025</t>
        </is>
      </c>
      <c r="B1823" t="inlineStr">
        <is>
          <t>avverkningsanmälan</t>
        </is>
      </c>
      <c r="C1823" t="inlineStr">
        <is>
          <t>Föryngringsavverkning</t>
        </is>
      </c>
      <c r="D1823" s="1" t="n">
        <v>45980</v>
      </c>
      <c r="E1823" s="1" t="n">
        <v>46313</v>
      </c>
      <c r="F1823" t="inlineStr">
        <is>
          <t>SÖDERMANLANDS LÄN</t>
        </is>
      </c>
      <c r="G1823" t="inlineStr">
        <is>
          <t>VINGÅKER</t>
        </is>
      </c>
      <c r="I1823" t="n">
        <v>0.8</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51241-2024</t>
        </is>
      </c>
      <c r="B1824" t="inlineStr">
        <is>
          <t>avverkningsanmälan</t>
        </is>
      </c>
      <c r="C1824" t="inlineStr">
        <is>
          <t>Föryngringsavverkning</t>
        </is>
      </c>
      <c r="D1824" s="1" t="n">
        <v>45603</v>
      </c>
      <c r="E1824" s="1" t="n">
        <v>46313</v>
      </c>
      <c r="F1824" t="inlineStr">
        <is>
          <t>SÖDERMANLANDS LÄN</t>
        </is>
      </c>
      <c r="G1824" t="inlineStr">
        <is>
          <t>NYKÖPING</t>
        </is>
      </c>
      <c r="H1824" t="inlineStr">
        <is>
          <t>Sveaskog</t>
        </is>
      </c>
      <c r="I1824" t="n">
        <v>1.6</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14224-2024</t>
        </is>
      </c>
      <c r="B1825" t="inlineStr">
        <is>
          <t>avverkningsanmälan</t>
        </is>
      </c>
      <c r="C1825" t="inlineStr">
        <is>
          <t>Föryngringsavverkning</t>
        </is>
      </c>
      <c r="D1825" s="1" t="n">
        <v>45393</v>
      </c>
      <c r="E1825" s="1" t="n">
        <v>46313</v>
      </c>
      <c r="F1825" t="inlineStr">
        <is>
          <t>SÖDERMANLANDS LÄN</t>
        </is>
      </c>
      <c r="G1825" t="inlineStr">
        <is>
          <t>KATRINEHOLM</t>
        </is>
      </c>
      <c r="H1825" t="inlineStr">
        <is>
          <t>Sveaskog</t>
        </is>
      </c>
      <c r="I1825" t="n">
        <v>7.6</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57324-2025</t>
        </is>
      </c>
      <c r="B1826" t="inlineStr">
        <is>
          <t>avverkningsanmälan</t>
        </is>
      </c>
      <c r="C1826" t="inlineStr">
        <is>
          <t>Föryngringsavverkning</t>
        </is>
      </c>
      <c r="D1826" s="1" t="n">
        <v>45980</v>
      </c>
      <c r="E1826" s="1" t="n">
        <v>46313</v>
      </c>
      <c r="F1826" t="inlineStr">
        <is>
          <t>SÖDERMANLANDS LÄN</t>
        </is>
      </c>
      <c r="G1826" t="inlineStr">
        <is>
          <t>NYKÖPING</t>
        </is>
      </c>
      <c r="H1826" t="inlineStr">
        <is>
          <t>Holmen skog AB</t>
        </is>
      </c>
      <c r="I1826" t="n">
        <v>3.7</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44989-2022</t>
        </is>
      </c>
      <c r="B1827" t="inlineStr">
        <is>
          <t>avverkningsanmälan</t>
        </is>
      </c>
      <c r="C1827" t="inlineStr">
        <is>
          <t>Föryngringsavverkning</t>
        </is>
      </c>
      <c r="D1827" s="1" t="n">
        <v>44840</v>
      </c>
      <c r="E1827" s="1" t="n">
        <v>46313</v>
      </c>
      <c r="F1827" t="inlineStr">
        <is>
          <t>SÖDERMANLANDS LÄN</t>
        </is>
      </c>
      <c r="G1827" t="inlineStr">
        <is>
          <t>KATRINEHOLM</t>
        </is>
      </c>
      <c r="I1827" t="n">
        <v>6</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57263-2022</t>
        </is>
      </c>
      <c r="B1828" t="inlineStr">
        <is>
          <t>avverkningsanmälan</t>
        </is>
      </c>
      <c r="C1828" t="inlineStr">
        <is>
          <t>Föryngringsavverkning</t>
        </is>
      </c>
      <c r="D1828" s="1" t="n">
        <v>44895</v>
      </c>
      <c r="E1828" s="1" t="n">
        <v>46313</v>
      </c>
      <c r="F1828" t="inlineStr">
        <is>
          <t>SÖDERMANLANDS LÄN</t>
        </is>
      </c>
      <c r="G1828" t="inlineStr">
        <is>
          <t>KATRINEHOLM</t>
        </is>
      </c>
      <c r="I1828" t="n">
        <v>0.6</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1256-2023</t>
        </is>
      </c>
      <c r="B1829" t="inlineStr">
        <is>
          <t>avverkningsanmälan</t>
        </is>
      </c>
      <c r="C1829" t="inlineStr">
        <is>
          <t>Föryngringsavverkning</t>
        </is>
      </c>
      <c r="D1829" s="1" t="n">
        <v>44936</v>
      </c>
      <c r="E1829" s="1" t="n">
        <v>46313</v>
      </c>
      <c r="F1829" t="inlineStr">
        <is>
          <t>SÖDERMANLANDS LÄN</t>
        </is>
      </c>
      <c r="G1829" t="inlineStr">
        <is>
          <t>STRÄNGNÄS</t>
        </is>
      </c>
      <c r="I1829" t="n">
        <v>0.7</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49218-2023</t>
        </is>
      </c>
      <c r="B1830" t="inlineStr">
        <is>
          <t>avverkningsanmälan</t>
        </is>
      </c>
      <c r="C1830" t="inlineStr">
        <is>
          <t>Föryngringsavverkning</t>
        </is>
      </c>
      <c r="D1830" s="1" t="n">
        <v>45205</v>
      </c>
      <c r="E1830" s="1" t="n">
        <v>46313</v>
      </c>
      <c r="F1830" t="inlineStr">
        <is>
          <t>SÖDERMANLANDS LÄN</t>
        </is>
      </c>
      <c r="G1830" t="inlineStr">
        <is>
          <t>KATRINEHOLM</t>
        </is>
      </c>
      <c r="I1830" t="n">
        <v>0.6</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9034-2023</t>
        </is>
      </c>
      <c r="B1831" t="inlineStr">
        <is>
          <t>avverkningsanmälan</t>
        </is>
      </c>
      <c r="C1831" t="inlineStr">
        <is>
          <t>Avverkning för annat ändamål</t>
        </is>
      </c>
      <c r="D1831" s="1" t="n">
        <v>44979</v>
      </c>
      <c r="E1831" s="1" t="n">
        <v>46313</v>
      </c>
      <c r="F1831" t="inlineStr">
        <is>
          <t>SÖDERMANLANDS LÄN</t>
        </is>
      </c>
      <c r="G1831" t="inlineStr">
        <is>
          <t>STRÄNGNÄS</t>
        </is>
      </c>
      <c r="I1831" t="n">
        <v>0.5</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23806-2026</t>
        </is>
      </c>
      <c r="B1832" t="inlineStr">
        <is>
          <t>avverkningsanmälan</t>
        </is>
      </c>
      <c r="C1832" t="inlineStr">
        <is>
          <t>Föryngringsavverkning</t>
        </is>
      </c>
      <c r="D1832" s="1" t="n">
        <v>46164</v>
      </c>
      <c r="E1832" s="1" t="n">
        <v>46313</v>
      </c>
      <c r="F1832" t="inlineStr">
        <is>
          <t>SÖDERMANLANDS LÄN</t>
        </is>
      </c>
      <c r="G1832" t="inlineStr">
        <is>
          <t>KATRINEHOLM</t>
        </is>
      </c>
      <c r="I1832" t="n">
        <v>0.5</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57937-2025</t>
        </is>
      </c>
      <c r="B1833" t="inlineStr">
        <is>
          <t>avverkningsanmälan</t>
        </is>
      </c>
      <c r="C1833" t="inlineStr">
        <is>
          <t>Föryngringsavverkning</t>
        </is>
      </c>
      <c r="D1833" s="1" t="n">
        <v>45982</v>
      </c>
      <c r="E1833" s="1" t="n">
        <v>46313</v>
      </c>
      <c r="F1833" t="inlineStr">
        <is>
          <t>SÖDERMANLANDS LÄN</t>
        </is>
      </c>
      <c r="G1833" t="inlineStr">
        <is>
          <t>NYKÖPING</t>
        </is>
      </c>
      <c r="H1833" t="inlineStr">
        <is>
          <t>Holmen skog AB</t>
        </is>
      </c>
      <c r="I1833" t="n">
        <v>4.3</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4679-2023</t>
        </is>
      </c>
      <c r="B1834" t="inlineStr">
        <is>
          <t>avverkningsanmälan</t>
        </is>
      </c>
      <c r="C1834" t="inlineStr">
        <is>
          <t>Föryngringsavverkning</t>
        </is>
      </c>
      <c r="D1834" s="1" t="n">
        <v>44957</v>
      </c>
      <c r="E1834" s="1" t="n">
        <v>46313</v>
      </c>
      <c r="F1834" t="inlineStr">
        <is>
          <t>SÖDERMANLANDS LÄN</t>
        </is>
      </c>
      <c r="G1834" t="inlineStr">
        <is>
          <t>KATRINEHOLM</t>
        </is>
      </c>
      <c r="I1834" t="n">
        <v>5.3</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58174-2025</t>
        </is>
      </c>
      <c r="B1835" t="inlineStr">
        <is>
          <t>avverkningsanmälan</t>
        </is>
      </c>
      <c r="C1835" t="inlineStr">
        <is>
          <t>Föryngringsavverkning</t>
        </is>
      </c>
      <c r="D1835" s="1" t="n">
        <v>45982</v>
      </c>
      <c r="E1835" s="1" t="n">
        <v>46313</v>
      </c>
      <c r="F1835" t="inlineStr">
        <is>
          <t>SÖDERMANLANDS LÄN</t>
        </is>
      </c>
      <c r="G1835" t="inlineStr">
        <is>
          <t>VINGÅKER</t>
        </is>
      </c>
      <c r="I1835" t="n">
        <v>0.5</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1340-2024</t>
        </is>
      </c>
      <c r="B1836" t="inlineStr">
        <is>
          <t>avverkningsanmälan</t>
        </is>
      </c>
      <c r="C1836" t="inlineStr">
        <is>
          <t>Avverkning för att bevara och utveckla /försöksver</t>
        </is>
      </c>
      <c r="D1836" s="1" t="n">
        <v>45303</v>
      </c>
      <c r="E1836" s="1" t="n">
        <v>46313</v>
      </c>
      <c r="F1836" t="inlineStr">
        <is>
          <t>SÖDERMANLANDS LÄN</t>
        </is>
      </c>
      <c r="G1836" t="inlineStr">
        <is>
          <t>ESKILSTUNA</t>
        </is>
      </c>
      <c r="I1836" t="n">
        <v>2.2</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1343-2024</t>
        </is>
      </c>
      <c r="B1837" t="inlineStr">
        <is>
          <t>avverkningsanmälan</t>
        </is>
      </c>
      <c r="C1837" t="inlineStr">
        <is>
          <t>Föryngringsavverkning</t>
        </is>
      </c>
      <c r="D1837" s="1" t="n">
        <v>45303</v>
      </c>
      <c r="E1837" s="1" t="n">
        <v>46313</v>
      </c>
      <c r="F1837" t="inlineStr">
        <is>
          <t>SÖDERMANLANDS LÄN</t>
        </is>
      </c>
      <c r="G1837" t="inlineStr">
        <is>
          <t>ESKILSTUNA</t>
        </is>
      </c>
      <c r="I1837" t="n">
        <v>0.5</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23961-2026</t>
        </is>
      </c>
      <c r="B1838" t="inlineStr">
        <is>
          <t>avverkningsanmälan</t>
        </is>
      </c>
      <c r="C1838" t="inlineStr">
        <is>
          <t>Föryngringsavverkning</t>
        </is>
      </c>
      <c r="D1838" s="1" t="n">
        <v>46167</v>
      </c>
      <c r="E1838" s="1" t="n">
        <v>46313</v>
      </c>
      <c r="F1838" t="inlineStr">
        <is>
          <t>SÖDERMANLANDS LÄN</t>
        </is>
      </c>
      <c r="G1838" t="inlineStr">
        <is>
          <t>STRÄNGNÄS</t>
        </is>
      </c>
      <c r="I1838" t="n">
        <v>2.8</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1392-2023</t>
        </is>
      </c>
      <c r="B1839" t="inlineStr">
        <is>
          <t>avverkningsanmälan</t>
        </is>
      </c>
      <c r="C1839" t="inlineStr">
        <is>
          <t>Föryngringsavverkning</t>
        </is>
      </c>
      <c r="D1839" s="1" t="n">
        <v>44936</v>
      </c>
      <c r="E1839" s="1" t="n">
        <v>46313</v>
      </c>
      <c r="F1839" t="inlineStr">
        <is>
          <t>SÖDERMANLANDS LÄN</t>
        </is>
      </c>
      <c r="G1839" t="inlineStr">
        <is>
          <t>NYKÖPING</t>
        </is>
      </c>
      <c r="I1839" t="n">
        <v>1.6</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48998-2023</t>
        </is>
      </c>
      <c r="B1840" t="inlineStr">
        <is>
          <t>avverkningsanmälan</t>
        </is>
      </c>
      <c r="C1840" t="inlineStr">
        <is>
          <t>Föryngringsavverkning</t>
        </is>
      </c>
      <c r="D1840" s="1" t="n">
        <v>45209</v>
      </c>
      <c r="E1840" s="1" t="n">
        <v>46313</v>
      </c>
      <c r="F1840" t="inlineStr">
        <is>
          <t>SÖDERMANLANDS LÄN</t>
        </is>
      </c>
      <c r="G1840" t="inlineStr">
        <is>
          <t>ESKILSTUNA</t>
        </is>
      </c>
      <c r="I1840" t="n">
        <v>0.6</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9079-2025</t>
        </is>
      </c>
      <c r="B1841" t="inlineStr">
        <is>
          <t>avverkningsanmälan</t>
        </is>
      </c>
      <c r="C1841" t="inlineStr">
        <is>
          <t>Föryngringsavverkning</t>
        </is>
      </c>
      <c r="D1841" s="1" t="n">
        <v>45713</v>
      </c>
      <c r="E1841" s="1" t="n">
        <v>46313</v>
      </c>
      <c r="F1841" t="inlineStr">
        <is>
          <t>SÖDERMANLANDS LÄN</t>
        </is>
      </c>
      <c r="G1841" t="inlineStr">
        <is>
          <t>FLEN</t>
        </is>
      </c>
      <c r="I1841" t="n">
        <v>0.4</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10639-2025</t>
        </is>
      </c>
      <c r="B1842" t="inlineStr">
        <is>
          <t>avverkningsanmälan</t>
        </is>
      </c>
      <c r="C1842" t="inlineStr">
        <is>
          <t>Föryngringsavverkning</t>
        </is>
      </c>
      <c r="D1842" s="1" t="n">
        <v>45721</v>
      </c>
      <c r="E1842" s="1" t="n">
        <v>46313</v>
      </c>
      <c r="F1842" t="inlineStr">
        <is>
          <t>SÖDERMANLANDS LÄN</t>
        </is>
      </c>
      <c r="G1842" t="inlineStr">
        <is>
          <t>NYKÖPING</t>
        </is>
      </c>
      <c r="I1842" t="n">
        <v>2.5</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20033-2022</t>
        </is>
      </c>
      <c r="B1843" t="inlineStr">
        <is>
          <t>avverkningsanmälan</t>
        </is>
      </c>
      <c r="C1843" t="inlineStr">
        <is>
          <t>Föryngringsavverkning</t>
        </is>
      </c>
      <c r="D1843" s="1" t="n">
        <v>44697</v>
      </c>
      <c r="E1843" s="1" t="n">
        <v>46313</v>
      </c>
      <c r="F1843" t="inlineStr">
        <is>
          <t>SÖDERMANLANDS LÄN</t>
        </is>
      </c>
      <c r="G1843" t="inlineStr">
        <is>
          <t>GNESTA</t>
        </is>
      </c>
      <c r="I1843" t="n">
        <v>11.9</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44479-2023</t>
        </is>
      </c>
      <c r="B1844" t="inlineStr">
        <is>
          <t>avverkningsanmälan</t>
        </is>
      </c>
      <c r="C1844" t="inlineStr">
        <is>
          <t>Föryngringsavverkning</t>
        </is>
      </c>
      <c r="D1844" s="1" t="n">
        <v>45189</v>
      </c>
      <c r="E1844" s="1" t="n">
        <v>46313</v>
      </c>
      <c r="F1844" t="inlineStr">
        <is>
          <t>SÖDERMANLANDS LÄN</t>
        </is>
      </c>
      <c r="G1844" t="inlineStr">
        <is>
          <t>STRÄNGNÄS</t>
        </is>
      </c>
      <c r="I1844" t="n">
        <v>4</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58936-2025</t>
        </is>
      </c>
      <c r="B1845" t="inlineStr">
        <is>
          <t>avverkningsanmälan</t>
        </is>
      </c>
      <c r="C1845" t="inlineStr">
        <is>
          <t>Föryngringsavverkning</t>
        </is>
      </c>
      <c r="D1845" s="1" t="n">
        <v>45986</v>
      </c>
      <c r="E1845" s="1" t="n">
        <v>46313</v>
      </c>
      <c r="F1845" t="inlineStr">
        <is>
          <t>SÖDERMANLANDS LÄN</t>
        </is>
      </c>
      <c r="G1845" t="inlineStr">
        <is>
          <t>STRÄNGNÄS</t>
        </is>
      </c>
      <c r="I1845" t="n">
        <v>2.7</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45162-2023</t>
        </is>
      </c>
      <c r="B1846" t="inlineStr">
        <is>
          <t>avverkningsanmälan</t>
        </is>
      </c>
      <c r="C1846" t="inlineStr">
        <is>
          <t>Föryngringsavverkning</t>
        </is>
      </c>
      <c r="D1846" s="1" t="n">
        <v>45191</v>
      </c>
      <c r="E1846" s="1" t="n">
        <v>46313</v>
      </c>
      <c r="F1846" t="inlineStr">
        <is>
          <t>SÖDERMANLANDS LÄN</t>
        </is>
      </c>
      <c r="G1846" t="inlineStr">
        <is>
          <t>VINGÅKER</t>
        </is>
      </c>
      <c r="I1846" t="n">
        <v>1.5</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2320-2023</t>
        </is>
      </c>
      <c r="B1847" t="inlineStr">
        <is>
          <t>avverkningsanmälan</t>
        </is>
      </c>
      <c r="C1847" t="inlineStr">
        <is>
          <t>Föryngringsavverkning</t>
        </is>
      </c>
      <c r="D1847" s="1" t="n">
        <v>44942</v>
      </c>
      <c r="E1847" s="1" t="n">
        <v>46313</v>
      </c>
      <c r="F1847" t="inlineStr">
        <is>
          <t>SÖDERMANLANDS LÄN</t>
        </is>
      </c>
      <c r="G1847" t="inlineStr">
        <is>
          <t>KATRINEHOLM</t>
        </is>
      </c>
      <c r="I1847" t="n">
        <v>1.9</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2325-2023</t>
        </is>
      </c>
      <c r="B1848" t="inlineStr">
        <is>
          <t>avverkningsanmälan</t>
        </is>
      </c>
      <c r="C1848" t="inlineStr">
        <is>
          <t>Föryngringsavverkning</t>
        </is>
      </c>
      <c r="D1848" s="1" t="n">
        <v>44942</v>
      </c>
      <c r="E1848" s="1" t="n">
        <v>46313</v>
      </c>
      <c r="F1848" t="inlineStr">
        <is>
          <t>SÖDERMANLANDS LÄN</t>
        </is>
      </c>
      <c r="G1848" t="inlineStr">
        <is>
          <t>KATRINEHOLM</t>
        </is>
      </c>
      <c r="I1848" t="n">
        <v>5.6</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4742-2023</t>
        </is>
      </c>
      <c r="B1849" t="inlineStr">
        <is>
          <t>avverkningsanmälan</t>
        </is>
      </c>
      <c r="C1849" t="inlineStr">
        <is>
          <t>Föryngringsavverkning</t>
        </is>
      </c>
      <c r="D1849" s="1" t="n">
        <v>44957</v>
      </c>
      <c r="E1849" s="1" t="n">
        <v>46313</v>
      </c>
      <c r="F1849" t="inlineStr">
        <is>
          <t>SÖDERMANLANDS LÄN</t>
        </is>
      </c>
      <c r="G1849" t="inlineStr">
        <is>
          <t>FLEN</t>
        </is>
      </c>
      <c r="I1849" t="n">
        <v>1.2</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10352-2023</t>
        </is>
      </c>
      <c r="B1850" t="inlineStr">
        <is>
          <t>avverkningsanmälan</t>
        </is>
      </c>
      <c r="C1850" t="inlineStr">
        <is>
          <t>Föryngringsavverkning</t>
        </is>
      </c>
      <c r="D1850" s="1" t="n">
        <v>44987</v>
      </c>
      <c r="E1850" s="1" t="n">
        <v>46313</v>
      </c>
      <c r="F1850" t="inlineStr">
        <is>
          <t>SÖDERMANLANDS LÄN</t>
        </is>
      </c>
      <c r="G1850" t="inlineStr">
        <is>
          <t>STRÄNGNÄS</t>
        </is>
      </c>
      <c r="I1850" t="n">
        <v>0.4</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48852-2023</t>
        </is>
      </c>
      <c r="B1851" t="inlineStr">
        <is>
          <t>avverkningsanmälan</t>
        </is>
      </c>
      <c r="C1851" t="inlineStr">
        <is>
          <t>Föryngringsavverkning</t>
        </is>
      </c>
      <c r="D1851" s="1" t="n">
        <v>45209</v>
      </c>
      <c r="E1851" s="1" t="n">
        <v>46313</v>
      </c>
      <c r="F1851" t="inlineStr">
        <is>
          <t>SÖDERMANLANDS LÄN</t>
        </is>
      </c>
      <c r="G1851" t="inlineStr">
        <is>
          <t>FLEN</t>
        </is>
      </c>
      <c r="I1851" t="n">
        <v>1.1</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48877-2023</t>
        </is>
      </c>
      <c r="B1852" t="inlineStr">
        <is>
          <t>avverkningsanmälan</t>
        </is>
      </c>
      <c r="C1852" t="inlineStr">
        <is>
          <t>Föryngringsavverkning</t>
        </is>
      </c>
      <c r="D1852" s="1" t="n">
        <v>45209</v>
      </c>
      <c r="E1852" s="1" t="n">
        <v>46313</v>
      </c>
      <c r="F1852" t="inlineStr">
        <is>
          <t>SÖDERMANLANDS LÄN</t>
        </is>
      </c>
      <c r="G1852" t="inlineStr">
        <is>
          <t>ESKILSTUNA</t>
        </is>
      </c>
      <c r="I1852" t="n">
        <v>0.7</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48886-2023</t>
        </is>
      </c>
      <c r="B1853" t="inlineStr">
        <is>
          <t>avverkningsanmälan</t>
        </is>
      </c>
      <c r="C1853" t="inlineStr">
        <is>
          <t>Föryngringsavverkning</t>
        </is>
      </c>
      <c r="D1853" s="1" t="n">
        <v>45209</v>
      </c>
      <c r="E1853" s="1" t="n">
        <v>46313</v>
      </c>
      <c r="F1853" t="inlineStr">
        <is>
          <t>SÖDERMANLANDS LÄN</t>
        </is>
      </c>
      <c r="G1853" t="inlineStr">
        <is>
          <t>STRÄNGNÄS</t>
        </is>
      </c>
      <c r="I1853" t="n">
        <v>1.3</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13280-2023</t>
        </is>
      </c>
      <c r="B1854" t="inlineStr">
        <is>
          <t>avverkningsanmälan</t>
        </is>
      </c>
      <c r="C1854" t="inlineStr">
        <is>
          <t>Föryngringsavverkning</t>
        </is>
      </c>
      <c r="D1854" s="1" t="n">
        <v>45004</v>
      </c>
      <c r="E1854" s="1" t="n">
        <v>46313</v>
      </c>
      <c r="F1854" t="inlineStr">
        <is>
          <t>SÖDERMANLANDS LÄN</t>
        </is>
      </c>
      <c r="G1854" t="inlineStr">
        <is>
          <t>ESKILSTUNA</t>
        </is>
      </c>
      <c r="I1854" t="n">
        <v>0.8</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58935-2025</t>
        </is>
      </c>
      <c r="B1855" t="inlineStr">
        <is>
          <t>avverkningsanmälan</t>
        </is>
      </c>
      <c r="C1855" t="inlineStr">
        <is>
          <t>Föryngringsavverkning</t>
        </is>
      </c>
      <c r="D1855" s="1" t="n">
        <v>45986</v>
      </c>
      <c r="E1855" s="1" t="n">
        <v>46313</v>
      </c>
      <c r="F1855" t="inlineStr">
        <is>
          <t>SÖDERMANLANDS LÄN</t>
        </is>
      </c>
      <c r="G1855" t="inlineStr">
        <is>
          <t>STRÄNGNÄS</t>
        </is>
      </c>
      <c r="I1855" t="n">
        <v>6.6</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23995-2026</t>
        </is>
      </c>
      <c r="B1856" t="inlineStr">
        <is>
          <t>avverkningsanmälan</t>
        </is>
      </c>
      <c r="C1856" t="inlineStr">
        <is>
          <t>Föryngringsavverkning</t>
        </is>
      </c>
      <c r="D1856" s="1" t="n">
        <v>46167</v>
      </c>
      <c r="E1856" s="1" t="n">
        <v>46313</v>
      </c>
      <c r="F1856" t="inlineStr">
        <is>
          <t>SÖDERMANLANDS LÄN</t>
        </is>
      </c>
      <c r="G1856" t="inlineStr">
        <is>
          <t>STRÄNGNÄS</t>
        </is>
      </c>
      <c r="I1856" t="n">
        <v>1.2</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40075-2022</t>
        </is>
      </c>
      <c r="B1857" t="inlineStr">
        <is>
          <t>avverkningsanmälan</t>
        </is>
      </c>
      <c r="C1857" t="inlineStr">
        <is>
          <t>Föryngringsavverkning</t>
        </is>
      </c>
      <c r="D1857" s="1" t="n">
        <v>44819</v>
      </c>
      <c r="E1857" s="1" t="n">
        <v>46313</v>
      </c>
      <c r="F1857" t="inlineStr">
        <is>
          <t>SÖDERMANLANDS LÄN</t>
        </is>
      </c>
      <c r="G1857" t="inlineStr">
        <is>
          <t>GNESTA</t>
        </is>
      </c>
      <c r="I1857" t="n">
        <v>1.9</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57341-2025</t>
        </is>
      </c>
      <c r="B1858" t="inlineStr">
        <is>
          <t>avverkningsanmälan</t>
        </is>
      </c>
      <c r="C1858" t="inlineStr">
        <is>
          <t>Föryngringsavverkning</t>
        </is>
      </c>
      <c r="D1858" s="1" t="n">
        <v>45979</v>
      </c>
      <c r="E1858" s="1" t="n">
        <v>46313</v>
      </c>
      <c r="F1858" t="inlineStr">
        <is>
          <t>SÖDERMANLANDS LÄN</t>
        </is>
      </c>
      <c r="G1858" t="inlineStr">
        <is>
          <t>GNESTA</t>
        </is>
      </c>
      <c r="I1858" t="n">
        <v>17.5</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23665-2026</t>
        </is>
      </c>
      <c r="B1859" t="inlineStr">
        <is>
          <t>avverkningsanmälan</t>
        </is>
      </c>
      <c r="C1859" t="inlineStr">
        <is>
          <t>Föryngringsavverkning</t>
        </is>
      </c>
      <c r="D1859" s="1" t="n">
        <v>46164</v>
      </c>
      <c r="E1859" s="1" t="n">
        <v>46313</v>
      </c>
      <c r="F1859" t="inlineStr">
        <is>
          <t>SÖDERMANLANDS LÄN</t>
        </is>
      </c>
      <c r="G1859" t="inlineStr">
        <is>
          <t>ESKILSTUNA</t>
        </is>
      </c>
      <c r="I1859" t="n">
        <v>0.8</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55732-2023</t>
        </is>
      </c>
      <c r="B1860" t="inlineStr">
        <is>
          <t>avverkningsanmälan</t>
        </is>
      </c>
      <c r="C1860" t="inlineStr">
        <is>
          <t>Föryngringsavverkning</t>
        </is>
      </c>
      <c r="D1860" s="1" t="n">
        <v>45239</v>
      </c>
      <c r="E1860" s="1" t="n">
        <v>46313</v>
      </c>
      <c r="F1860" t="inlineStr">
        <is>
          <t>SÖDERMANLANDS LÄN</t>
        </is>
      </c>
      <c r="G1860" t="inlineStr">
        <is>
          <t>KATRINEHOLM</t>
        </is>
      </c>
      <c r="I1860" t="n">
        <v>0.9</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16150-2025</t>
        </is>
      </c>
      <c r="B1861" t="inlineStr">
        <is>
          <t>avverkningsanmälan</t>
        </is>
      </c>
      <c r="C1861" t="inlineStr">
        <is>
          <t>Föryngringsavverkning</t>
        </is>
      </c>
      <c r="D1861" s="1" t="n">
        <v>45750</v>
      </c>
      <c r="E1861" s="1" t="n">
        <v>46313</v>
      </c>
      <c r="F1861" t="inlineStr">
        <is>
          <t>SÖDERMANLANDS LÄN</t>
        </is>
      </c>
      <c r="G1861" t="inlineStr">
        <is>
          <t>ESKILSTUNA</t>
        </is>
      </c>
      <c r="I1861" t="n">
        <v>0.3</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16645-2022</t>
        </is>
      </c>
      <c r="B1862" t="inlineStr">
        <is>
          <t>avverkningsanmälan</t>
        </is>
      </c>
      <c r="C1862" t="inlineStr">
        <is>
          <t>Föryngringsavverkning</t>
        </is>
      </c>
      <c r="D1862" s="1" t="n">
        <v>44672</v>
      </c>
      <c r="E1862" s="1" t="n">
        <v>46313</v>
      </c>
      <c r="F1862" t="inlineStr">
        <is>
          <t>SÖDERMANLANDS LÄN</t>
        </is>
      </c>
      <c r="G1862" t="inlineStr">
        <is>
          <t>GNESTA</t>
        </is>
      </c>
      <c r="I1862" t="n">
        <v>1.5</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10622-2025</t>
        </is>
      </c>
      <c r="B1863" t="inlineStr">
        <is>
          <t>avverkningsanmälan</t>
        </is>
      </c>
      <c r="C1863" t="inlineStr">
        <is>
          <t>Föryngringsavverkning</t>
        </is>
      </c>
      <c r="D1863" s="1" t="n">
        <v>45721</v>
      </c>
      <c r="E1863" s="1" t="n">
        <v>46313</v>
      </c>
      <c r="F1863" t="inlineStr">
        <is>
          <t>SÖDERMANLANDS LÄN</t>
        </is>
      </c>
      <c r="G1863" t="inlineStr">
        <is>
          <t>NYKÖPING</t>
        </is>
      </c>
      <c r="I1863" t="n">
        <v>7</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51556-2024</t>
        </is>
      </c>
      <c r="B1864" t="inlineStr">
        <is>
          <t>avverkningsanmälan</t>
        </is>
      </c>
      <c r="C1864" t="inlineStr">
        <is>
          <t>Föryngringsavverkning</t>
        </is>
      </c>
      <c r="D1864" s="1" t="n">
        <v>45604</v>
      </c>
      <c r="E1864" s="1" t="n">
        <v>46313</v>
      </c>
      <c r="F1864" t="inlineStr">
        <is>
          <t>SÖDERMANLANDS LÄN</t>
        </is>
      </c>
      <c r="G1864" t="inlineStr">
        <is>
          <t>NYKÖPING</t>
        </is>
      </c>
      <c r="I1864" t="n">
        <v>2.9</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51575-2024</t>
        </is>
      </c>
      <c r="B1865" t="inlineStr">
        <is>
          <t>avverkningsanmälan</t>
        </is>
      </c>
      <c r="C1865" t="inlineStr">
        <is>
          <t>Föryngringsavverkning</t>
        </is>
      </c>
      <c r="D1865" s="1" t="n">
        <v>45604</v>
      </c>
      <c r="E1865" s="1" t="n">
        <v>46313</v>
      </c>
      <c r="F1865" t="inlineStr">
        <is>
          <t>SÖDERMANLANDS LÄN</t>
        </is>
      </c>
      <c r="G1865" t="inlineStr">
        <is>
          <t>ESKILSTUNA</t>
        </is>
      </c>
      <c r="I1865" t="n">
        <v>0.7</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54873-2025</t>
        </is>
      </c>
      <c r="B1866" t="inlineStr">
        <is>
          <t>avverkningsanmälan</t>
        </is>
      </c>
      <c r="C1866" t="inlineStr">
        <is>
          <t>Föryngringsavverkning</t>
        </is>
      </c>
      <c r="D1866" s="1" t="n">
        <v>45967</v>
      </c>
      <c r="E1866" s="1" t="n">
        <v>46313</v>
      </c>
      <c r="F1866" t="inlineStr">
        <is>
          <t>SÖDERMANLANDS LÄN</t>
        </is>
      </c>
      <c r="G1866" t="inlineStr">
        <is>
          <t>KATRINEHOLM</t>
        </is>
      </c>
      <c r="I1866" t="n">
        <v>2.7</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4932-2024</t>
        </is>
      </c>
      <c r="B1867" t="inlineStr">
        <is>
          <t>avverkningsanmälan</t>
        </is>
      </c>
      <c r="C1867" t="inlineStr">
        <is>
          <t>Föryngringsavverkning</t>
        </is>
      </c>
      <c r="D1867" s="1" t="n">
        <v>45329</v>
      </c>
      <c r="E1867" s="1" t="n">
        <v>46313</v>
      </c>
      <c r="F1867" t="inlineStr">
        <is>
          <t>SÖDERMANLANDS LÄN</t>
        </is>
      </c>
      <c r="G1867" t="inlineStr">
        <is>
          <t>NYKÖPING</t>
        </is>
      </c>
      <c r="I1867" t="n">
        <v>17.8</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57044-2023</t>
        </is>
      </c>
      <c r="B1868" t="inlineStr">
        <is>
          <t>avverkningsanmälan</t>
        </is>
      </c>
      <c r="C1868" t="inlineStr">
        <is>
          <t>Föryngringsavverkning</t>
        </is>
      </c>
      <c r="D1868" s="1" t="n">
        <v>45244</v>
      </c>
      <c r="E1868" s="1" t="n">
        <v>46313</v>
      </c>
      <c r="F1868" t="inlineStr">
        <is>
          <t>SÖDERMANLANDS LÄN</t>
        </is>
      </c>
      <c r="G1868" t="inlineStr">
        <is>
          <t>FLEN</t>
        </is>
      </c>
      <c r="H1868" t="inlineStr">
        <is>
          <t>Övriga statliga verk och myndigheter</t>
        </is>
      </c>
      <c r="I1868" t="n">
        <v>4.2</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59222-2025</t>
        </is>
      </c>
      <c r="B1869" t="inlineStr">
        <is>
          <t>avverkningsanmälan</t>
        </is>
      </c>
      <c r="C1869" t="inlineStr">
        <is>
          <t>Föryngringsavverkning</t>
        </is>
      </c>
      <c r="D1869" s="1" t="n">
        <v>45988</v>
      </c>
      <c r="E1869" s="1" t="n">
        <v>46313</v>
      </c>
      <c r="F1869" t="inlineStr">
        <is>
          <t>SÖDERMANLANDS LÄN</t>
        </is>
      </c>
      <c r="G1869" t="inlineStr">
        <is>
          <t>TROSA</t>
        </is>
      </c>
      <c r="H1869" t="inlineStr">
        <is>
          <t>Holmen skog AB</t>
        </is>
      </c>
      <c r="I1869" t="n">
        <v>0.6</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24152-2026</t>
        </is>
      </c>
      <c r="B1870" t="inlineStr">
        <is>
          <t>avverkningsanmälan</t>
        </is>
      </c>
      <c r="C1870" t="inlineStr">
        <is>
          <t>Föryngringsavverkning</t>
        </is>
      </c>
      <c r="D1870" s="1" t="n">
        <v>46168</v>
      </c>
      <c r="E1870" s="1" t="n">
        <v>46313</v>
      </c>
      <c r="F1870" t="inlineStr">
        <is>
          <t>SÖDERMANLANDS LÄN</t>
        </is>
      </c>
      <c r="G1870" t="inlineStr">
        <is>
          <t>NYKÖPING</t>
        </is>
      </c>
      <c r="H1870" t="inlineStr">
        <is>
          <t>Kyrkan</t>
        </is>
      </c>
      <c r="I1870" t="n">
        <v>5.1</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59906-2025</t>
        </is>
      </c>
      <c r="B1871" t="inlineStr">
        <is>
          <t>avverkningsanmälan</t>
        </is>
      </c>
      <c r="C1871" t="inlineStr">
        <is>
          <t>Föryngringsavverkning</t>
        </is>
      </c>
      <c r="D1871" s="1" t="n">
        <v>45993</v>
      </c>
      <c r="E1871" s="1" t="n">
        <v>46313</v>
      </c>
      <c r="F1871" t="inlineStr">
        <is>
          <t>SÖDERMANLANDS LÄN</t>
        </is>
      </c>
      <c r="G1871" t="inlineStr">
        <is>
          <t>NYKÖPING</t>
        </is>
      </c>
      <c r="H1871" t="inlineStr">
        <is>
          <t>Holmen skog AB</t>
        </is>
      </c>
      <c r="I1871" t="n">
        <v>2.3</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59910-2025</t>
        </is>
      </c>
      <c r="B1872" t="inlineStr">
        <is>
          <t>avverkningsanmälan</t>
        </is>
      </c>
      <c r="C1872" t="inlineStr">
        <is>
          <t>Föryngringsavverkning</t>
        </is>
      </c>
      <c r="D1872" s="1" t="n">
        <v>45993</v>
      </c>
      <c r="E1872" s="1" t="n">
        <v>46313</v>
      </c>
      <c r="F1872" t="inlineStr">
        <is>
          <t>SÖDERMANLANDS LÄN</t>
        </is>
      </c>
      <c r="G1872" t="inlineStr">
        <is>
          <t>FLEN</t>
        </is>
      </c>
      <c r="I1872" t="n">
        <v>1.6</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59998-2025</t>
        </is>
      </c>
      <c r="B1873" t="inlineStr">
        <is>
          <t>avverkningsanmälan</t>
        </is>
      </c>
      <c r="C1873" t="inlineStr">
        <is>
          <t>Föryngringsavverkning</t>
        </is>
      </c>
      <c r="D1873" s="1" t="n">
        <v>45993</v>
      </c>
      <c r="E1873" s="1" t="n">
        <v>46313</v>
      </c>
      <c r="F1873" t="inlineStr">
        <is>
          <t>SÖDERMANLANDS LÄN</t>
        </is>
      </c>
      <c r="G1873" t="inlineStr">
        <is>
          <t>NYKÖPING</t>
        </is>
      </c>
      <c r="I1873" t="n">
        <v>1.9</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62883-2023</t>
        </is>
      </c>
      <c r="B1874" t="inlineStr">
        <is>
          <t>avverkningsanmälan</t>
        </is>
      </c>
      <c r="C1874" t="inlineStr">
        <is>
          <t>Föryngringsavverkning</t>
        </is>
      </c>
      <c r="D1874" s="1" t="n">
        <v>45272</v>
      </c>
      <c r="E1874" s="1" t="n">
        <v>46313</v>
      </c>
      <c r="F1874" t="inlineStr">
        <is>
          <t>SÖDERMANLANDS LÄN</t>
        </is>
      </c>
      <c r="G1874" t="inlineStr">
        <is>
          <t>GNESTA</t>
        </is>
      </c>
      <c r="I1874" t="n">
        <v>4.3</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62889-2023</t>
        </is>
      </c>
      <c r="B1875" t="inlineStr">
        <is>
          <t>avverkningsanmälan</t>
        </is>
      </c>
      <c r="C1875" t="inlineStr">
        <is>
          <t>Föryngringsavverkning</t>
        </is>
      </c>
      <c r="D1875" s="1" t="n">
        <v>45272</v>
      </c>
      <c r="E1875" s="1" t="n">
        <v>46313</v>
      </c>
      <c r="F1875" t="inlineStr">
        <is>
          <t>SÖDERMANLANDS LÄN</t>
        </is>
      </c>
      <c r="G1875" t="inlineStr">
        <is>
          <t>GNESTA</t>
        </is>
      </c>
      <c r="I1875" t="n">
        <v>0.7</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59895-2025</t>
        </is>
      </c>
      <c r="B1876" t="inlineStr">
        <is>
          <t>avverkningsanmälan</t>
        </is>
      </c>
      <c r="C1876" t="inlineStr">
        <is>
          <t>Föryngringsavverkning</t>
        </is>
      </c>
      <c r="D1876" s="1" t="n">
        <v>45993</v>
      </c>
      <c r="E1876" s="1" t="n">
        <v>46313</v>
      </c>
      <c r="F1876" t="inlineStr">
        <is>
          <t>SÖDERMANLANDS LÄN</t>
        </is>
      </c>
      <c r="G1876" t="inlineStr">
        <is>
          <t>FLEN</t>
        </is>
      </c>
      <c r="I1876" t="n">
        <v>0.1</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10886-2023</t>
        </is>
      </c>
      <c r="B1877" t="inlineStr">
        <is>
          <t>avverkningsanmälan</t>
        </is>
      </c>
      <c r="C1877" t="inlineStr">
        <is>
          <t>Föryngringsavverkning</t>
        </is>
      </c>
      <c r="D1877" s="1" t="n">
        <v>44991</v>
      </c>
      <c r="E1877" s="1" t="n">
        <v>46313</v>
      </c>
      <c r="F1877" t="inlineStr">
        <is>
          <t>SÖDERMANLANDS LÄN</t>
        </is>
      </c>
      <c r="G1877" t="inlineStr">
        <is>
          <t>FLEN</t>
        </is>
      </c>
      <c r="I1877" t="n">
        <v>0.3</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58473-2021</t>
        </is>
      </c>
      <c r="B1878" t="inlineStr">
        <is>
          <t>avverkningsanmälan</t>
        </is>
      </c>
      <c r="C1878" t="inlineStr">
        <is>
          <t>Föryngringsavverkning</t>
        </is>
      </c>
      <c r="D1878" s="1" t="n">
        <v>44488</v>
      </c>
      <c r="E1878" s="1" t="n">
        <v>46313</v>
      </c>
      <c r="F1878" t="inlineStr">
        <is>
          <t>SÖDERMANLANDS LÄN</t>
        </is>
      </c>
      <c r="G1878" t="inlineStr">
        <is>
          <t>KATRINEHOLM</t>
        </is>
      </c>
      <c r="I1878" t="n">
        <v>0.5</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12111-2026</t>
        </is>
      </c>
      <c r="B1879" t="inlineStr">
        <is>
          <t>avverkningsanmälan</t>
        </is>
      </c>
      <c r="C1879" t="inlineStr">
        <is>
          <t>Föryngringsavverkning</t>
        </is>
      </c>
      <c r="D1879" s="1" t="n">
        <v>46086</v>
      </c>
      <c r="E1879" s="1" t="n">
        <v>46313</v>
      </c>
      <c r="F1879" t="inlineStr">
        <is>
          <t>SÖDERMANLANDS LÄN</t>
        </is>
      </c>
      <c r="G1879" t="inlineStr">
        <is>
          <t>NYKÖPING</t>
        </is>
      </c>
      <c r="I1879" t="n">
        <v>1.5</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59894-2025</t>
        </is>
      </c>
      <c r="B1880" t="inlineStr">
        <is>
          <t>avverkningsanmälan</t>
        </is>
      </c>
      <c r="C1880" t="inlineStr">
        <is>
          <t>Föryngringsavverkning</t>
        </is>
      </c>
      <c r="D1880" s="1" t="n">
        <v>45993</v>
      </c>
      <c r="E1880" s="1" t="n">
        <v>46313</v>
      </c>
      <c r="F1880" t="inlineStr">
        <is>
          <t>SÖDERMANLANDS LÄN</t>
        </is>
      </c>
      <c r="G1880" t="inlineStr">
        <is>
          <t>FLEN</t>
        </is>
      </c>
      <c r="I1880" t="n">
        <v>1.5</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59991-2025</t>
        </is>
      </c>
      <c r="B1881" t="inlineStr">
        <is>
          <t>avverkningsanmälan</t>
        </is>
      </c>
      <c r="C1881" t="inlineStr">
        <is>
          <t>Föryngringsavverkning</t>
        </is>
      </c>
      <c r="D1881" s="1" t="n">
        <v>45993</v>
      </c>
      <c r="E1881" s="1" t="n">
        <v>46313</v>
      </c>
      <c r="F1881" t="inlineStr">
        <is>
          <t>SÖDERMANLANDS LÄN</t>
        </is>
      </c>
      <c r="G1881" t="inlineStr">
        <is>
          <t>NYKÖPING</t>
        </is>
      </c>
      <c r="I1881" t="n">
        <v>2</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59992-2025</t>
        </is>
      </c>
      <c r="B1882" t="inlineStr">
        <is>
          <t>avverkningsanmälan</t>
        </is>
      </c>
      <c r="C1882" t="inlineStr">
        <is>
          <t>Föryngringsavverkning</t>
        </is>
      </c>
      <c r="D1882" s="1" t="n">
        <v>45993</v>
      </c>
      <c r="E1882" s="1" t="n">
        <v>46313</v>
      </c>
      <c r="F1882" t="inlineStr">
        <is>
          <t>SÖDERMANLANDS LÄN</t>
        </is>
      </c>
      <c r="G1882" t="inlineStr">
        <is>
          <t>NYKÖPING</t>
        </is>
      </c>
      <c r="I1882" t="n">
        <v>1</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35377-2023</t>
        </is>
      </c>
      <c r="B1883" t="inlineStr">
        <is>
          <t>avverkningsanmälan</t>
        </is>
      </c>
      <c r="C1883" t="inlineStr">
        <is>
          <t>Föryngringsavverkning</t>
        </is>
      </c>
      <c r="D1883" s="1" t="n">
        <v>45146</v>
      </c>
      <c r="E1883" s="1" t="n">
        <v>46313</v>
      </c>
      <c r="F1883" t="inlineStr">
        <is>
          <t>SÖDERMANLANDS LÄN</t>
        </is>
      </c>
      <c r="G1883" t="inlineStr">
        <is>
          <t>ESKILSTUNA</t>
        </is>
      </c>
      <c r="H1883" t="inlineStr">
        <is>
          <t>Kyrkan</t>
        </is>
      </c>
      <c r="I1883" t="n">
        <v>1.3</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52221-2025</t>
        </is>
      </c>
      <c r="B1884" t="inlineStr">
        <is>
          <t>avverkningsanmälan</t>
        </is>
      </c>
      <c r="C1884" t="inlineStr">
        <is>
          <t>Föryngringsavverkning</t>
        </is>
      </c>
      <c r="D1884" s="1" t="n">
        <v>45953</v>
      </c>
      <c r="E1884" s="1" t="n">
        <v>46313</v>
      </c>
      <c r="F1884" t="inlineStr">
        <is>
          <t>SÖDERMANLANDS LÄN</t>
        </is>
      </c>
      <c r="G1884" t="inlineStr">
        <is>
          <t>ESKILSTUNA</t>
        </is>
      </c>
      <c r="I1884" t="n">
        <v>1.7</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59917-2025</t>
        </is>
      </c>
      <c r="B1885" t="inlineStr">
        <is>
          <t>avverkningsanmälan</t>
        </is>
      </c>
      <c r="C1885" t="inlineStr">
        <is>
          <t>Föryngringsavverkning</t>
        </is>
      </c>
      <c r="D1885" s="1" t="n">
        <v>45993</v>
      </c>
      <c r="E1885" s="1" t="n">
        <v>46313</v>
      </c>
      <c r="F1885" t="inlineStr">
        <is>
          <t>SÖDERMANLANDS LÄN</t>
        </is>
      </c>
      <c r="G1885" t="inlineStr">
        <is>
          <t>NYKÖPING</t>
        </is>
      </c>
      <c r="H1885" t="inlineStr">
        <is>
          <t>Holmen skog AB</t>
        </is>
      </c>
      <c r="I1885" t="n">
        <v>7.2</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17315-2024</t>
        </is>
      </c>
      <c r="B1886" t="inlineStr">
        <is>
          <t>avverkningsanmälan</t>
        </is>
      </c>
      <c r="C1886" t="inlineStr">
        <is>
          <t>Avverkning för annat ändamål</t>
        </is>
      </c>
      <c r="D1886" s="1" t="n">
        <v>45414</v>
      </c>
      <c r="E1886" s="1" t="n">
        <v>46313</v>
      </c>
      <c r="F1886" t="inlineStr">
        <is>
          <t>SÖDERMANLANDS LÄN</t>
        </is>
      </c>
      <c r="G1886" t="inlineStr">
        <is>
          <t>NYKÖPING</t>
        </is>
      </c>
      <c r="I1886" t="n">
        <v>0.5</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24223-2026</t>
        </is>
      </c>
      <c r="B1887" t="inlineStr">
        <is>
          <t>avverkningsanmälan</t>
        </is>
      </c>
      <c r="C1887" t="inlineStr">
        <is>
          <t>Föryngringsavverkning</t>
        </is>
      </c>
      <c r="D1887" s="1" t="n">
        <v>46168</v>
      </c>
      <c r="E1887" s="1" t="n">
        <v>46313</v>
      </c>
      <c r="F1887" t="inlineStr">
        <is>
          <t>SÖDERMANLANDS LÄN</t>
        </is>
      </c>
      <c r="G1887" t="inlineStr">
        <is>
          <t>FLEN</t>
        </is>
      </c>
      <c r="H1887" t="inlineStr">
        <is>
          <t>Holmen skog AB</t>
        </is>
      </c>
      <c r="I1887" t="n">
        <v>2.4</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17460-2026</t>
        </is>
      </c>
      <c r="B1888" t="inlineStr">
        <is>
          <t>avverkningsanmälan</t>
        </is>
      </c>
      <c r="C1888" t="inlineStr">
        <is>
          <t>Föryngringsavverkning</t>
        </is>
      </c>
      <c r="D1888" s="1" t="n">
        <v>46120</v>
      </c>
      <c r="E1888" s="1" t="n">
        <v>46313</v>
      </c>
      <c r="F1888" t="inlineStr">
        <is>
          <t>SÖDERMANLANDS LÄN</t>
        </is>
      </c>
      <c r="G1888" t="inlineStr">
        <is>
          <t>NYKÖPING</t>
        </is>
      </c>
      <c r="I1888" t="n">
        <v>1.7</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59995-2025</t>
        </is>
      </c>
      <c r="B1889" t="inlineStr">
        <is>
          <t>avverkningsanmälan</t>
        </is>
      </c>
      <c r="C1889" t="inlineStr">
        <is>
          <t>Föryngringsavverkning</t>
        </is>
      </c>
      <c r="D1889" s="1" t="n">
        <v>45993</v>
      </c>
      <c r="E1889" s="1" t="n">
        <v>46313</v>
      </c>
      <c r="F1889" t="inlineStr">
        <is>
          <t>SÖDERMANLANDS LÄN</t>
        </is>
      </c>
      <c r="G1889" t="inlineStr">
        <is>
          <t>NYKÖPING</t>
        </is>
      </c>
      <c r="I1889" t="n">
        <v>4.6</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60144-2025</t>
        </is>
      </c>
      <c r="B1890" t="inlineStr">
        <is>
          <t>avverkningsanmälan</t>
        </is>
      </c>
      <c r="C1890" t="inlineStr">
        <is>
          <t>Föryngringsavverkning</t>
        </is>
      </c>
      <c r="D1890" s="1" t="n">
        <v>45994</v>
      </c>
      <c r="E1890" s="1" t="n">
        <v>46313</v>
      </c>
      <c r="F1890" t="inlineStr">
        <is>
          <t>SÖDERMANLANDS LÄN</t>
        </is>
      </c>
      <c r="G1890" t="inlineStr">
        <is>
          <t>FLEN</t>
        </is>
      </c>
      <c r="H1890" t="inlineStr">
        <is>
          <t>Kyrkan</t>
        </is>
      </c>
      <c r="I1890" t="n">
        <v>9.699999999999999</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20427-2023</t>
        </is>
      </c>
      <c r="B1891" t="inlineStr">
        <is>
          <t>avverkningsanmälan</t>
        </is>
      </c>
      <c r="C1891" t="inlineStr">
        <is>
          <t>Föryngringsavverkning</t>
        </is>
      </c>
      <c r="D1891" s="1" t="n">
        <v>45056</v>
      </c>
      <c r="E1891" s="1" t="n">
        <v>46313</v>
      </c>
      <c r="F1891" t="inlineStr">
        <is>
          <t>SÖDERMANLANDS LÄN</t>
        </is>
      </c>
      <c r="G1891" t="inlineStr">
        <is>
          <t>VINGÅKER</t>
        </is>
      </c>
      <c r="I1891" t="n">
        <v>2.3</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24116-2026</t>
        </is>
      </c>
      <c r="B1892" t="inlineStr">
        <is>
          <t>avverkningsanmälan</t>
        </is>
      </c>
      <c r="C1892" t="inlineStr">
        <is>
          <t>Föryngringsavverkning</t>
        </is>
      </c>
      <c r="D1892" s="1" t="n">
        <v>46168</v>
      </c>
      <c r="E1892" s="1" t="n">
        <v>46313</v>
      </c>
      <c r="F1892" t="inlineStr">
        <is>
          <t>SÖDERMANLANDS LÄN</t>
        </is>
      </c>
      <c r="G1892" t="inlineStr">
        <is>
          <t>FLEN</t>
        </is>
      </c>
      <c r="H1892" t="inlineStr">
        <is>
          <t>Holmen skog AB</t>
        </is>
      </c>
      <c r="I1892" t="n">
        <v>1.6</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60401-2025</t>
        </is>
      </c>
      <c r="B1893" t="inlineStr">
        <is>
          <t>avverkningsanmälan</t>
        </is>
      </c>
      <c r="C1893" t="inlineStr">
        <is>
          <t>Föryngringsavverkning</t>
        </is>
      </c>
      <c r="D1893" s="1" t="n">
        <v>45995</v>
      </c>
      <c r="E1893" s="1" t="n">
        <v>46313</v>
      </c>
      <c r="F1893" t="inlineStr">
        <is>
          <t>SÖDERMANLANDS LÄN</t>
        </is>
      </c>
      <c r="G1893" t="inlineStr">
        <is>
          <t>FLEN</t>
        </is>
      </c>
      <c r="I1893" t="n">
        <v>8.699999999999999</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24285-2026</t>
        </is>
      </c>
      <c r="B1894" t="inlineStr">
        <is>
          <t>avverkningsanmälan</t>
        </is>
      </c>
      <c r="C1894" t="inlineStr">
        <is>
          <t>Föryngringsavverkning</t>
        </is>
      </c>
      <c r="D1894" s="1" t="n">
        <v>46169</v>
      </c>
      <c r="E1894" s="1" t="n">
        <v>46313</v>
      </c>
      <c r="F1894" t="inlineStr">
        <is>
          <t>SÖDERMANLANDS LÄN</t>
        </is>
      </c>
      <c r="G1894" t="inlineStr">
        <is>
          <t>NYKÖPING</t>
        </is>
      </c>
      <c r="H1894" t="inlineStr">
        <is>
          <t>Kyrkan</t>
        </is>
      </c>
      <c r="I1894" t="n">
        <v>1.1</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60382-2025</t>
        </is>
      </c>
      <c r="B1895" t="inlineStr">
        <is>
          <t>avverkningsanmälan</t>
        </is>
      </c>
      <c r="C1895" t="inlineStr">
        <is>
          <t>Föryngringsavverkning</t>
        </is>
      </c>
      <c r="D1895" s="1" t="n">
        <v>45995</v>
      </c>
      <c r="E1895" s="1" t="n">
        <v>46313</v>
      </c>
      <c r="F1895" t="inlineStr">
        <is>
          <t>SÖDERMANLANDS LÄN</t>
        </is>
      </c>
      <c r="G1895" t="inlineStr">
        <is>
          <t>FLEN</t>
        </is>
      </c>
      <c r="H1895" t="inlineStr">
        <is>
          <t>Holmen skog AB</t>
        </is>
      </c>
      <c r="I1895" t="n">
        <v>0.9</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9469-2022</t>
        </is>
      </c>
      <c r="B1896" t="inlineStr">
        <is>
          <t>avverkningsanmälan</t>
        </is>
      </c>
      <c r="C1896" t="inlineStr">
        <is>
          <t>Föryngringsavverkning</t>
        </is>
      </c>
      <c r="D1896" s="1" t="n">
        <v>44616</v>
      </c>
      <c r="E1896" s="1" t="n">
        <v>46313</v>
      </c>
      <c r="F1896" t="inlineStr">
        <is>
          <t>SÖDERMANLANDS LÄN</t>
        </is>
      </c>
      <c r="G1896" t="inlineStr">
        <is>
          <t>NYKÖPING</t>
        </is>
      </c>
      <c r="I1896" t="n">
        <v>5.1</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32273-2023</t>
        </is>
      </c>
      <c r="B1897" t="inlineStr">
        <is>
          <t>avverkningsanmälan</t>
        </is>
      </c>
      <c r="C1897" t="inlineStr">
        <is>
          <t>Föryngringsavverkning</t>
        </is>
      </c>
      <c r="D1897" s="1" t="n">
        <v>45109</v>
      </c>
      <c r="E1897" s="1" t="n">
        <v>46313</v>
      </c>
      <c r="F1897" t="inlineStr">
        <is>
          <t>SÖDERMANLANDS LÄN</t>
        </is>
      </c>
      <c r="G1897" t="inlineStr">
        <is>
          <t>VINGÅKER</t>
        </is>
      </c>
      <c r="I1897" t="n">
        <v>2.7</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60467-2025</t>
        </is>
      </c>
      <c r="B1898" t="inlineStr">
        <is>
          <t>avverkningsanmälan</t>
        </is>
      </c>
      <c r="C1898" t="inlineStr">
        <is>
          <t>Föryngringsavverkning</t>
        </is>
      </c>
      <c r="D1898" s="1" t="n">
        <v>45995</v>
      </c>
      <c r="E1898" s="1" t="n">
        <v>46313</v>
      </c>
      <c r="F1898" t="inlineStr">
        <is>
          <t>SÖDERMANLANDS LÄN</t>
        </is>
      </c>
      <c r="G1898" t="inlineStr">
        <is>
          <t>VINGÅKER</t>
        </is>
      </c>
      <c r="I1898" t="n">
        <v>4.4</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60206-2025</t>
        </is>
      </c>
      <c r="B1899" t="inlineStr">
        <is>
          <t>avverkningsanmälan</t>
        </is>
      </c>
      <c r="C1899" t="inlineStr">
        <is>
          <t>Föryngringsavverkning</t>
        </is>
      </c>
      <c r="D1899" s="1" t="n">
        <v>45994</v>
      </c>
      <c r="E1899" s="1" t="n">
        <v>46313</v>
      </c>
      <c r="F1899" t="inlineStr">
        <is>
          <t>SÖDERMANLANDS LÄN</t>
        </is>
      </c>
      <c r="G1899" t="inlineStr">
        <is>
          <t>FLEN</t>
        </is>
      </c>
      <c r="H1899" t="inlineStr">
        <is>
          <t>Kyrkan</t>
        </is>
      </c>
      <c r="I1899" t="n">
        <v>2.3</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19150-2023</t>
        </is>
      </c>
      <c r="B1900" t="inlineStr">
        <is>
          <t>avverkningsanmälan</t>
        </is>
      </c>
      <c r="C1900" t="inlineStr">
        <is>
          <t>Föryngringsavverkning</t>
        </is>
      </c>
      <c r="D1900" s="1" t="n">
        <v>45048</v>
      </c>
      <c r="E1900" s="1" t="n">
        <v>46313</v>
      </c>
      <c r="F1900" t="inlineStr">
        <is>
          <t>SÖDERMANLANDS LÄN</t>
        </is>
      </c>
      <c r="G1900" t="inlineStr">
        <is>
          <t>FLEN</t>
        </is>
      </c>
      <c r="I1900" t="n">
        <v>1.1</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60326-2025</t>
        </is>
      </c>
      <c r="B1901" t="inlineStr">
        <is>
          <t>avverkningsanmälan</t>
        </is>
      </c>
      <c r="C1901" t="inlineStr">
        <is>
          <t>Föryngringsavverkning</t>
        </is>
      </c>
      <c r="D1901" s="1" t="n">
        <v>45994</v>
      </c>
      <c r="E1901" s="1" t="n">
        <v>46313</v>
      </c>
      <c r="F1901" t="inlineStr">
        <is>
          <t>SÖDERMANLANDS LÄN</t>
        </is>
      </c>
      <c r="G1901" t="inlineStr">
        <is>
          <t>ESKILSTUNA</t>
        </is>
      </c>
      <c r="I1901" t="n">
        <v>2.2</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9543-2022</t>
        </is>
      </c>
      <c r="B1902" t="inlineStr">
        <is>
          <t>avverkningsanmälan</t>
        </is>
      </c>
      <c r="C1902" t="inlineStr">
        <is>
          <t>Föryngringsavverkning</t>
        </is>
      </c>
      <c r="D1902" s="1" t="n">
        <v>44617</v>
      </c>
      <c r="E1902" s="1" t="n">
        <v>46313</v>
      </c>
      <c r="F1902" t="inlineStr">
        <is>
          <t>SÖDERMANLANDS LÄN</t>
        </is>
      </c>
      <c r="G1902" t="inlineStr">
        <is>
          <t>VINGÅKER</t>
        </is>
      </c>
      <c r="H1902" t="inlineStr">
        <is>
          <t>Kyrkan</t>
        </is>
      </c>
      <c r="I1902" t="n">
        <v>4.7</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13455-2022</t>
        </is>
      </c>
      <c r="B1903" t="inlineStr">
        <is>
          <t>avverkningsanmälan</t>
        </is>
      </c>
      <c r="C1903" t="inlineStr">
        <is>
          <t>Föryngringsavverkning</t>
        </is>
      </c>
      <c r="D1903" s="1" t="n">
        <v>44645</v>
      </c>
      <c r="E1903" s="1" t="n">
        <v>46313</v>
      </c>
      <c r="F1903" t="inlineStr">
        <is>
          <t>SÖDERMANLANDS LÄN</t>
        </is>
      </c>
      <c r="G1903" t="inlineStr">
        <is>
          <t>NYKÖPING</t>
        </is>
      </c>
      <c r="I1903" t="n">
        <v>1.9</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61253-2025</t>
        </is>
      </c>
      <c r="B1904" t="inlineStr">
        <is>
          <t>avverkningsanmälan</t>
        </is>
      </c>
      <c r="C1904" t="inlineStr">
        <is>
          <t>Föryngringsavverkning</t>
        </is>
      </c>
      <c r="D1904" s="1" t="n">
        <v>45999</v>
      </c>
      <c r="E1904" s="1" t="n">
        <v>46313</v>
      </c>
      <c r="F1904" t="inlineStr">
        <is>
          <t>SÖDERMANLANDS LÄN</t>
        </is>
      </c>
      <c r="G1904" t="inlineStr">
        <is>
          <t>NYKÖPING</t>
        </is>
      </c>
      <c r="H1904" t="inlineStr">
        <is>
          <t>Allmännings- och besparingsskogar</t>
        </is>
      </c>
      <c r="I1904" t="n">
        <v>13.5</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60754-2025</t>
        </is>
      </c>
      <c r="B1905" t="inlineStr">
        <is>
          <t>avverkningsanmälan</t>
        </is>
      </c>
      <c r="C1905" t="inlineStr">
        <is>
          <t>Föryngringsavverkning</t>
        </is>
      </c>
      <c r="D1905" s="1" t="n">
        <v>45999</v>
      </c>
      <c r="E1905" s="1" t="n">
        <v>46313</v>
      </c>
      <c r="F1905" t="inlineStr">
        <is>
          <t>SÖDERMANLANDS LÄN</t>
        </is>
      </c>
      <c r="G1905" t="inlineStr">
        <is>
          <t>ESKILSTUNA</t>
        </is>
      </c>
      <c r="I1905" t="n">
        <v>0.5</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24157-2026</t>
        </is>
      </c>
      <c r="B1906" t="inlineStr">
        <is>
          <t>avverkningsanmälan</t>
        </is>
      </c>
      <c r="C1906" t="inlineStr">
        <is>
          <t>Föryngringsavverkning</t>
        </is>
      </c>
      <c r="D1906" s="1" t="n">
        <v>46168</v>
      </c>
      <c r="E1906" s="1" t="n">
        <v>46313</v>
      </c>
      <c r="F1906" t="inlineStr">
        <is>
          <t>SÖDERMANLANDS LÄN</t>
        </is>
      </c>
      <c r="G1906" t="inlineStr">
        <is>
          <t>FLEN</t>
        </is>
      </c>
      <c r="I1906" t="n">
        <v>1.7</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52773-2023</t>
        </is>
      </c>
      <c r="B1907" t="inlineStr">
        <is>
          <t>avverkningsanmälan</t>
        </is>
      </c>
      <c r="C1907" t="inlineStr">
        <is>
          <t>Föryngringsavverkning</t>
        </is>
      </c>
      <c r="D1907" s="1" t="n">
        <v>45219</v>
      </c>
      <c r="E1907" s="1" t="n">
        <v>46313</v>
      </c>
      <c r="F1907" t="inlineStr">
        <is>
          <t>SÖDERMANLANDS LÄN</t>
        </is>
      </c>
      <c r="G1907" t="inlineStr">
        <is>
          <t>STRÄNGNÄS</t>
        </is>
      </c>
      <c r="I1907" t="n">
        <v>1.8</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41267-2023</t>
        </is>
      </c>
      <c r="B1908" t="inlineStr">
        <is>
          <t>avverkningsanmälan</t>
        </is>
      </c>
      <c r="C1908" t="inlineStr">
        <is>
          <t>Föryngringsavverkning</t>
        </is>
      </c>
      <c r="D1908" s="1" t="n">
        <v>45174</v>
      </c>
      <c r="E1908" s="1" t="n">
        <v>46313</v>
      </c>
      <c r="F1908" t="inlineStr">
        <is>
          <t>SÖDERMANLANDS LÄN</t>
        </is>
      </c>
      <c r="G1908" t="inlineStr">
        <is>
          <t>KATRINEHOLM</t>
        </is>
      </c>
      <c r="H1908" t="inlineStr">
        <is>
          <t>Holmen skog AB</t>
        </is>
      </c>
      <c r="I1908" t="n">
        <v>4.5</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61254-2025</t>
        </is>
      </c>
      <c r="B1909" t="inlineStr">
        <is>
          <t>avverkningsanmälan</t>
        </is>
      </c>
      <c r="C1909" t="inlineStr">
        <is>
          <t>Föryngringsavverkning</t>
        </is>
      </c>
      <c r="D1909" s="1" t="n">
        <v>45999</v>
      </c>
      <c r="E1909" s="1" t="n">
        <v>46313</v>
      </c>
      <c r="F1909" t="inlineStr">
        <is>
          <t>SÖDERMANLANDS LÄN</t>
        </is>
      </c>
      <c r="G1909" t="inlineStr">
        <is>
          <t>NYKÖPING</t>
        </is>
      </c>
      <c r="H1909" t="inlineStr">
        <is>
          <t>Allmännings- och besparingsskogar</t>
        </is>
      </c>
      <c r="I1909" t="n">
        <v>10.6</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61066-2025</t>
        </is>
      </c>
      <c r="B1910" t="inlineStr">
        <is>
          <t>avverkningsanmälan</t>
        </is>
      </c>
      <c r="C1910" t="inlineStr">
        <is>
          <t>Föryngringsavverkning</t>
        </is>
      </c>
      <c r="D1910" s="1" t="n">
        <v>46000</v>
      </c>
      <c r="E1910" s="1" t="n">
        <v>46313</v>
      </c>
      <c r="F1910" t="inlineStr">
        <is>
          <t>SÖDERMANLANDS LÄN</t>
        </is>
      </c>
      <c r="G1910" t="inlineStr">
        <is>
          <t>KATRINEHOLM</t>
        </is>
      </c>
      <c r="H1910" t="inlineStr">
        <is>
          <t>Kyrkan</t>
        </is>
      </c>
      <c r="I1910" t="n">
        <v>5</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52840-2023</t>
        </is>
      </c>
      <c r="B1911" t="inlineStr">
        <is>
          <t>avverkningsanmälan</t>
        </is>
      </c>
      <c r="C1911" t="inlineStr">
        <is>
          <t>Föryngringsavverkning</t>
        </is>
      </c>
      <c r="D1911" s="1" t="n">
        <v>45226</v>
      </c>
      <c r="E1911" s="1" t="n">
        <v>46313</v>
      </c>
      <c r="F1911" t="inlineStr">
        <is>
          <t>SÖDERMANLANDS LÄN</t>
        </is>
      </c>
      <c r="G1911" t="inlineStr">
        <is>
          <t>STRÄNGNÄS</t>
        </is>
      </c>
      <c r="I1911" t="n">
        <v>1.2</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25976-2024</t>
        </is>
      </c>
      <c r="B1912" t="inlineStr">
        <is>
          <t>avverkningsanmälan</t>
        </is>
      </c>
      <c r="C1912" t="inlineStr">
        <is>
          <t>Avverkning för att bevara och utveckla /försöksver</t>
        </is>
      </c>
      <c r="D1912" s="1" t="n">
        <v>45467</v>
      </c>
      <c r="E1912" s="1" t="n">
        <v>46313</v>
      </c>
      <c r="F1912" t="inlineStr">
        <is>
          <t>SÖDERMANLANDS LÄN</t>
        </is>
      </c>
      <c r="G1912" t="inlineStr">
        <is>
          <t>GNESTA</t>
        </is>
      </c>
      <c r="I1912" t="n">
        <v>5.6</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20980-2023</t>
        </is>
      </c>
      <c r="B1913" t="inlineStr">
        <is>
          <t>avverkningsanmälan</t>
        </is>
      </c>
      <c r="C1913" t="inlineStr">
        <is>
          <t>Föryngringsavverkning</t>
        </is>
      </c>
      <c r="D1913" s="1" t="n">
        <v>45056</v>
      </c>
      <c r="E1913" s="1" t="n">
        <v>46313</v>
      </c>
      <c r="F1913" t="inlineStr">
        <is>
          <t>SÖDERMANLANDS LÄN</t>
        </is>
      </c>
      <c r="G1913" t="inlineStr">
        <is>
          <t>FLEN</t>
        </is>
      </c>
      <c r="I1913" t="n">
        <v>1.3</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20986-2023</t>
        </is>
      </c>
      <c r="B1914" t="inlineStr">
        <is>
          <t>avverkningsanmälan</t>
        </is>
      </c>
      <c r="C1914" t="inlineStr">
        <is>
          <t>Föryngringsavverkning</t>
        </is>
      </c>
      <c r="D1914" s="1" t="n">
        <v>45061</v>
      </c>
      <c r="E1914" s="1" t="n">
        <v>46313</v>
      </c>
      <c r="F1914" t="inlineStr">
        <is>
          <t>SÖDERMANLANDS LÄN</t>
        </is>
      </c>
      <c r="G1914" t="inlineStr">
        <is>
          <t>GNESTA</t>
        </is>
      </c>
      <c r="H1914" t="inlineStr">
        <is>
          <t>Övriga Aktiebolag</t>
        </is>
      </c>
      <c r="I1914" t="n">
        <v>0.9</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50934-2025</t>
        </is>
      </c>
      <c r="B1915" t="inlineStr">
        <is>
          <t>avverkningsanmälan</t>
        </is>
      </c>
      <c r="C1915" t="inlineStr">
        <is>
          <t>Föryngringsavverkning</t>
        </is>
      </c>
      <c r="D1915" s="1" t="n">
        <v>45946</v>
      </c>
      <c r="E1915" s="1" t="n">
        <v>46313</v>
      </c>
      <c r="F1915" t="inlineStr">
        <is>
          <t>SÖDERMANLANDS LÄN</t>
        </is>
      </c>
      <c r="G1915" t="inlineStr">
        <is>
          <t>KATRINEHOLM</t>
        </is>
      </c>
      <c r="I1915" t="n">
        <v>2</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4662-2023</t>
        </is>
      </c>
      <c r="B1916" t="inlineStr">
        <is>
          <t>avverkningsanmälan</t>
        </is>
      </c>
      <c r="C1916" t="inlineStr">
        <is>
          <t>Föryngringsavverkning</t>
        </is>
      </c>
      <c r="D1916" s="1" t="n">
        <v>44957</v>
      </c>
      <c r="E1916" s="1" t="n">
        <v>46313</v>
      </c>
      <c r="F1916" t="inlineStr">
        <is>
          <t>SÖDERMANLANDS LÄN</t>
        </is>
      </c>
      <c r="G1916" t="inlineStr">
        <is>
          <t>KATRINEHOLM</t>
        </is>
      </c>
      <c r="H1916" t="inlineStr">
        <is>
          <t>Holmen skog AB</t>
        </is>
      </c>
      <c r="I1916" t="n">
        <v>0.4</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22388-2026</t>
        </is>
      </c>
      <c r="B1917" t="inlineStr">
        <is>
          <t>avverkningsanmälan</t>
        </is>
      </c>
      <c r="C1917" t="inlineStr">
        <is>
          <t>Föryngringsavverkning</t>
        </is>
      </c>
      <c r="D1917" s="1" t="n">
        <v>46154</v>
      </c>
      <c r="E1917" s="1" t="n">
        <v>46313</v>
      </c>
      <c r="F1917" t="inlineStr">
        <is>
          <t>SÖDERMANLANDS LÄN</t>
        </is>
      </c>
      <c r="G1917" t="inlineStr">
        <is>
          <t>ESKILSTUNA</t>
        </is>
      </c>
      <c r="I1917" t="n">
        <v>2.5</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24151-2026</t>
        </is>
      </c>
      <c r="B1918" t="inlineStr">
        <is>
          <t>avverkningsanmälan</t>
        </is>
      </c>
      <c r="C1918" t="inlineStr">
        <is>
          <t>Föryngringsavverkning</t>
        </is>
      </c>
      <c r="D1918" s="1" t="n">
        <v>46168</v>
      </c>
      <c r="E1918" s="1" t="n">
        <v>46313</v>
      </c>
      <c r="F1918" t="inlineStr">
        <is>
          <t>SÖDERMANLANDS LÄN</t>
        </is>
      </c>
      <c r="G1918" t="inlineStr">
        <is>
          <t>FLEN</t>
        </is>
      </c>
      <c r="H1918" t="inlineStr">
        <is>
          <t>Holmen skog AB</t>
        </is>
      </c>
      <c r="I1918" t="n">
        <v>2</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14622-2026</t>
        </is>
      </c>
      <c r="B1919" t="inlineStr">
        <is>
          <t>avverkningsanmälan</t>
        </is>
      </c>
      <c r="C1919" t="inlineStr">
        <is>
          <t>Föryngringsavverkning</t>
        </is>
      </c>
      <c r="D1919" s="1" t="n">
        <v>46101</v>
      </c>
      <c r="E1919" s="1" t="n">
        <v>46313</v>
      </c>
      <c r="F1919" t="inlineStr">
        <is>
          <t>SÖDERMANLANDS LÄN</t>
        </is>
      </c>
      <c r="G1919" t="inlineStr">
        <is>
          <t>KATRINEHOLM</t>
        </is>
      </c>
      <c r="I1919" t="n">
        <v>2.5</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44561-2024</t>
        </is>
      </c>
      <c r="B1920" t="inlineStr">
        <is>
          <t>avverkningsanmälan</t>
        </is>
      </c>
      <c r="C1920" t="inlineStr">
        <is>
          <t>Föryngringsavverkning</t>
        </is>
      </c>
      <c r="D1920" s="1" t="n">
        <v>45574</v>
      </c>
      <c r="E1920" s="1" t="n">
        <v>46313</v>
      </c>
      <c r="F1920" t="inlineStr">
        <is>
          <t>SÖDERMANLANDS LÄN</t>
        </is>
      </c>
      <c r="G1920" t="inlineStr">
        <is>
          <t>FLEN</t>
        </is>
      </c>
      <c r="H1920" t="inlineStr">
        <is>
          <t>Övriga statliga verk och myndigheter</t>
        </is>
      </c>
      <c r="I1920" t="n">
        <v>1.9</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53509-2023</t>
        </is>
      </c>
      <c r="B1921" t="inlineStr">
        <is>
          <t>avverkningsanmälan</t>
        </is>
      </c>
      <c r="C1921" t="inlineStr">
        <is>
          <t>Föryngringsavverkning</t>
        </is>
      </c>
      <c r="D1921" s="1" t="n">
        <v>45230</v>
      </c>
      <c r="E1921" s="1" t="n">
        <v>46313</v>
      </c>
      <c r="F1921" t="inlineStr">
        <is>
          <t>SÖDERMANLANDS LÄN</t>
        </is>
      </c>
      <c r="G1921" t="inlineStr">
        <is>
          <t>FLEN</t>
        </is>
      </c>
      <c r="I1921" t="n">
        <v>1.4</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22304-2024</t>
        </is>
      </c>
      <c r="B1922" t="inlineStr">
        <is>
          <t>avverkningsanmälan</t>
        </is>
      </c>
      <c r="C1922" t="inlineStr">
        <is>
          <t>Föryngringsavverkning</t>
        </is>
      </c>
      <c r="D1922" s="1" t="n">
        <v>45446</v>
      </c>
      <c r="E1922" s="1" t="n">
        <v>46313</v>
      </c>
      <c r="F1922" t="inlineStr">
        <is>
          <t>SÖDERMANLANDS LÄN</t>
        </is>
      </c>
      <c r="G1922" t="inlineStr">
        <is>
          <t>KATRINEHOLM</t>
        </is>
      </c>
      <c r="H1922" t="inlineStr">
        <is>
          <t>Kommuner</t>
        </is>
      </c>
      <c r="I1922" t="n">
        <v>0.7</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24155-2026</t>
        </is>
      </c>
      <c r="B1923" t="inlineStr">
        <is>
          <t>avverkningsanmälan</t>
        </is>
      </c>
      <c r="C1923" t="inlineStr">
        <is>
          <t>Föryngringsavverkning</t>
        </is>
      </c>
      <c r="D1923" s="1" t="n">
        <v>46168</v>
      </c>
      <c r="E1923" s="1" t="n">
        <v>46313</v>
      </c>
      <c r="F1923" t="inlineStr">
        <is>
          <t>SÖDERMANLANDS LÄN</t>
        </is>
      </c>
      <c r="G1923" t="inlineStr">
        <is>
          <t>FLEN</t>
        </is>
      </c>
      <c r="I1923" t="n">
        <v>3.1</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24163-2026</t>
        </is>
      </c>
      <c r="B1924" t="inlineStr">
        <is>
          <t>avverkningsanmälan</t>
        </is>
      </c>
      <c r="C1924" t="inlineStr">
        <is>
          <t>Föryngringsavverkning</t>
        </is>
      </c>
      <c r="D1924" s="1" t="n">
        <v>46168</v>
      </c>
      <c r="E1924" s="1" t="n">
        <v>46313</v>
      </c>
      <c r="F1924" t="inlineStr">
        <is>
          <t>SÖDERMANLANDS LÄN</t>
        </is>
      </c>
      <c r="G1924" t="inlineStr">
        <is>
          <t>FLEN</t>
        </is>
      </c>
      <c r="H1924" t="inlineStr">
        <is>
          <t>Holmen skog AB</t>
        </is>
      </c>
      <c r="I1924" t="n">
        <v>1.3</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13171-2024</t>
        </is>
      </c>
      <c r="B1925" t="inlineStr">
        <is>
          <t>avverkningsanmälan</t>
        </is>
      </c>
      <c r="C1925" t="inlineStr">
        <is>
          <t>Föryngringsavverkning</t>
        </is>
      </c>
      <c r="D1925" s="1" t="n">
        <v>45386</v>
      </c>
      <c r="E1925" s="1" t="n">
        <v>46313</v>
      </c>
      <c r="F1925" t="inlineStr">
        <is>
          <t>SÖDERMANLANDS LÄN</t>
        </is>
      </c>
      <c r="G1925" t="inlineStr">
        <is>
          <t>KATRINEHOLM</t>
        </is>
      </c>
      <c r="I1925" t="n">
        <v>1</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57633-2024</t>
        </is>
      </c>
      <c r="B1926" t="inlineStr">
        <is>
          <t>avverkningsanmälan</t>
        </is>
      </c>
      <c r="C1926" t="inlineStr">
        <is>
          <t>Föryngringsavverkning</t>
        </is>
      </c>
      <c r="D1926" s="1" t="n">
        <v>45630</v>
      </c>
      <c r="E1926" s="1" t="n">
        <v>46313</v>
      </c>
      <c r="F1926" t="inlineStr">
        <is>
          <t>SÖDERMANLANDS LÄN</t>
        </is>
      </c>
      <c r="G1926" t="inlineStr">
        <is>
          <t>NYKÖPING</t>
        </is>
      </c>
      <c r="I1926" t="n">
        <v>1.1</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58224-2022</t>
        </is>
      </c>
      <c r="B1927" t="inlineStr">
        <is>
          <t>avverkningsanmälan</t>
        </is>
      </c>
      <c r="C1927" t="inlineStr">
        <is>
          <t>Föryngringsavverkning</t>
        </is>
      </c>
      <c r="D1927" s="1" t="n">
        <v>44893</v>
      </c>
      <c r="E1927" s="1" t="n">
        <v>46313</v>
      </c>
      <c r="F1927" t="inlineStr">
        <is>
          <t>SÖDERMANLANDS LÄN</t>
        </is>
      </c>
      <c r="G1927" t="inlineStr">
        <is>
          <t>VINGÅKER</t>
        </is>
      </c>
      <c r="I1927" t="n">
        <v>0.7</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61041-2025</t>
        </is>
      </c>
      <c r="B1928" t="inlineStr">
        <is>
          <t>avverkningsanmälan</t>
        </is>
      </c>
      <c r="C1928" t="inlineStr">
        <is>
          <t>Föryngringsavverkning</t>
        </is>
      </c>
      <c r="D1928" s="1" t="n">
        <v>46000</v>
      </c>
      <c r="E1928" s="1" t="n">
        <v>46313</v>
      </c>
      <c r="F1928" t="inlineStr">
        <is>
          <t>SÖDERMANLANDS LÄN</t>
        </is>
      </c>
      <c r="G1928" t="inlineStr">
        <is>
          <t>FLEN</t>
        </is>
      </c>
      <c r="H1928" t="inlineStr">
        <is>
          <t>Holmen skog AB</t>
        </is>
      </c>
      <c r="I1928" t="n">
        <v>0.9</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61357-2025</t>
        </is>
      </c>
      <c r="B1929" t="inlineStr">
        <is>
          <t>avverkningsanmälan</t>
        </is>
      </c>
      <c r="C1929" t="inlineStr">
        <is>
          <t>Föryngringsavverkning</t>
        </is>
      </c>
      <c r="D1929" s="1" t="n">
        <v>46001</v>
      </c>
      <c r="E1929" s="1" t="n">
        <v>46313</v>
      </c>
      <c r="F1929" t="inlineStr">
        <is>
          <t>SÖDERMANLANDS LÄN</t>
        </is>
      </c>
      <c r="G1929" t="inlineStr">
        <is>
          <t>NYKÖPING</t>
        </is>
      </c>
      <c r="H1929" t="inlineStr">
        <is>
          <t>Holmen skog AB</t>
        </is>
      </c>
      <c r="I1929" t="n">
        <v>1.1</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11740-2024</t>
        </is>
      </c>
      <c r="B1930" t="inlineStr">
        <is>
          <t>avverkningsanmälan</t>
        </is>
      </c>
      <c r="C1930" t="inlineStr">
        <is>
          <t>Föryngringsavverkning</t>
        </is>
      </c>
      <c r="D1930" s="1" t="n">
        <v>45373</v>
      </c>
      <c r="E1930" s="1" t="n">
        <v>46313</v>
      </c>
      <c r="F1930" t="inlineStr">
        <is>
          <t>SÖDERMANLANDS LÄN</t>
        </is>
      </c>
      <c r="G1930" t="inlineStr">
        <is>
          <t>TROSA</t>
        </is>
      </c>
      <c r="H1930" t="inlineStr">
        <is>
          <t>Kommuner</t>
        </is>
      </c>
      <c r="I1930" t="n">
        <v>1.6</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33742-2023</t>
        </is>
      </c>
      <c r="B1931" t="inlineStr">
        <is>
          <t>avverkningsanmälan</t>
        </is>
      </c>
      <c r="C1931" t="inlineStr">
        <is>
          <t>Föryngringsavverkning</t>
        </is>
      </c>
      <c r="D1931" s="1" t="n">
        <v>45119</v>
      </c>
      <c r="E1931" s="1" t="n">
        <v>46313</v>
      </c>
      <c r="F1931" t="inlineStr">
        <is>
          <t>SÖDERMANLANDS LÄN</t>
        </is>
      </c>
      <c r="G1931" t="inlineStr">
        <is>
          <t>FLEN</t>
        </is>
      </c>
      <c r="I1931" t="n">
        <v>1.9</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33752-2023</t>
        </is>
      </c>
      <c r="B1932" t="inlineStr">
        <is>
          <t>avverkningsanmälan</t>
        </is>
      </c>
      <c r="C1932" t="inlineStr">
        <is>
          <t>Föryngringsavverkning</t>
        </is>
      </c>
      <c r="D1932" s="1" t="n">
        <v>45120</v>
      </c>
      <c r="E1932" s="1" t="n">
        <v>46313</v>
      </c>
      <c r="F1932" t="inlineStr">
        <is>
          <t>SÖDERMANLANDS LÄN</t>
        </is>
      </c>
      <c r="G1932" t="inlineStr">
        <is>
          <t>KATRINEHOLM</t>
        </is>
      </c>
      <c r="I1932" t="n">
        <v>1</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36649-2023</t>
        </is>
      </c>
      <c r="B1933" t="inlineStr">
        <is>
          <t>avverkningsanmälan</t>
        </is>
      </c>
      <c r="C1933" t="inlineStr">
        <is>
          <t>Föryngringsavverkning</t>
        </is>
      </c>
      <c r="D1933" s="1" t="n">
        <v>45153</v>
      </c>
      <c r="E1933" s="1" t="n">
        <v>46313</v>
      </c>
      <c r="F1933" t="inlineStr">
        <is>
          <t>SÖDERMANLANDS LÄN</t>
        </is>
      </c>
      <c r="G1933" t="inlineStr">
        <is>
          <t>VINGÅKER</t>
        </is>
      </c>
      <c r="I1933" t="n">
        <v>0.3</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61121-2025</t>
        </is>
      </c>
      <c r="B1934" t="inlineStr">
        <is>
          <t>avverkningsanmälan</t>
        </is>
      </c>
      <c r="C1934" t="inlineStr">
        <is>
          <t>Avverkning för annat ändamål</t>
        </is>
      </c>
      <c r="D1934" s="1" t="n">
        <v>46000</v>
      </c>
      <c r="E1934" s="1" t="n">
        <v>46313</v>
      </c>
      <c r="F1934" t="inlineStr">
        <is>
          <t>SÖDERMANLANDS LÄN</t>
        </is>
      </c>
      <c r="G1934" t="inlineStr">
        <is>
          <t>KATRINEHOLM</t>
        </is>
      </c>
      <c r="I1934" t="n">
        <v>0.2</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39291-2023</t>
        </is>
      </c>
      <c r="B1935" t="inlineStr">
        <is>
          <t>avverkningsanmälan</t>
        </is>
      </c>
      <c r="C1935" t="inlineStr">
        <is>
          <t>Föryngringsavverkning</t>
        </is>
      </c>
      <c r="D1935" s="1" t="n">
        <v>45166</v>
      </c>
      <c r="E1935" s="1" t="n">
        <v>46313</v>
      </c>
      <c r="F1935" t="inlineStr">
        <is>
          <t>SÖDERMANLANDS LÄN</t>
        </is>
      </c>
      <c r="G1935" t="inlineStr">
        <is>
          <t>ESKILSTUNA</t>
        </is>
      </c>
      <c r="I1935" t="n">
        <v>3.6</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17838-2026</t>
        </is>
      </c>
      <c r="B1936" t="inlineStr">
        <is>
          <t>avverkningsanmälan</t>
        </is>
      </c>
      <c r="C1936" t="inlineStr">
        <is>
          <t>Föryngringsavverkning</t>
        </is>
      </c>
      <c r="D1936" s="1" t="n">
        <v>46121</v>
      </c>
      <c r="E1936" s="1" t="n">
        <v>46313</v>
      </c>
      <c r="F1936" t="inlineStr">
        <is>
          <t>SÖDERMANLANDS LÄN</t>
        </is>
      </c>
      <c r="G1936" t="inlineStr">
        <is>
          <t>FLEN</t>
        </is>
      </c>
      <c r="I1936" t="n">
        <v>3.2</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24450-2026</t>
        </is>
      </c>
      <c r="B1937" t="inlineStr">
        <is>
          <t>avverkningsanmälan</t>
        </is>
      </c>
      <c r="C1937" t="inlineStr">
        <is>
          <t>Föryngringsavverkning</t>
        </is>
      </c>
      <c r="D1937" s="1" t="n">
        <v>46170</v>
      </c>
      <c r="E1937" s="1" t="n">
        <v>46313</v>
      </c>
      <c r="F1937" t="inlineStr">
        <is>
          <t>SÖDERMANLANDS LÄN</t>
        </is>
      </c>
      <c r="G1937" t="inlineStr">
        <is>
          <t>FLEN</t>
        </is>
      </c>
      <c r="H1937" t="inlineStr">
        <is>
          <t>Holmen skog AB</t>
        </is>
      </c>
      <c r="I1937" t="n">
        <v>2.1</v>
      </c>
      <c r="J1937" t="n">
        <v>0</v>
      </c>
      <c r="K1937" t="n">
        <v>0</v>
      </c>
      <c r="L1937" t="n">
        <v>0</v>
      </c>
      <c r="M1937" t="n">
        <v>0</v>
      </c>
      <c r="N1937" t="n">
        <v>0</v>
      </c>
      <c r="O1937" t="n">
        <v>0</v>
      </c>
      <c r="P1937" t="n">
        <v>0</v>
      </c>
      <c r="Q1937" t="n">
        <v>0</v>
      </c>
      <c r="R1937" t="n">
        <v>0</v>
      </c>
      <c r="S1937" t="n">
        <v>0</v>
      </c>
      <c r="T1937" t="n">
        <v>0</v>
      </c>
      <c r="U1937" t="n">
        <v>0</v>
      </c>
      <c r="V1937" s="2" t="inlineStr"/>
      <c r="Z1937">
        <f>HYPERLINK("https://klasma.github.io/Logging_0482/knärot/A 24450-2026 karta knärot.png", "A 24450-2026")</f>
        <v/>
      </c>
      <c r="AA1937">
        <f>HYPERLINK("https://klasma.github.io/Logging_0482/klagomål/A 24450-2026 FSC-klagomål.docx", "A 24450-2026")</f>
        <v/>
      </c>
      <c r="AB1937">
        <f>HYPERLINK("https://klasma.github.io/Logging_0482/klagomålsmail/A 24450-2026 FSC-klagomål mail.docx", "A 24450-2026")</f>
        <v/>
      </c>
      <c r="AC1937">
        <f>HYPERLINK("https://klasma.github.io/Logging_0482/tillsyn/A 24450-2026 tillsynsbegäran.docx", "A 24450-2026")</f>
        <v/>
      </c>
      <c r="AD1937">
        <f>HYPERLINK("https://klasma.github.io/Logging_0482/tillsynsmail/A 24450-2026 tillsynsbegäran mail.docx", "A 24450-2026")</f>
        <v/>
      </c>
    </row>
    <row r="1938" ht="15" customHeight="1">
      <c r="A1938" t="inlineStr">
        <is>
          <t>A 28652-2024</t>
        </is>
      </c>
      <c r="B1938" t="inlineStr">
        <is>
          <t>avverkningsanmälan</t>
        </is>
      </c>
      <c r="C1938" t="inlineStr">
        <is>
          <t>Föryngringsavverkning</t>
        </is>
      </c>
      <c r="D1938" s="1" t="n">
        <v>45478</v>
      </c>
      <c r="E1938" s="1" t="n">
        <v>46313</v>
      </c>
      <c r="F1938" t="inlineStr">
        <is>
          <t>SÖDERMANLANDS LÄN</t>
        </is>
      </c>
      <c r="G1938" t="inlineStr">
        <is>
          <t>KATRINEHOLM</t>
        </is>
      </c>
      <c r="I1938" t="n">
        <v>1.4</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476-2022</t>
        </is>
      </c>
      <c r="B1939" t="inlineStr">
        <is>
          <t>avverkningsanmälan</t>
        </is>
      </c>
      <c r="C1939" t="inlineStr">
        <is>
          <t>Föryngringsavverkning</t>
        </is>
      </c>
      <c r="D1939" s="1" t="n">
        <v>44566</v>
      </c>
      <c r="E1939" s="1" t="n">
        <v>46313</v>
      </c>
      <c r="F1939" t="inlineStr">
        <is>
          <t>SÖDERMANLANDS LÄN</t>
        </is>
      </c>
      <c r="G1939" t="inlineStr">
        <is>
          <t>FLEN</t>
        </is>
      </c>
      <c r="I1939" t="n">
        <v>1.4</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7777-2023</t>
        </is>
      </c>
      <c r="B1940" t="inlineStr">
        <is>
          <t>avverkningsanmälan</t>
        </is>
      </c>
      <c r="C1940" t="inlineStr">
        <is>
          <t>Föryngringsavverkning</t>
        </is>
      </c>
      <c r="D1940" s="1" t="n">
        <v>44973</v>
      </c>
      <c r="E1940" s="1" t="n">
        <v>46313</v>
      </c>
      <c r="F1940" t="inlineStr">
        <is>
          <t>SÖDERMANLANDS LÄN</t>
        </is>
      </c>
      <c r="G1940" t="inlineStr">
        <is>
          <t>GNESTA</t>
        </is>
      </c>
      <c r="I1940" t="n">
        <v>5.4</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9936-2023</t>
        </is>
      </c>
      <c r="B1941" t="inlineStr">
        <is>
          <t>avverkningsanmälan</t>
        </is>
      </c>
      <c r="C1941" t="inlineStr">
        <is>
          <t>Föryngringsavverkning</t>
        </is>
      </c>
      <c r="D1941" s="1" t="n">
        <v>44985</v>
      </c>
      <c r="E1941" s="1" t="n">
        <v>46313</v>
      </c>
      <c r="F1941" t="inlineStr">
        <is>
          <t>SÖDERMANLANDS LÄN</t>
        </is>
      </c>
      <c r="G1941" t="inlineStr">
        <is>
          <t>KATRINEHOLM</t>
        </is>
      </c>
      <c r="I1941" t="n">
        <v>0.4</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61576-2025</t>
        </is>
      </c>
      <c r="B1942" t="inlineStr">
        <is>
          <t>avverkningsanmälan</t>
        </is>
      </c>
      <c r="C1942" t="inlineStr">
        <is>
          <t>Avverkning för annat ändamål</t>
        </is>
      </c>
      <c r="D1942" s="1" t="n">
        <v>46002</v>
      </c>
      <c r="E1942" s="1" t="n">
        <v>46313</v>
      </c>
      <c r="F1942" t="inlineStr">
        <is>
          <t>SÖDERMANLANDS LÄN</t>
        </is>
      </c>
      <c r="G1942" t="inlineStr">
        <is>
          <t>VINGÅKER</t>
        </is>
      </c>
      <c r="I1942" t="n">
        <v>0.7</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61721-2025</t>
        </is>
      </c>
      <c r="B1943" t="inlineStr">
        <is>
          <t>avverkningsanmälan</t>
        </is>
      </c>
      <c r="C1943" t="inlineStr">
        <is>
          <t>Föryngringsavverkning</t>
        </is>
      </c>
      <c r="D1943" s="1" t="n">
        <v>46002</v>
      </c>
      <c r="E1943" s="1" t="n">
        <v>46313</v>
      </c>
      <c r="F1943" t="inlineStr">
        <is>
          <t>SÖDERMANLANDS LÄN</t>
        </is>
      </c>
      <c r="G1943" t="inlineStr">
        <is>
          <t>KATRINEHOLM</t>
        </is>
      </c>
      <c r="I1943" t="n">
        <v>4.5</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20131-2022</t>
        </is>
      </c>
      <c r="B1944" t="inlineStr">
        <is>
          <t>avverkningsanmälan</t>
        </is>
      </c>
      <c r="C1944" t="inlineStr">
        <is>
          <t>Föryngringsavverkning</t>
        </is>
      </c>
      <c r="D1944" s="1" t="n">
        <v>44698</v>
      </c>
      <c r="E1944" s="1" t="n">
        <v>46313</v>
      </c>
      <c r="F1944" t="inlineStr">
        <is>
          <t>SÖDERMANLANDS LÄN</t>
        </is>
      </c>
      <c r="G1944" t="inlineStr">
        <is>
          <t>NYKÖPING</t>
        </is>
      </c>
      <c r="I1944" t="n">
        <v>2.8</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51216-2024</t>
        </is>
      </c>
      <c r="B1945" t="inlineStr">
        <is>
          <t>avverkningsanmälan</t>
        </is>
      </c>
      <c r="C1945" t="inlineStr">
        <is>
          <t>Föryngringsavverkning</t>
        </is>
      </c>
      <c r="D1945" s="1" t="n">
        <v>45603</v>
      </c>
      <c r="E1945" s="1" t="n">
        <v>46313</v>
      </c>
      <c r="F1945" t="inlineStr">
        <is>
          <t>SÖDERMANLANDS LÄN</t>
        </is>
      </c>
      <c r="G1945" t="inlineStr">
        <is>
          <t>NYKÖPING</t>
        </is>
      </c>
      <c r="H1945" t="inlineStr">
        <is>
          <t>Sveaskog</t>
        </is>
      </c>
      <c r="I1945" t="n">
        <v>2.3</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24631-2022</t>
        </is>
      </c>
      <c r="B1946" t="inlineStr">
        <is>
          <t>avverkningsanmälan</t>
        </is>
      </c>
      <c r="C1946" t="inlineStr">
        <is>
          <t>Föryngringsavverkning</t>
        </is>
      </c>
      <c r="D1946" s="1" t="n">
        <v>44727</v>
      </c>
      <c r="E1946" s="1" t="n">
        <v>46313</v>
      </c>
      <c r="F1946" t="inlineStr">
        <is>
          <t>SÖDERMANLANDS LÄN</t>
        </is>
      </c>
      <c r="G1946" t="inlineStr">
        <is>
          <t>NYKÖPING</t>
        </is>
      </c>
      <c r="I1946" t="n">
        <v>0.7</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11371-2023</t>
        </is>
      </c>
      <c r="B1947" t="inlineStr">
        <is>
          <t>avverkningsanmälan</t>
        </is>
      </c>
      <c r="C1947" t="inlineStr">
        <is>
          <t>Föryngringsavverkning</t>
        </is>
      </c>
      <c r="D1947" s="1" t="n">
        <v>44990</v>
      </c>
      <c r="E1947" s="1" t="n">
        <v>46313</v>
      </c>
      <c r="F1947" t="inlineStr">
        <is>
          <t>SÖDERMANLANDS LÄN</t>
        </is>
      </c>
      <c r="G1947" t="inlineStr">
        <is>
          <t>VINGÅKER</t>
        </is>
      </c>
      <c r="I1947" t="n">
        <v>3.6</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11400-2023</t>
        </is>
      </c>
      <c r="B1948" t="inlineStr">
        <is>
          <t>avverkningsanmälan</t>
        </is>
      </c>
      <c r="C1948" t="inlineStr">
        <is>
          <t>Föryngringsavverkning</t>
        </is>
      </c>
      <c r="D1948" s="1" t="n">
        <v>44993</v>
      </c>
      <c r="E1948" s="1" t="n">
        <v>46313</v>
      </c>
      <c r="F1948" t="inlineStr">
        <is>
          <t>SÖDERMANLANDS LÄN</t>
        </is>
      </c>
      <c r="G1948" t="inlineStr">
        <is>
          <t>VINGÅKER</t>
        </is>
      </c>
      <c r="H1948" t="inlineStr">
        <is>
          <t>Kyrkan</t>
        </is>
      </c>
      <c r="I1948" t="n">
        <v>18.6</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29930-2022</t>
        </is>
      </c>
      <c r="B1949" t="inlineStr">
        <is>
          <t>avverkningsanmälan</t>
        </is>
      </c>
      <c r="C1949" t="inlineStr">
        <is>
          <t>Föryngringsavverkning</t>
        </is>
      </c>
      <c r="D1949" s="1" t="n">
        <v>44756</v>
      </c>
      <c r="E1949" s="1" t="n">
        <v>46313</v>
      </c>
      <c r="F1949" t="inlineStr">
        <is>
          <t>SÖDERMANLANDS LÄN</t>
        </is>
      </c>
      <c r="G1949" t="inlineStr">
        <is>
          <t>TROSA</t>
        </is>
      </c>
      <c r="I1949" t="n">
        <v>4.8</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9192-2023</t>
        </is>
      </c>
      <c r="B1950" t="inlineStr">
        <is>
          <t>avverkningsanmälan</t>
        </is>
      </c>
      <c r="C1950" t="inlineStr">
        <is>
          <t>Föryngringsavverkning</t>
        </is>
      </c>
      <c r="D1950" s="1" t="n">
        <v>44980</v>
      </c>
      <c r="E1950" s="1" t="n">
        <v>46313</v>
      </c>
      <c r="F1950" t="inlineStr">
        <is>
          <t>SÖDERMANLANDS LÄN</t>
        </is>
      </c>
      <c r="G1950" t="inlineStr">
        <is>
          <t>KATRINEHOLM</t>
        </is>
      </c>
      <c r="H1950" t="inlineStr">
        <is>
          <t>Övriga Aktiebolag</t>
        </is>
      </c>
      <c r="I1950" t="n">
        <v>1.6</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48823-2023</t>
        </is>
      </c>
      <c r="B1951" t="inlineStr">
        <is>
          <t>avverkningsanmälan</t>
        </is>
      </c>
      <c r="C1951" t="inlineStr">
        <is>
          <t>Avverkning för att bevara och utveckla /försöksver</t>
        </is>
      </c>
      <c r="D1951" s="1" t="n">
        <v>45209</v>
      </c>
      <c r="E1951" s="1" t="n">
        <v>46313</v>
      </c>
      <c r="F1951" t="inlineStr">
        <is>
          <t>SÖDERMANLANDS LÄN</t>
        </is>
      </c>
      <c r="G1951" t="inlineStr">
        <is>
          <t>STRÄNGNÄS</t>
        </is>
      </c>
      <c r="H1951" t="inlineStr">
        <is>
          <t>Sveaskog</t>
        </is>
      </c>
      <c r="I1951" t="n">
        <v>2.5</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72984-2021</t>
        </is>
      </c>
      <c r="B1952" t="inlineStr">
        <is>
          <t>avverkningsanmälan</t>
        </is>
      </c>
      <c r="C1952" t="inlineStr">
        <is>
          <t>Föryngringsavverkning</t>
        </is>
      </c>
      <c r="D1952" s="1" t="n">
        <v>44549</v>
      </c>
      <c r="E1952" s="1" t="n">
        <v>46313</v>
      </c>
      <c r="F1952" t="inlineStr">
        <is>
          <t>SÖDERMANLANDS LÄN</t>
        </is>
      </c>
      <c r="G1952" t="inlineStr">
        <is>
          <t>KATRINEHOLM</t>
        </is>
      </c>
      <c r="I1952" t="n">
        <v>4.9</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72985-2021</t>
        </is>
      </c>
      <c r="B1953" t="inlineStr">
        <is>
          <t>avverkningsanmälan</t>
        </is>
      </c>
      <c r="C1953" t="inlineStr">
        <is>
          <t>Föryngringsavverkning</t>
        </is>
      </c>
      <c r="D1953" s="1" t="n">
        <v>44549</v>
      </c>
      <c r="E1953" s="1" t="n">
        <v>46313</v>
      </c>
      <c r="F1953" t="inlineStr">
        <is>
          <t>SÖDERMANLANDS LÄN</t>
        </is>
      </c>
      <c r="G1953" t="inlineStr">
        <is>
          <t>NYKÖPING</t>
        </is>
      </c>
      <c r="I1953" t="n">
        <v>2.1</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23639-2023</t>
        </is>
      </c>
      <c r="B1954" t="inlineStr">
        <is>
          <t>avverkningsanmälan</t>
        </is>
      </c>
      <c r="C1954" t="inlineStr">
        <is>
          <t>Föryngringsavverkning</t>
        </is>
      </c>
      <c r="D1954" s="1" t="n">
        <v>45077</v>
      </c>
      <c r="E1954" s="1" t="n">
        <v>46313</v>
      </c>
      <c r="F1954" t="inlineStr">
        <is>
          <t>SÖDERMANLANDS LÄN</t>
        </is>
      </c>
      <c r="G1954" t="inlineStr">
        <is>
          <t>ESKILSTUNA</t>
        </is>
      </c>
      <c r="I1954" t="n">
        <v>1.1</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62517-2025</t>
        </is>
      </c>
      <c r="B1955" t="inlineStr">
        <is>
          <t>avverkningsanmälan</t>
        </is>
      </c>
      <c r="C1955" t="inlineStr">
        <is>
          <t>Föryngringsavverkning</t>
        </is>
      </c>
      <c r="D1955" s="1" t="n">
        <v>46007</v>
      </c>
      <c r="E1955" s="1" t="n">
        <v>46313</v>
      </c>
      <c r="F1955" t="inlineStr">
        <is>
          <t>SÖDERMANLANDS LÄN</t>
        </is>
      </c>
      <c r="G1955" t="inlineStr">
        <is>
          <t>NYKÖPING</t>
        </is>
      </c>
      <c r="I1955" t="n">
        <v>5.5</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24680-2026</t>
        </is>
      </c>
      <c r="B1956" t="inlineStr">
        <is>
          <t>avverkningsanmälan</t>
        </is>
      </c>
      <c r="C1956" t="inlineStr">
        <is>
          <t>Föryngringsavverkning</t>
        </is>
      </c>
      <c r="D1956" s="1" t="n">
        <v>46171</v>
      </c>
      <c r="E1956" s="1" t="n">
        <v>46313</v>
      </c>
      <c r="F1956" t="inlineStr">
        <is>
          <t>SÖDERMANLANDS LÄN</t>
        </is>
      </c>
      <c r="G1956" t="inlineStr">
        <is>
          <t>STRÄNGNÄS</t>
        </is>
      </c>
      <c r="I1956" t="n">
        <v>2.1</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24691-2026</t>
        </is>
      </c>
      <c r="B1957" t="inlineStr">
        <is>
          <t>avverkningsanmälan</t>
        </is>
      </c>
      <c r="C1957" t="inlineStr">
        <is>
          <t>Föryngringsavverkning</t>
        </is>
      </c>
      <c r="D1957" s="1" t="n">
        <v>46171</v>
      </c>
      <c r="E1957" s="1" t="n">
        <v>46313</v>
      </c>
      <c r="F1957" t="inlineStr">
        <is>
          <t>SÖDERMANLANDS LÄN</t>
        </is>
      </c>
      <c r="G1957" t="inlineStr">
        <is>
          <t>STRÄNGNÄS</t>
        </is>
      </c>
      <c r="I1957" t="n">
        <v>2.8</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34401-2024</t>
        </is>
      </c>
      <c r="B1958" t="inlineStr">
        <is>
          <t>avverkningsanmälan</t>
        </is>
      </c>
      <c r="C1958" t="inlineStr">
        <is>
          <t>Föryngringsavverkning</t>
        </is>
      </c>
      <c r="D1958" s="1" t="n">
        <v>45525</v>
      </c>
      <c r="E1958" s="1" t="n">
        <v>46313</v>
      </c>
      <c r="F1958" t="inlineStr">
        <is>
          <t>SÖDERMANLANDS LÄN</t>
        </is>
      </c>
      <c r="G1958" t="inlineStr">
        <is>
          <t>STRÄNGNÄS</t>
        </is>
      </c>
      <c r="I1958" t="n">
        <v>0.4</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33712-2022</t>
        </is>
      </c>
      <c r="B1959" t="inlineStr">
        <is>
          <t>avverkningsanmälan</t>
        </is>
      </c>
      <c r="C1959" t="inlineStr">
        <is>
          <t>Föryngringsavverkning</t>
        </is>
      </c>
      <c r="D1959" s="1" t="n">
        <v>44789</v>
      </c>
      <c r="E1959" s="1" t="n">
        <v>46313</v>
      </c>
      <c r="F1959" t="inlineStr">
        <is>
          <t>SÖDERMANLANDS LÄN</t>
        </is>
      </c>
      <c r="G1959" t="inlineStr">
        <is>
          <t>KATRINEHOLM</t>
        </is>
      </c>
      <c r="I1959" t="n">
        <v>4.3</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41231-2025</t>
        </is>
      </c>
      <c r="B1960" t="inlineStr">
        <is>
          <t>avverkningsanmälan</t>
        </is>
      </c>
      <c r="C1960" t="inlineStr">
        <is>
          <t>Avverkning för annat ändamål</t>
        </is>
      </c>
      <c r="D1960" s="1" t="n">
        <v>45898</v>
      </c>
      <c r="E1960" s="1" t="n">
        <v>46313</v>
      </c>
      <c r="F1960" t="inlineStr">
        <is>
          <t>SÖDERMANLANDS LÄN</t>
        </is>
      </c>
      <c r="G1960" t="inlineStr">
        <is>
          <t>STRÄNGNÄS</t>
        </is>
      </c>
      <c r="I1960" t="n">
        <v>5.3</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33717-2022</t>
        </is>
      </c>
      <c r="B1961" t="inlineStr">
        <is>
          <t>avverkningsanmälan</t>
        </is>
      </c>
      <c r="C1961" t="inlineStr">
        <is>
          <t>Föryngringsavverkning</t>
        </is>
      </c>
      <c r="D1961" s="1" t="n">
        <v>44789</v>
      </c>
      <c r="E1961" s="1" t="n">
        <v>46313</v>
      </c>
      <c r="F1961" t="inlineStr">
        <is>
          <t>SÖDERMANLANDS LÄN</t>
        </is>
      </c>
      <c r="G1961" t="inlineStr">
        <is>
          <t>KATRINEHOLM</t>
        </is>
      </c>
      <c r="I1961" t="n">
        <v>4.4</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17178-2025</t>
        </is>
      </c>
      <c r="B1962" t="inlineStr">
        <is>
          <t>avverkningsanmälan</t>
        </is>
      </c>
      <c r="C1962" t="inlineStr">
        <is>
          <t>Föryngringsavverkning</t>
        </is>
      </c>
      <c r="D1962" s="1" t="n">
        <v>45755</v>
      </c>
      <c r="E1962" s="1" t="n">
        <v>46313</v>
      </c>
      <c r="F1962" t="inlineStr">
        <is>
          <t>SÖDERMANLANDS LÄN</t>
        </is>
      </c>
      <c r="G1962" t="inlineStr">
        <is>
          <t>VINGÅKER</t>
        </is>
      </c>
      <c r="I1962" t="n">
        <v>0.9</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24694-2026</t>
        </is>
      </c>
      <c r="B1963" t="inlineStr">
        <is>
          <t>avverkningsanmälan</t>
        </is>
      </c>
      <c r="C1963" t="inlineStr">
        <is>
          <t>Föryngringsavverkning</t>
        </is>
      </c>
      <c r="D1963" s="1" t="n">
        <v>46171</v>
      </c>
      <c r="E1963" s="1" t="n">
        <v>46313</v>
      </c>
      <c r="F1963" t="inlineStr">
        <is>
          <t>SÖDERMANLANDS LÄN</t>
        </is>
      </c>
      <c r="G1963" t="inlineStr">
        <is>
          <t>STRÄNGNÄS</t>
        </is>
      </c>
      <c r="I1963" t="n">
        <v>1.5</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16460-2023</t>
        </is>
      </c>
      <c r="B1964" t="inlineStr">
        <is>
          <t>avverkningsanmälan</t>
        </is>
      </c>
      <c r="C1964" t="inlineStr">
        <is>
          <t>Föryngringsavverkning</t>
        </is>
      </c>
      <c r="D1964" s="1" t="n">
        <v>45029</v>
      </c>
      <c r="E1964" s="1" t="n">
        <v>46313</v>
      </c>
      <c r="F1964" t="inlineStr">
        <is>
          <t>SÖDERMANLANDS LÄN</t>
        </is>
      </c>
      <c r="G1964" t="inlineStr">
        <is>
          <t>NYKÖPING</t>
        </is>
      </c>
      <c r="I1964" t="n">
        <v>0.5</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1346-2024</t>
        </is>
      </c>
      <c r="B1965" t="inlineStr">
        <is>
          <t>avverkningsanmälan</t>
        </is>
      </c>
      <c r="C1965" t="inlineStr">
        <is>
          <t>Avverkning för att bevara och utveckla /försöksver</t>
        </is>
      </c>
      <c r="D1965" s="1" t="n">
        <v>45303</v>
      </c>
      <c r="E1965" s="1" t="n">
        <v>46313</v>
      </c>
      <c r="F1965" t="inlineStr">
        <is>
          <t>SÖDERMANLANDS LÄN</t>
        </is>
      </c>
      <c r="G1965" t="inlineStr">
        <is>
          <t>ESKILSTUNA</t>
        </is>
      </c>
      <c r="I1965" t="n">
        <v>1.8</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10828-2022</t>
        </is>
      </c>
      <c r="B1966" t="inlineStr">
        <is>
          <t>avverkningsanmälan</t>
        </is>
      </c>
      <c r="C1966" t="inlineStr">
        <is>
          <t>Föryngringsavverkning</t>
        </is>
      </c>
      <c r="D1966" s="1" t="n">
        <v>44624</v>
      </c>
      <c r="E1966" s="1" t="n">
        <v>46313</v>
      </c>
      <c r="F1966" t="inlineStr">
        <is>
          <t>SÖDERMANLANDS LÄN</t>
        </is>
      </c>
      <c r="G1966" t="inlineStr">
        <is>
          <t>FLEN</t>
        </is>
      </c>
      <c r="I1966" t="n">
        <v>2.4</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62071-2025</t>
        </is>
      </c>
      <c r="B1967" t="inlineStr">
        <is>
          <t>avverkningsanmälan</t>
        </is>
      </c>
      <c r="C1967" t="inlineStr">
        <is>
          <t>Föryngringsavverkning</t>
        </is>
      </c>
      <c r="D1967" s="1" t="n">
        <v>46006</v>
      </c>
      <c r="E1967" s="1" t="n">
        <v>46313</v>
      </c>
      <c r="F1967" t="inlineStr">
        <is>
          <t>SÖDERMANLANDS LÄN</t>
        </is>
      </c>
      <c r="G1967" t="inlineStr">
        <is>
          <t>GNESTA</t>
        </is>
      </c>
      <c r="I1967" t="n">
        <v>1.9</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9884-2025</t>
        </is>
      </c>
      <c r="B1968" t="inlineStr">
        <is>
          <t>avverkningsanmälan</t>
        </is>
      </c>
      <c r="C1968" t="inlineStr">
        <is>
          <t>Föryngringsavverkning</t>
        </is>
      </c>
      <c r="D1968" s="1" t="n">
        <v>45716</v>
      </c>
      <c r="E1968" s="1" t="n">
        <v>46313</v>
      </c>
      <c r="F1968" t="inlineStr">
        <is>
          <t>SÖDERMANLANDS LÄN</t>
        </is>
      </c>
      <c r="G1968" t="inlineStr">
        <is>
          <t>GNESTA</t>
        </is>
      </c>
      <c r="I1968" t="n">
        <v>1.8</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62115-2025</t>
        </is>
      </c>
      <c r="B1969" t="inlineStr">
        <is>
          <t>avverkningsanmälan</t>
        </is>
      </c>
      <c r="C1969" t="inlineStr">
        <is>
          <t>Föryngringsavverkning</t>
        </is>
      </c>
      <c r="D1969" s="1" t="n">
        <v>46006</v>
      </c>
      <c r="E1969" s="1" t="n">
        <v>46313</v>
      </c>
      <c r="F1969" t="inlineStr">
        <is>
          <t>SÖDERMANLANDS LÄN</t>
        </is>
      </c>
      <c r="G1969" t="inlineStr">
        <is>
          <t>NYKÖPING</t>
        </is>
      </c>
      <c r="H1969" t="inlineStr">
        <is>
          <t>Holmen skog AB</t>
        </is>
      </c>
      <c r="I1969" t="n">
        <v>0.9</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62113-2025</t>
        </is>
      </c>
      <c r="B1970" t="inlineStr">
        <is>
          <t>avverkningsanmälan</t>
        </is>
      </c>
      <c r="C1970" t="inlineStr">
        <is>
          <t>Föryngringsavverkning</t>
        </is>
      </c>
      <c r="D1970" s="1" t="n">
        <v>46006</v>
      </c>
      <c r="E1970" s="1" t="n">
        <v>46313</v>
      </c>
      <c r="F1970" t="inlineStr">
        <is>
          <t>SÖDERMANLANDS LÄN</t>
        </is>
      </c>
      <c r="G1970" t="inlineStr">
        <is>
          <t>NYKÖPING</t>
        </is>
      </c>
      <c r="H1970" t="inlineStr">
        <is>
          <t>Holmen skog AB</t>
        </is>
      </c>
      <c r="I1970" t="n">
        <v>3.7</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38879-2024</t>
        </is>
      </c>
      <c r="B1971" t="inlineStr">
        <is>
          <t>avverkningsanmälan</t>
        </is>
      </c>
      <c r="C1971" t="inlineStr">
        <is>
          <t>Föryngringsavverkning</t>
        </is>
      </c>
      <c r="D1971" s="1" t="n">
        <v>45547</v>
      </c>
      <c r="E1971" s="1" t="n">
        <v>46313</v>
      </c>
      <c r="F1971" t="inlineStr">
        <is>
          <t>SÖDERMANLANDS LÄN</t>
        </is>
      </c>
      <c r="G1971" t="inlineStr">
        <is>
          <t>KATRINEHOLM</t>
        </is>
      </c>
      <c r="I1971" t="n">
        <v>2.6</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20984-2023</t>
        </is>
      </c>
      <c r="B1972" t="inlineStr">
        <is>
          <t>avverkningsanmälan</t>
        </is>
      </c>
      <c r="C1972" t="inlineStr">
        <is>
          <t>Föryngringsavverkning</t>
        </is>
      </c>
      <c r="D1972" s="1" t="n">
        <v>45061</v>
      </c>
      <c r="E1972" s="1" t="n">
        <v>46313</v>
      </c>
      <c r="F1972" t="inlineStr">
        <is>
          <t>SÖDERMANLANDS LÄN</t>
        </is>
      </c>
      <c r="G1972" t="inlineStr">
        <is>
          <t>ESKILSTUNA</t>
        </is>
      </c>
      <c r="H1972" t="inlineStr">
        <is>
          <t>Allmännings- och besparingsskogar</t>
        </is>
      </c>
      <c r="I1972" t="n">
        <v>6.9</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62917-2025</t>
        </is>
      </c>
      <c r="B1973" t="inlineStr">
        <is>
          <t>avverkningsanmälan</t>
        </is>
      </c>
      <c r="C1973" t="inlineStr">
        <is>
          <t>Föryngringsavverkning</t>
        </is>
      </c>
      <c r="D1973" s="1" t="n">
        <v>46009</v>
      </c>
      <c r="E1973" s="1" t="n">
        <v>46313</v>
      </c>
      <c r="F1973" t="inlineStr">
        <is>
          <t>SÖDERMANLANDS LÄN</t>
        </is>
      </c>
      <c r="G1973" t="inlineStr">
        <is>
          <t>NYKÖPING</t>
        </is>
      </c>
      <c r="I1973" t="n">
        <v>0.8</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20985-2023</t>
        </is>
      </c>
      <c r="B1974" t="inlineStr">
        <is>
          <t>avverkningsanmälan</t>
        </is>
      </c>
      <c r="C1974" t="inlineStr">
        <is>
          <t>Föryngringsavverkning</t>
        </is>
      </c>
      <c r="D1974" s="1" t="n">
        <v>45061</v>
      </c>
      <c r="E1974" s="1" t="n">
        <v>46313</v>
      </c>
      <c r="F1974" t="inlineStr">
        <is>
          <t>SÖDERMANLANDS LÄN</t>
        </is>
      </c>
      <c r="G1974" t="inlineStr">
        <is>
          <t>NYKÖPING</t>
        </is>
      </c>
      <c r="H1974" t="inlineStr">
        <is>
          <t>Holmen skog AB</t>
        </is>
      </c>
      <c r="I1974" t="n">
        <v>1</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62740-2025</t>
        </is>
      </c>
      <c r="B1975" t="inlineStr">
        <is>
          <t>avverkningsanmälan</t>
        </is>
      </c>
      <c r="C1975" t="inlineStr">
        <is>
          <t>Föryngringsavverkning</t>
        </is>
      </c>
      <c r="D1975" s="1" t="n">
        <v>46008</v>
      </c>
      <c r="E1975" s="1" t="n">
        <v>46313</v>
      </c>
      <c r="F1975" t="inlineStr">
        <is>
          <t>SÖDERMANLANDS LÄN</t>
        </is>
      </c>
      <c r="G1975" t="inlineStr">
        <is>
          <t>GNESTA</t>
        </is>
      </c>
      <c r="I1975" t="n">
        <v>2</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21062-2023</t>
        </is>
      </c>
      <c r="B1976" t="inlineStr">
        <is>
          <t>avverkningsanmälan</t>
        </is>
      </c>
      <c r="C1976" t="inlineStr">
        <is>
          <t>Föryngringsavverkning</t>
        </is>
      </c>
      <c r="D1976" s="1" t="n">
        <v>45061</v>
      </c>
      <c r="E1976" s="1" t="n">
        <v>46313</v>
      </c>
      <c r="F1976" t="inlineStr">
        <is>
          <t>SÖDERMANLANDS LÄN</t>
        </is>
      </c>
      <c r="G1976" t="inlineStr">
        <is>
          <t>NYKÖPING</t>
        </is>
      </c>
      <c r="I1976" t="n">
        <v>0.5</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42945-2023</t>
        </is>
      </c>
      <c r="B1977" t="inlineStr">
        <is>
          <t>avverkningsanmälan</t>
        </is>
      </c>
      <c r="C1977" t="inlineStr">
        <is>
          <t>Föryngringsavverkning</t>
        </is>
      </c>
      <c r="D1977" s="1" t="n">
        <v>45182</v>
      </c>
      <c r="E1977" s="1" t="n">
        <v>46313</v>
      </c>
      <c r="F1977" t="inlineStr">
        <is>
          <t>SÖDERMANLANDS LÄN</t>
        </is>
      </c>
      <c r="G1977" t="inlineStr">
        <is>
          <t>KATRINEHOLM</t>
        </is>
      </c>
      <c r="H1977" t="inlineStr">
        <is>
          <t>Övriga Aktiebolag</t>
        </is>
      </c>
      <c r="I1977" t="n">
        <v>2.2</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42962-2023</t>
        </is>
      </c>
      <c r="B1978" t="inlineStr">
        <is>
          <t>avverkningsanmälan</t>
        </is>
      </c>
      <c r="C1978" t="inlineStr">
        <is>
          <t>Föryngringsavverkning</t>
        </is>
      </c>
      <c r="D1978" s="1" t="n">
        <v>45182</v>
      </c>
      <c r="E1978" s="1" t="n">
        <v>46313</v>
      </c>
      <c r="F1978" t="inlineStr">
        <is>
          <t>SÖDERMANLANDS LÄN</t>
        </is>
      </c>
      <c r="G1978" t="inlineStr">
        <is>
          <t>KATRINEHOLM</t>
        </is>
      </c>
      <c r="H1978" t="inlineStr">
        <is>
          <t>Övriga Aktiebolag</t>
        </is>
      </c>
      <c r="I1978" t="n">
        <v>10.6</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33538-2022</t>
        </is>
      </c>
      <c r="B1979" t="inlineStr">
        <is>
          <t>avverkningsanmälan</t>
        </is>
      </c>
      <c r="C1979" t="inlineStr">
        <is>
          <t>Föryngringsavverkning</t>
        </is>
      </c>
      <c r="D1979" s="1" t="n">
        <v>44789</v>
      </c>
      <c r="E1979" s="1" t="n">
        <v>46313</v>
      </c>
      <c r="F1979" t="inlineStr">
        <is>
          <t>SÖDERMANLANDS LÄN</t>
        </is>
      </c>
      <c r="G1979" t="inlineStr">
        <is>
          <t>KATRINEHOLM</t>
        </is>
      </c>
      <c r="I1979" t="n">
        <v>1.2</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56383-2025</t>
        </is>
      </c>
      <c r="B1980" t="inlineStr">
        <is>
          <t>avverkningsanmälan</t>
        </is>
      </c>
      <c r="C1980" t="inlineStr">
        <is>
          <t>Föryngringsavverkning</t>
        </is>
      </c>
      <c r="D1980" s="1" t="n">
        <v>45974</v>
      </c>
      <c r="E1980" s="1" t="n">
        <v>46313</v>
      </c>
      <c r="F1980" t="inlineStr">
        <is>
          <t>SÖDERMANLANDS LÄN</t>
        </is>
      </c>
      <c r="G1980" t="inlineStr">
        <is>
          <t>ESKILSTUNA</t>
        </is>
      </c>
      <c r="I1980" t="n">
        <v>2.2</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54781-2024</t>
        </is>
      </c>
      <c r="B1981" t="inlineStr">
        <is>
          <t>avverkningsanmälan</t>
        </is>
      </c>
      <c r="C1981" t="inlineStr">
        <is>
          <t>Avverkning för annat ändamål</t>
        </is>
      </c>
      <c r="D1981" s="1" t="n">
        <v>45618</v>
      </c>
      <c r="E1981" s="1" t="n">
        <v>46313</v>
      </c>
      <c r="F1981" t="inlineStr">
        <is>
          <t>SÖDERMANLANDS LÄN</t>
        </is>
      </c>
      <c r="G1981" t="inlineStr">
        <is>
          <t>FLEN</t>
        </is>
      </c>
      <c r="I1981" t="n">
        <v>10.3</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2517-2022</t>
        </is>
      </c>
      <c r="B1982" t="inlineStr">
        <is>
          <t>avverkningsanmälan</t>
        </is>
      </c>
      <c r="C1982" t="inlineStr">
        <is>
          <t>Föryngringsavverkning</t>
        </is>
      </c>
      <c r="D1982" s="1" t="n">
        <v>44579</v>
      </c>
      <c r="E1982" s="1" t="n">
        <v>46313</v>
      </c>
      <c r="F1982" t="inlineStr">
        <is>
          <t>SÖDERMANLANDS LÄN</t>
        </is>
      </c>
      <c r="G1982" t="inlineStr">
        <is>
          <t>NYKÖPING</t>
        </is>
      </c>
      <c r="I1982" t="n">
        <v>1.5</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62988-2025</t>
        </is>
      </c>
      <c r="B1983" t="inlineStr">
        <is>
          <t>avverkningsanmälan</t>
        </is>
      </c>
      <c r="C1983" t="inlineStr">
        <is>
          <t>Föryngringsavverkning</t>
        </is>
      </c>
      <c r="D1983" s="1" t="n">
        <v>46009</v>
      </c>
      <c r="E1983" s="1" t="n">
        <v>46313</v>
      </c>
      <c r="F1983" t="inlineStr">
        <is>
          <t>SÖDERMANLANDS LÄN</t>
        </is>
      </c>
      <c r="G1983" t="inlineStr">
        <is>
          <t>STRÄNGNÄS</t>
        </is>
      </c>
      <c r="I1983" t="n">
        <v>0.7</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25077-2026</t>
        </is>
      </c>
      <c r="B1984" t="inlineStr">
        <is>
          <t>avverkningsanmälan</t>
        </is>
      </c>
      <c r="C1984" t="inlineStr">
        <is>
          <t>Föryngringsavverkning</t>
        </is>
      </c>
      <c r="D1984" s="1" t="n">
        <v>46174</v>
      </c>
      <c r="E1984" s="1" t="n">
        <v>46313</v>
      </c>
      <c r="F1984" t="inlineStr">
        <is>
          <t>SÖDERMANLANDS LÄN</t>
        </is>
      </c>
      <c r="G1984" t="inlineStr">
        <is>
          <t>STRÄNGNÄS</t>
        </is>
      </c>
      <c r="I1984" t="n">
        <v>5.4</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24829-2024</t>
        </is>
      </c>
      <c r="B1985" t="inlineStr">
        <is>
          <t>avverkningsanmälan</t>
        </is>
      </c>
      <c r="C1985" t="inlineStr">
        <is>
          <t>Föryngringsavverkning</t>
        </is>
      </c>
      <c r="D1985" s="1" t="n">
        <v>45461</v>
      </c>
      <c r="E1985" s="1" t="n">
        <v>46313</v>
      </c>
      <c r="F1985" t="inlineStr">
        <is>
          <t>SÖDERMANLANDS LÄN</t>
        </is>
      </c>
      <c r="G1985" t="inlineStr">
        <is>
          <t>NYKÖPING</t>
        </is>
      </c>
      <c r="I1985" t="n">
        <v>0.9</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65923-2021</t>
        </is>
      </c>
      <c r="B1986" t="inlineStr">
        <is>
          <t>avverkningsanmälan</t>
        </is>
      </c>
      <c r="C1986" t="inlineStr">
        <is>
          <t>Föryngringsavverkning</t>
        </is>
      </c>
      <c r="D1986" s="1" t="n">
        <v>44517</v>
      </c>
      <c r="E1986" s="1" t="n">
        <v>46313</v>
      </c>
      <c r="F1986" t="inlineStr">
        <is>
          <t>SÖDERMANLANDS LÄN</t>
        </is>
      </c>
      <c r="G1986" t="inlineStr">
        <is>
          <t>NYKÖPING</t>
        </is>
      </c>
      <c r="I1986" t="n">
        <v>5.5</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63947-2025</t>
        </is>
      </c>
      <c r="B1987" t="inlineStr">
        <is>
          <t>avverkningsanmälan</t>
        </is>
      </c>
      <c r="C1987" t="inlineStr">
        <is>
          <t>Föryngringsavverkning</t>
        </is>
      </c>
      <c r="D1987" s="1" t="n">
        <v>46010</v>
      </c>
      <c r="E1987" s="1" t="n">
        <v>46313</v>
      </c>
      <c r="F1987" t="inlineStr">
        <is>
          <t>SÖDERMANLANDS LÄN</t>
        </is>
      </c>
      <c r="G1987" t="inlineStr">
        <is>
          <t>KATRINEHOLM</t>
        </is>
      </c>
      <c r="H1987" t="inlineStr">
        <is>
          <t>Allmännings- och besparingsskogar</t>
        </is>
      </c>
      <c r="I1987" t="n">
        <v>4.8</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63949-2025</t>
        </is>
      </c>
      <c r="B1988" t="inlineStr">
        <is>
          <t>avverkningsanmälan</t>
        </is>
      </c>
      <c r="C1988" t="inlineStr">
        <is>
          <t>Föryngringsavverkning</t>
        </is>
      </c>
      <c r="D1988" s="1" t="n">
        <v>46010</v>
      </c>
      <c r="E1988" s="1" t="n">
        <v>46313</v>
      </c>
      <c r="F1988" t="inlineStr">
        <is>
          <t>SÖDERMANLANDS LÄN</t>
        </is>
      </c>
      <c r="G1988" t="inlineStr">
        <is>
          <t>KATRINEHOLM</t>
        </is>
      </c>
      <c r="H1988" t="inlineStr">
        <is>
          <t>Allmännings- och besparingsskogar</t>
        </is>
      </c>
      <c r="I1988" t="n">
        <v>5.1</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17376-2025</t>
        </is>
      </c>
      <c r="B1989" t="inlineStr">
        <is>
          <t>avverkningsanmälan</t>
        </is>
      </c>
      <c r="C1989" t="inlineStr">
        <is>
          <t>Föryngringsavverkning</t>
        </is>
      </c>
      <c r="D1989" s="1" t="n">
        <v>45756</v>
      </c>
      <c r="E1989" s="1" t="n">
        <v>46313</v>
      </c>
      <c r="F1989" t="inlineStr">
        <is>
          <t>SÖDERMANLANDS LÄN</t>
        </is>
      </c>
      <c r="G1989" t="inlineStr">
        <is>
          <t>ESKILSTUNA</t>
        </is>
      </c>
      <c r="H1989" t="inlineStr">
        <is>
          <t>Allmännings- och besparingsskogar</t>
        </is>
      </c>
      <c r="I1989" t="n">
        <v>1.3</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20938-2023</t>
        </is>
      </c>
      <c r="B1990" t="inlineStr">
        <is>
          <t>avverkningsanmälan</t>
        </is>
      </c>
      <c r="C1990" t="inlineStr">
        <is>
          <t>Föryngringsavverkning</t>
        </is>
      </c>
      <c r="D1990" s="1" t="n">
        <v>45061</v>
      </c>
      <c r="E1990" s="1" t="n">
        <v>46313</v>
      </c>
      <c r="F1990" t="inlineStr">
        <is>
          <t>SÖDERMANLANDS LÄN</t>
        </is>
      </c>
      <c r="G1990" t="inlineStr">
        <is>
          <t>STRÄNGNÄS</t>
        </is>
      </c>
      <c r="I1990" t="n">
        <v>3.8</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16605-2025</t>
        </is>
      </c>
      <c r="B1991" t="inlineStr">
        <is>
          <t>avverkningsanmälan</t>
        </is>
      </c>
      <c r="C1991" t="inlineStr">
        <is>
          <t>Föryngringsavverkning</t>
        </is>
      </c>
      <c r="D1991" s="1" t="n">
        <v>45753</v>
      </c>
      <c r="E1991" s="1" t="n">
        <v>46313</v>
      </c>
      <c r="F1991" t="inlineStr">
        <is>
          <t>SÖDERMANLANDS LÄN</t>
        </is>
      </c>
      <c r="G1991" t="inlineStr">
        <is>
          <t>KATRINEHOLM</t>
        </is>
      </c>
      <c r="I1991" t="n">
        <v>5.2</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63948-2025</t>
        </is>
      </c>
      <c r="B1992" t="inlineStr">
        <is>
          <t>avverkningsanmälan</t>
        </is>
      </c>
      <c r="C1992" t="inlineStr">
        <is>
          <t>Föryngringsavverkning</t>
        </is>
      </c>
      <c r="D1992" s="1" t="n">
        <v>46010</v>
      </c>
      <c r="E1992" s="1" t="n">
        <v>46313</v>
      </c>
      <c r="F1992" t="inlineStr">
        <is>
          <t>SÖDERMANLANDS LÄN</t>
        </is>
      </c>
      <c r="G1992" t="inlineStr">
        <is>
          <t>KATRINEHOLM</t>
        </is>
      </c>
      <c r="H1992" t="inlineStr">
        <is>
          <t>Allmännings- och besparingsskogar</t>
        </is>
      </c>
      <c r="I1992" t="n">
        <v>4.9</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33833-2024</t>
        </is>
      </c>
      <c r="B1993" t="inlineStr">
        <is>
          <t>avverkningsanmälan</t>
        </is>
      </c>
      <c r="C1993" t="inlineStr">
        <is>
          <t>Föryngringsavverkning</t>
        </is>
      </c>
      <c r="D1993" s="1" t="n">
        <v>45520</v>
      </c>
      <c r="E1993" s="1" t="n">
        <v>46313</v>
      </c>
      <c r="F1993" t="inlineStr">
        <is>
          <t>SÖDERMANLANDS LÄN</t>
        </is>
      </c>
      <c r="G1993" t="inlineStr">
        <is>
          <t>GNESTA</t>
        </is>
      </c>
      <c r="H1993" t="inlineStr">
        <is>
          <t>Holmen skog AB</t>
        </is>
      </c>
      <c r="I1993" t="n">
        <v>0.9</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54586-2025</t>
        </is>
      </c>
      <c r="B1994" t="inlineStr">
        <is>
          <t>avverkningsanmälan</t>
        </is>
      </c>
      <c r="C1994" t="inlineStr">
        <is>
          <t>Föryngringsavverkning</t>
        </is>
      </c>
      <c r="D1994" s="1" t="n">
        <v>45965</v>
      </c>
      <c r="E1994" s="1" t="n">
        <v>46313</v>
      </c>
      <c r="F1994" t="inlineStr">
        <is>
          <t>SÖDERMANLANDS LÄN</t>
        </is>
      </c>
      <c r="G1994" t="inlineStr">
        <is>
          <t>ESKILSTUNA</t>
        </is>
      </c>
      <c r="I1994" t="n">
        <v>5.5</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66296-2021</t>
        </is>
      </c>
      <c r="B1995" t="inlineStr">
        <is>
          <t>avverkningsanmälan</t>
        </is>
      </c>
      <c r="C1995" t="inlineStr">
        <is>
          <t>Föryngringsavverkning</t>
        </is>
      </c>
      <c r="D1995" s="1" t="n">
        <v>44518</v>
      </c>
      <c r="E1995" s="1" t="n">
        <v>46313</v>
      </c>
      <c r="F1995" t="inlineStr">
        <is>
          <t>SÖDERMANLANDS LÄN</t>
        </is>
      </c>
      <c r="G1995" t="inlineStr">
        <is>
          <t>STRÄNGNÄS</t>
        </is>
      </c>
      <c r="H1995" t="inlineStr">
        <is>
          <t>Övriga statliga verk och myndigheter</t>
        </is>
      </c>
      <c r="I1995" t="n">
        <v>3.8</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63293-2025</t>
        </is>
      </c>
      <c r="B1996" t="inlineStr">
        <is>
          <t>avverkningsanmälan</t>
        </is>
      </c>
      <c r="C1996" t="inlineStr">
        <is>
          <t>Föryngringsavverkning</t>
        </is>
      </c>
      <c r="D1996" s="1" t="n">
        <v>46010</v>
      </c>
      <c r="E1996" s="1" t="n">
        <v>46313</v>
      </c>
      <c r="F1996" t="inlineStr">
        <is>
          <t>SÖDERMANLANDS LÄN</t>
        </is>
      </c>
      <c r="G1996" t="inlineStr">
        <is>
          <t>NYKÖPING</t>
        </is>
      </c>
      <c r="I1996" t="n">
        <v>4.7</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7074-2024</t>
        </is>
      </c>
      <c r="B1997" t="inlineStr">
        <is>
          <t>avverkningsanmälan</t>
        </is>
      </c>
      <c r="C1997" t="inlineStr">
        <is>
          <t>Föryngringsavverkning</t>
        </is>
      </c>
      <c r="D1997" s="1" t="n">
        <v>45343</v>
      </c>
      <c r="E1997" s="1" t="n">
        <v>46313</v>
      </c>
      <c r="F1997" t="inlineStr">
        <is>
          <t>SÖDERMANLANDS LÄN</t>
        </is>
      </c>
      <c r="G1997" t="inlineStr">
        <is>
          <t>NYKÖPING</t>
        </is>
      </c>
      <c r="H1997" t="inlineStr">
        <is>
          <t>Kommuner</t>
        </is>
      </c>
      <c r="I1997" t="n">
        <v>6.8</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63322-2025</t>
        </is>
      </c>
      <c r="B1998" t="inlineStr">
        <is>
          <t>avverkningsanmälan</t>
        </is>
      </c>
      <c r="C1998" t="inlineStr">
        <is>
          <t>Föryngringsavverkning</t>
        </is>
      </c>
      <c r="D1998" s="1" t="n">
        <v>46010</v>
      </c>
      <c r="E1998" s="1" t="n">
        <v>46313</v>
      </c>
      <c r="F1998" t="inlineStr">
        <is>
          <t>SÖDERMANLANDS LÄN</t>
        </is>
      </c>
      <c r="G1998" t="inlineStr">
        <is>
          <t>NYKÖPING</t>
        </is>
      </c>
      <c r="I1998" t="n">
        <v>21.2</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73409-2021</t>
        </is>
      </c>
      <c r="B1999" t="inlineStr">
        <is>
          <t>avverkningsanmälan</t>
        </is>
      </c>
      <c r="C1999" t="inlineStr">
        <is>
          <t>Föryngringsavverkning</t>
        </is>
      </c>
      <c r="D1999" s="1" t="n">
        <v>44551</v>
      </c>
      <c r="E1999" s="1" t="n">
        <v>46313</v>
      </c>
      <c r="F1999" t="inlineStr">
        <is>
          <t>SÖDERMANLANDS LÄN</t>
        </is>
      </c>
      <c r="G1999" t="inlineStr">
        <is>
          <t>KATRINEHOLM</t>
        </is>
      </c>
      <c r="I1999" t="n">
        <v>1.7</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73415-2021</t>
        </is>
      </c>
      <c r="B2000" t="inlineStr">
        <is>
          <t>avverkningsanmälan</t>
        </is>
      </c>
      <c r="C2000" t="inlineStr">
        <is>
          <t>Föryngringsavverkning</t>
        </is>
      </c>
      <c r="D2000" s="1" t="n">
        <v>44551</v>
      </c>
      <c r="E2000" s="1" t="n">
        <v>46313</v>
      </c>
      <c r="F2000" t="inlineStr">
        <is>
          <t>SÖDERMANLANDS LÄN</t>
        </is>
      </c>
      <c r="G2000" t="inlineStr">
        <is>
          <t>KATRINEHOLM</t>
        </is>
      </c>
      <c r="I2000" t="n">
        <v>3.2</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63246-2025</t>
        </is>
      </c>
      <c r="B2001" t="inlineStr">
        <is>
          <t>avverkningsanmälan</t>
        </is>
      </c>
      <c r="C2001" t="inlineStr">
        <is>
          <t>Föryngringsavverkning</t>
        </is>
      </c>
      <c r="D2001" s="1" t="n">
        <v>46010</v>
      </c>
      <c r="E2001" s="1" t="n">
        <v>46313</v>
      </c>
      <c r="F2001" t="inlineStr">
        <is>
          <t>SÖDERMANLANDS LÄN</t>
        </is>
      </c>
      <c r="G2001" t="inlineStr">
        <is>
          <t>NYKÖPING</t>
        </is>
      </c>
      <c r="I2001" t="n">
        <v>7.9</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36163-2023</t>
        </is>
      </c>
      <c r="B2002" t="inlineStr">
        <is>
          <t>avverkningsanmälan</t>
        </is>
      </c>
      <c r="C2002" t="inlineStr">
        <is>
          <t>Föryngringsavverkning</t>
        </is>
      </c>
      <c r="D2002" s="1" t="n">
        <v>45149</v>
      </c>
      <c r="E2002" s="1" t="n">
        <v>46313</v>
      </c>
      <c r="F2002" t="inlineStr">
        <is>
          <t>SÖDERMANLANDS LÄN</t>
        </is>
      </c>
      <c r="G2002" t="inlineStr">
        <is>
          <t>NYKÖPING</t>
        </is>
      </c>
      <c r="H2002" t="inlineStr">
        <is>
          <t>Kommuner</t>
        </is>
      </c>
      <c r="I2002" t="n">
        <v>1.7</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25668-2022</t>
        </is>
      </c>
      <c r="B2003" t="inlineStr">
        <is>
          <t>avverkningsanmälan</t>
        </is>
      </c>
      <c r="C2003" t="inlineStr">
        <is>
          <t>Föryngringsavverkning</t>
        </is>
      </c>
      <c r="D2003" s="1" t="n">
        <v>44732</v>
      </c>
      <c r="E2003" s="1" t="n">
        <v>46313</v>
      </c>
      <c r="F2003" t="inlineStr">
        <is>
          <t>SÖDERMANLANDS LÄN</t>
        </is>
      </c>
      <c r="G2003" t="inlineStr">
        <is>
          <t>ESKILSTUNA</t>
        </is>
      </c>
      <c r="I2003" t="n">
        <v>2.6</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35058-2024</t>
        </is>
      </c>
      <c r="B2004" t="inlineStr">
        <is>
          <t>avverkningsanmälan</t>
        </is>
      </c>
      <c r="C2004" t="inlineStr">
        <is>
          <t>Föryngringsavverkning</t>
        </is>
      </c>
      <c r="D2004" s="1" t="n">
        <v>45527</v>
      </c>
      <c r="E2004" s="1" t="n">
        <v>46313</v>
      </c>
      <c r="F2004" t="inlineStr">
        <is>
          <t>SÖDERMANLANDS LÄN</t>
        </is>
      </c>
      <c r="G2004" t="inlineStr">
        <is>
          <t>TROSA</t>
        </is>
      </c>
      <c r="I2004" t="n">
        <v>0.4</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11638-2024</t>
        </is>
      </c>
      <c r="B2005" t="inlineStr">
        <is>
          <t>avverkningsanmälan</t>
        </is>
      </c>
      <c r="C2005" t="inlineStr">
        <is>
          <t>Föryngringsavverkning</t>
        </is>
      </c>
      <c r="D2005" s="1" t="n">
        <v>45373</v>
      </c>
      <c r="E2005" s="1" t="n">
        <v>46313</v>
      </c>
      <c r="F2005" t="inlineStr">
        <is>
          <t>SÖDERMANLANDS LÄN</t>
        </is>
      </c>
      <c r="G2005" t="inlineStr">
        <is>
          <t>NYKÖPING</t>
        </is>
      </c>
      <c r="I2005" t="n">
        <v>0.7</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17832-2024</t>
        </is>
      </c>
      <c r="B2006" t="inlineStr">
        <is>
          <t>avverkningsanmälan</t>
        </is>
      </c>
      <c r="C2006" t="inlineStr">
        <is>
          <t>Avverkning för annat ändamål</t>
        </is>
      </c>
      <c r="D2006" s="1" t="n">
        <v>45418</v>
      </c>
      <c r="E2006" s="1" t="n">
        <v>46313</v>
      </c>
      <c r="F2006" t="inlineStr">
        <is>
          <t>SÖDERMANLANDS LÄN</t>
        </is>
      </c>
      <c r="G2006" t="inlineStr">
        <is>
          <t>NYKÖPING</t>
        </is>
      </c>
      <c r="H2006" t="inlineStr">
        <is>
          <t>Kommuner</t>
        </is>
      </c>
      <c r="I2006" t="n">
        <v>1.5</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67925-2021</t>
        </is>
      </c>
      <c r="B2007" t="inlineStr">
        <is>
          <t>avverkningsanmälan</t>
        </is>
      </c>
      <c r="C2007" t="inlineStr">
        <is>
          <t>Föryngringsavverkning</t>
        </is>
      </c>
      <c r="D2007" s="1" t="n">
        <v>44525</v>
      </c>
      <c r="E2007" s="1" t="n">
        <v>46313</v>
      </c>
      <c r="F2007" t="inlineStr">
        <is>
          <t>SÖDERMANLANDS LÄN</t>
        </is>
      </c>
      <c r="G2007" t="inlineStr">
        <is>
          <t>STRÄNGNÄS</t>
        </is>
      </c>
      <c r="I2007" t="n">
        <v>3.2</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51243-2024</t>
        </is>
      </c>
      <c r="B2008" t="inlineStr">
        <is>
          <t>avverkningsanmälan</t>
        </is>
      </c>
      <c r="C2008" t="inlineStr">
        <is>
          <t>Föryngringsavverkning</t>
        </is>
      </c>
      <c r="D2008" s="1" t="n">
        <v>45603</v>
      </c>
      <c r="E2008" s="1" t="n">
        <v>46313</v>
      </c>
      <c r="F2008" t="inlineStr">
        <is>
          <t>SÖDERMANLANDS LÄN</t>
        </is>
      </c>
      <c r="G2008" t="inlineStr">
        <is>
          <t>NYKÖPING</t>
        </is>
      </c>
      <c r="I2008" t="n">
        <v>1.7</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63188-2021</t>
        </is>
      </c>
      <c r="B2009" t="inlineStr">
        <is>
          <t>avverkningsanmälan</t>
        </is>
      </c>
      <c r="C2009" t="inlineStr">
        <is>
          <t>Föryngringsavverkning</t>
        </is>
      </c>
      <c r="D2009" s="1" t="n">
        <v>44507</v>
      </c>
      <c r="E2009" s="1" t="n">
        <v>46313</v>
      </c>
      <c r="F2009" t="inlineStr">
        <is>
          <t>SÖDERMANLANDS LÄN</t>
        </is>
      </c>
      <c r="G2009" t="inlineStr">
        <is>
          <t>KATRINEHOLM</t>
        </is>
      </c>
      <c r="I2009" t="n">
        <v>1.6</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18511-2023</t>
        </is>
      </c>
      <c r="B2010" t="inlineStr">
        <is>
          <t>avverkningsanmälan</t>
        </is>
      </c>
      <c r="C2010" t="inlineStr">
        <is>
          <t>Föryngringsavverkning</t>
        </is>
      </c>
      <c r="D2010" s="1" t="n">
        <v>45041</v>
      </c>
      <c r="E2010" s="1" t="n">
        <v>46313</v>
      </c>
      <c r="F2010" t="inlineStr">
        <is>
          <t>SÖDERMANLANDS LÄN</t>
        </is>
      </c>
      <c r="G2010" t="inlineStr">
        <is>
          <t>FLEN</t>
        </is>
      </c>
      <c r="I2010" t="n">
        <v>3.1</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51768-2023</t>
        </is>
      </c>
      <c r="B2011" t="inlineStr">
        <is>
          <t>avverkningsanmälan</t>
        </is>
      </c>
      <c r="C2011" t="inlineStr">
        <is>
          <t>Föryngringsavverkning</t>
        </is>
      </c>
      <c r="D2011" s="1" t="n">
        <v>45222</v>
      </c>
      <c r="E2011" s="1" t="n">
        <v>46313</v>
      </c>
      <c r="F2011" t="inlineStr">
        <is>
          <t>SÖDERMANLANDS LÄN</t>
        </is>
      </c>
      <c r="G2011" t="inlineStr">
        <is>
          <t>FLEN</t>
        </is>
      </c>
      <c r="I2011" t="n">
        <v>2.4</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39335-2023</t>
        </is>
      </c>
      <c r="B2012" t="inlineStr">
        <is>
          <t>avverkningsanmälan</t>
        </is>
      </c>
      <c r="C2012" t="inlineStr">
        <is>
          <t>Föryngringsavverkning</t>
        </is>
      </c>
      <c r="D2012" s="1" t="n">
        <v>45166</v>
      </c>
      <c r="E2012" s="1" t="n">
        <v>46313</v>
      </c>
      <c r="F2012" t="inlineStr">
        <is>
          <t>SÖDERMANLANDS LÄN</t>
        </is>
      </c>
      <c r="G2012" t="inlineStr">
        <is>
          <t>FLEN</t>
        </is>
      </c>
      <c r="I2012" t="n">
        <v>1</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60533-2024</t>
        </is>
      </c>
      <c r="B2013" t="inlineStr">
        <is>
          <t>avverkningsanmälan</t>
        </is>
      </c>
      <c r="C2013" t="inlineStr">
        <is>
          <t>Föryngringsavverkning</t>
        </is>
      </c>
      <c r="D2013" s="1" t="n">
        <v>45643</v>
      </c>
      <c r="E2013" s="1" t="n">
        <v>46313</v>
      </c>
      <c r="F2013" t="inlineStr">
        <is>
          <t>SÖDERMANLANDS LÄN</t>
        </is>
      </c>
      <c r="G2013" t="inlineStr">
        <is>
          <t>ESKILSTUNA</t>
        </is>
      </c>
      <c r="I2013" t="n">
        <v>4.9</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8457-2023</t>
        </is>
      </c>
      <c r="B2014" t="inlineStr">
        <is>
          <t>avverkningsanmälan</t>
        </is>
      </c>
      <c r="C2014" t="inlineStr">
        <is>
          <t>Föryngringsavverkning</t>
        </is>
      </c>
      <c r="D2014" s="1" t="n">
        <v>44977</v>
      </c>
      <c r="E2014" s="1" t="n">
        <v>46313</v>
      </c>
      <c r="F2014" t="inlineStr">
        <is>
          <t>SÖDERMANLANDS LÄN</t>
        </is>
      </c>
      <c r="G2014" t="inlineStr">
        <is>
          <t>KATRINEHOLM</t>
        </is>
      </c>
      <c r="H2014" t="inlineStr">
        <is>
          <t>Allmännings- och besparingsskogar</t>
        </is>
      </c>
      <c r="I2014" t="n">
        <v>16.1</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47872-2025</t>
        </is>
      </c>
      <c r="B2015" t="inlineStr">
        <is>
          <t>avverkningsanmälan</t>
        </is>
      </c>
      <c r="C2015" t="inlineStr">
        <is>
          <t>Avverkning för annat ändamål</t>
        </is>
      </c>
      <c r="D2015" s="1" t="n">
        <v>45932</v>
      </c>
      <c r="E2015" s="1" t="n">
        <v>46313</v>
      </c>
      <c r="F2015" t="inlineStr">
        <is>
          <t>SÖDERMANLANDS LÄN</t>
        </is>
      </c>
      <c r="G2015" t="inlineStr">
        <is>
          <t>FLEN</t>
        </is>
      </c>
      <c r="I2015" t="n">
        <v>1</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13967-2026</t>
        </is>
      </c>
      <c r="B2016" t="inlineStr">
        <is>
          <t>avverkningsanmälan</t>
        </is>
      </c>
      <c r="C2016" t="inlineStr">
        <is>
          <t>Föryngringsavverkning</t>
        </is>
      </c>
      <c r="D2016" s="1" t="n">
        <v>46098</v>
      </c>
      <c r="E2016" s="1" t="n">
        <v>46313</v>
      </c>
      <c r="F2016" t="inlineStr">
        <is>
          <t>SÖDERMANLANDS LÄN</t>
        </is>
      </c>
      <c r="G2016" t="inlineStr">
        <is>
          <t>NYKÖPING</t>
        </is>
      </c>
      <c r="I2016" t="n">
        <v>1.7</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20791-2022</t>
        </is>
      </c>
      <c r="B2017" t="inlineStr">
        <is>
          <t>avverkningsanmälan</t>
        </is>
      </c>
      <c r="C2017" t="inlineStr">
        <is>
          <t>Föryngringsavverkning</t>
        </is>
      </c>
      <c r="D2017" s="1" t="n">
        <v>44701</v>
      </c>
      <c r="E2017" s="1" t="n">
        <v>46313</v>
      </c>
      <c r="F2017" t="inlineStr">
        <is>
          <t>SÖDERMANLANDS LÄN</t>
        </is>
      </c>
      <c r="G2017" t="inlineStr">
        <is>
          <t>FLEN</t>
        </is>
      </c>
      <c r="I2017" t="n">
        <v>3.9</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60764-2021</t>
        </is>
      </c>
      <c r="B2018" t="inlineStr">
        <is>
          <t>avverkningsanmälan</t>
        </is>
      </c>
      <c r="C2018" t="inlineStr">
        <is>
          <t>Föryngringsavverkning</t>
        </is>
      </c>
      <c r="D2018" s="1" t="n">
        <v>44496</v>
      </c>
      <c r="E2018" s="1" t="n">
        <v>46313</v>
      </c>
      <c r="F2018" t="inlineStr">
        <is>
          <t>SÖDERMANLANDS LÄN</t>
        </is>
      </c>
      <c r="G2018" t="inlineStr">
        <is>
          <t>STRÄNGNÄS</t>
        </is>
      </c>
      <c r="I2018" t="n">
        <v>4.1</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1128-2024</t>
        </is>
      </c>
      <c r="B2019" t="inlineStr">
        <is>
          <t>avverkningsanmälan</t>
        </is>
      </c>
      <c r="C2019" t="inlineStr">
        <is>
          <t>Avverkning för annat ändamål</t>
        </is>
      </c>
      <c r="D2019" s="1" t="n">
        <v>45302</v>
      </c>
      <c r="E2019" s="1" t="n">
        <v>46313</v>
      </c>
      <c r="F2019" t="inlineStr">
        <is>
          <t>SÖDERMANLANDS LÄN</t>
        </is>
      </c>
      <c r="G2019" t="inlineStr">
        <is>
          <t>VINGÅKER</t>
        </is>
      </c>
      <c r="I2019" t="n">
        <v>0.6</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2445-2022</t>
        </is>
      </c>
      <c r="B2020" t="inlineStr">
        <is>
          <t>avverkningsanmälan</t>
        </is>
      </c>
      <c r="C2020" t="inlineStr">
        <is>
          <t>Föryngringsavverkning</t>
        </is>
      </c>
      <c r="D2020" s="1" t="n">
        <v>44579</v>
      </c>
      <c r="E2020" s="1" t="n">
        <v>46313</v>
      </c>
      <c r="F2020" t="inlineStr">
        <is>
          <t>SÖDERMANLANDS LÄN</t>
        </is>
      </c>
      <c r="G2020" t="inlineStr">
        <is>
          <t>NYKÖPING</t>
        </is>
      </c>
      <c r="I2020" t="n">
        <v>6.7</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14260-2025</t>
        </is>
      </c>
      <c r="B2021" t="inlineStr">
        <is>
          <t>avverkningsanmälan</t>
        </is>
      </c>
      <c r="C2021" t="inlineStr">
        <is>
          <t>Föryngringsavverkning</t>
        </is>
      </c>
      <c r="D2021" s="1" t="n">
        <v>45740</v>
      </c>
      <c r="E2021" s="1" t="n">
        <v>46313</v>
      </c>
      <c r="F2021" t="inlineStr">
        <is>
          <t>SÖDERMANLANDS LÄN</t>
        </is>
      </c>
      <c r="G2021" t="inlineStr">
        <is>
          <t>FLEN</t>
        </is>
      </c>
      <c r="H2021" t="inlineStr">
        <is>
          <t>Holmen skog AB</t>
        </is>
      </c>
      <c r="I2021" t="n">
        <v>2.2</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62247-2022</t>
        </is>
      </c>
      <c r="B2022" t="inlineStr">
        <is>
          <t>avverkningsanmälan</t>
        </is>
      </c>
      <c r="C2022" t="inlineStr">
        <is>
          <t>Föryngringsavverkning</t>
        </is>
      </c>
      <c r="D2022" s="1" t="n">
        <v>44922</v>
      </c>
      <c r="E2022" s="1" t="n">
        <v>46313</v>
      </c>
      <c r="F2022" t="inlineStr">
        <is>
          <t>SÖDERMANLANDS LÄN</t>
        </is>
      </c>
      <c r="G2022" t="inlineStr">
        <is>
          <t>GNESTA</t>
        </is>
      </c>
      <c r="I2022" t="n">
        <v>0.8</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14930-2024</t>
        </is>
      </c>
      <c r="B2023" t="inlineStr">
        <is>
          <t>avverkningsanmälan</t>
        </is>
      </c>
      <c r="C2023" t="inlineStr">
        <is>
          <t>Avverkning för annat ändamål</t>
        </is>
      </c>
      <c r="D2023" s="1" t="n">
        <v>45398</v>
      </c>
      <c r="E2023" s="1" t="n">
        <v>46313</v>
      </c>
      <c r="F2023" t="inlineStr">
        <is>
          <t>SÖDERMANLANDS LÄN</t>
        </is>
      </c>
      <c r="G2023" t="inlineStr">
        <is>
          <t>NYKÖPING</t>
        </is>
      </c>
      <c r="I2023" t="n">
        <v>3.1</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35019-2023</t>
        </is>
      </c>
      <c r="B2024" t="inlineStr">
        <is>
          <t>avverkningsanmälan</t>
        </is>
      </c>
      <c r="C2024" t="inlineStr">
        <is>
          <t>Avverkning för annat ändamål</t>
        </is>
      </c>
      <c r="D2024" s="1" t="n">
        <v>45143</v>
      </c>
      <c r="E2024" s="1" t="n">
        <v>46313</v>
      </c>
      <c r="F2024" t="inlineStr">
        <is>
          <t>SÖDERMANLANDS LÄN</t>
        </is>
      </c>
      <c r="G2024" t="inlineStr">
        <is>
          <t>NYKÖPING</t>
        </is>
      </c>
      <c r="I2024" t="n">
        <v>2.2</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5233-2025</t>
        </is>
      </c>
      <c r="B2025" t="inlineStr">
        <is>
          <t>avverkningsanmälan</t>
        </is>
      </c>
      <c r="C2025" t="inlineStr">
        <is>
          <t>Föryngringsavverkning</t>
        </is>
      </c>
      <c r="D2025" s="1" t="n">
        <v>45691</v>
      </c>
      <c r="E2025" s="1" t="n">
        <v>46313</v>
      </c>
      <c r="F2025" t="inlineStr">
        <is>
          <t>SÖDERMANLANDS LÄN</t>
        </is>
      </c>
      <c r="G2025" t="inlineStr">
        <is>
          <t>GNESTA</t>
        </is>
      </c>
      <c r="I2025" t="n">
        <v>1.2</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7292-2023</t>
        </is>
      </c>
      <c r="B2026" t="inlineStr">
        <is>
          <t>avverkningsanmälan</t>
        </is>
      </c>
      <c r="C2026" t="inlineStr">
        <is>
          <t>Föryngringsavverkning</t>
        </is>
      </c>
      <c r="D2026" s="1" t="n">
        <v>44970</v>
      </c>
      <c r="E2026" s="1" t="n">
        <v>46313</v>
      </c>
      <c r="F2026" t="inlineStr">
        <is>
          <t>SÖDERMANLANDS LÄN</t>
        </is>
      </c>
      <c r="G2026" t="inlineStr">
        <is>
          <t>GNESTA</t>
        </is>
      </c>
      <c r="I2026" t="n">
        <v>3.1</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609-2026</t>
        </is>
      </c>
      <c r="B2027" t="inlineStr">
        <is>
          <t>avverkningsanmälan</t>
        </is>
      </c>
      <c r="C2027" t="inlineStr">
        <is>
          <t>Föryngringsavverkning</t>
        </is>
      </c>
      <c r="D2027" s="1" t="n">
        <v>46023</v>
      </c>
      <c r="E2027" s="1" t="n">
        <v>46313</v>
      </c>
      <c r="F2027" t="inlineStr">
        <is>
          <t>SÖDERMANLANDS LÄN</t>
        </is>
      </c>
      <c r="G2027" t="inlineStr">
        <is>
          <t>VINGÅKER</t>
        </is>
      </c>
      <c r="I2027" t="n">
        <v>4.4</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43501-2022</t>
        </is>
      </c>
      <c r="B2028" t="inlineStr">
        <is>
          <t>avverkningsanmälan</t>
        </is>
      </c>
      <c r="C2028" t="inlineStr">
        <is>
          <t>Föryngringsavverkning</t>
        </is>
      </c>
      <c r="D2028" s="1" t="n">
        <v>44837</v>
      </c>
      <c r="E2028" s="1" t="n">
        <v>46313</v>
      </c>
      <c r="F2028" t="inlineStr">
        <is>
          <t>SÖDERMANLANDS LÄN</t>
        </is>
      </c>
      <c r="G2028" t="inlineStr">
        <is>
          <t>ESKILSTUNA</t>
        </is>
      </c>
      <c r="H2028" t="inlineStr">
        <is>
          <t>Sveaskog</t>
        </is>
      </c>
      <c r="I2028" t="n">
        <v>1.4</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60150-2022</t>
        </is>
      </c>
      <c r="B2029" t="inlineStr">
        <is>
          <t>avverkningsanmälan</t>
        </is>
      </c>
      <c r="C2029" t="inlineStr">
        <is>
          <t>Föryngringsavverkning</t>
        </is>
      </c>
      <c r="D2029" s="1" t="n">
        <v>44909</v>
      </c>
      <c r="E2029" s="1" t="n">
        <v>46313</v>
      </c>
      <c r="F2029" t="inlineStr">
        <is>
          <t>SÖDERMANLANDS LÄN</t>
        </is>
      </c>
      <c r="G2029" t="inlineStr">
        <is>
          <t>FLEN</t>
        </is>
      </c>
      <c r="H2029" t="inlineStr">
        <is>
          <t>Holmen skog AB</t>
        </is>
      </c>
      <c r="I2029" t="n">
        <v>1.5</v>
      </c>
      <c r="J2029" t="n">
        <v>0</v>
      </c>
      <c r="K2029" t="n">
        <v>0</v>
      </c>
      <c r="L2029" t="n">
        <v>0</v>
      </c>
      <c r="M2029" t="n">
        <v>0</v>
      </c>
      <c r="N2029" t="n">
        <v>0</v>
      </c>
      <c r="O2029" t="n">
        <v>0</v>
      </c>
      <c r="P2029" t="n">
        <v>0</v>
      </c>
      <c r="Q2029" t="n">
        <v>0</v>
      </c>
      <c r="R2029" t="n">
        <v>0</v>
      </c>
      <c r="S2029" t="n">
        <v>0</v>
      </c>
      <c r="T2029" t="n">
        <v>0</v>
      </c>
      <c r="U2029" t="n">
        <v>0</v>
      </c>
      <c r="V2029" s="2" t="inlineStr"/>
    </row>
    <row r="2030" ht="15" customHeight="1">
      <c r="A2030" t="inlineStr">
        <is>
          <t>A 60160-2022</t>
        </is>
      </c>
      <c r="B2030" t="inlineStr">
        <is>
          <t>avverkningsanmälan</t>
        </is>
      </c>
      <c r="C2030" t="inlineStr">
        <is>
          <t>Föryngringsavverkning</t>
        </is>
      </c>
      <c r="D2030" s="1" t="n">
        <v>44909</v>
      </c>
      <c r="E2030" s="1" t="n">
        <v>46313</v>
      </c>
      <c r="F2030" t="inlineStr">
        <is>
          <t>SÖDERMANLANDS LÄN</t>
        </is>
      </c>
      <c r="G2030" t="inlineStr">
        <is>
          <t>KATRINEHOLM</t>
        </is>
      </c>
      <c r="H2030" t="inlineStr">
        <is>
          <t>Allmännings- och besparingsskogar</t>
        </is>
      </c>
      <c r="I2030" t="n">
        <v>2</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259-2026</t>
        </is>
      </c>
      <c r="B2031" t="inlineStr">
        <is>
          <t>avverkningsanmälan</t>
        </is>
      </c>
      <c r="C2031" t="inlineStr">
        <is>
          <t>Föryngringsavverkning</t>
        </is>
      </c>
      <c r="D2031" s="1" t="n">
        <v>46027</v>
      </c>
      <c r="E2031" s="1" t="n">
        <v>46313</v>
      </c>
      <c r="F2031" t="inlineStr">
        <is>
          <t>SÖDERMANLANDS LÄN</t>
        </is>
      </c>
      <c r="G2031" t="inlineStr">
        <is>
          <t>NYKÖPING</t>
        </is>
      </c>
      <c r="I2031" t="n">
        <v>5.3</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33228-2024</t>
        </is>
      </c>
      <c r="B2032" t="inlineStr">
        <is>
          <t>avverkningsanmälan</t>
        </is>
      </c>
      <c r="C2032" t="inlineStr">
        <is>
          <t>Föryngringsavverkning</t>
        </is>
      </c>
      <c r="D2032" s="1" t="n">
        <v>45518</v>
      </c>
      <c r="E2032" s="1" t="n">
        <v>46313</v>
      </c>
      <c r="F2032" t="inlineStr">
        <is>
          <t>SÖDERMANLANDS LÄN</t>
        </is>
      </c>
      <c r="G2032" t="inlineStr">
        <is>
          <t>FLEN</t>
        </is>
      </c>
      <c r="I2032" t="n">
        <v>0.4</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33255-2024</t>
        </is>
      </c>
      <c r="B2033" t="inlineStr">
        <is>
          <t>avverkningsanmälan</t>
        </is>
      </c>
      <c r="C2033" t="inlineStr">
        <is>
          <t>Föryngringsavverkning</t>
        </is>
      </c>
      <c r="D2033" s="1" t="n">
        <v>45518</v>
      </c>
      <c r="E2033" s="1" t="n">
        <v>46313</v>
      </c>
      <c r="F2033" t="inlineStr">
        <is>
          <t>SÖDERMANLANDS LÄN</t>
        </is>
      </c>
      <c r="G2033" t="inlineStr">
        <is>
          <t>ESKILSTUNA</t>
        </is>
      </c>
      <c r="H2033" t="inlineStr">
        <is>
          <t>Övriga Aktiebolag</t>
        </is>
      </c>
      <c r="I2033" t="n">
        <v>0.9</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58496-2025</t>
        </is>
      </c>
      <c r="B2034" t="inlineStr">
        <is>
          <t>avverkningsanmälan</t>
        </is>
      </c>
      <c r="C2034" t="inlineStr">
        <is>
          <t>Föryngringsavverkning</t>
        </is>
      </c>
      <c r="D2034" s="1" t="n">
        <v>45985</v>
      </c>
      <c r="E2034" s="1" t="n">
        <v>46313</v>
      </c>
      <c r="F2034" t="inlineStr">
        <is>
          <t>SÖDERMANLANDS LÄN</t>
        </is>
      </c>
      <c r="G2034" t="inlineStr">
        <is>
          <t>NYKÖPING</t>
        </is>
      </c>
      <c r="I2034" t="n">
        <v>9.699999999999999</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25403-2026</t>
        </is>
      </c>
      <c r="B2035" t="inlineStr">
        <is>
          <t>avverkningsanmälan</t>
        </is>
      </c>
      <c r="C2035" t="inlineStr">
        <is>
          <t>Föryngringsavverkning</t>
        </is>
      </c>
      <c r="D2035" s="1" t="n">
        <v>46176</v>
      </c>
      <c r="E2035" s="1" t="n">
        <v>46313</v>
      </c>
      <c r="F2035" t="inlineStr">
        <is>
          <t>SÖDERMANLANDS LÄN</t>
        </is>
      </c>
      <c r="G2035" t="inlineStr">
        <is>
          <t>NYKÖPING</t>
        </is>
      </c>
      <c r="I2035" t="n">
        <v>1.7</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62763-2023</t>
        </is>
      </c>
      <c r="B2036" t="inlineStr">
        <is>
          <t>avverkningsanmälan</t>
        </is>
      </c>
      <c r="C2036" t="inlineStr">
        <is>
          <t>Föryngringsavverkning</t>
        </is>
      </c>
      <c r="D2036" s="1" t="n">
        <v>45271</v>
      </c>
      <c r="E2036" s="1" t="n">
        <v>46313</v>
      </c>
      <c r="F2036" t="inlineStr">
        <is>
          <t>SÖDERMANLANDS LÄN</t>
        </is>
      </c>
      <c r="G2036" t="inlineStr">
        <is>
          <t>FLEN</t>
        </is>
      </c>
      <c r="I2036" t="n">
        <v>0.5</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61861-2022</t>
        </is>
      </c>
      <c r="B2037" t="inlineStr">
        <is>
          <t>avverkningsanmälan</t>
        </is>
      </c>
      <c r="C2037" t="inlineStr">
        <is>
          <t>Föryngringsavverkning</t>
        </is>
      </c>
      <c r="D2037" s="1" t="n">
        <v>44917</v>
      </c>
      <c r="E2037" s="1" t="n">
        <v>46313</v>
      </c>
      <c r="F2037" t="inlineStr">
        <is>
          <t>SÖDERMANLANDS LÄN</t>
        </is>
      </c>
      <c r="G2037" t="inlineStr">
        <is>
          <t>ESKILSTUNA</t>
        </is>
      </c>
      <c r="I2037" t="n">
        <v>1.9</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48685-2022</t>
        </is>
      </c>
      <c r="B2038" t="inlineStr">
        <is>
          <t>avverkningsanmälan</t>
        </is>
      </c>
      <c r="C2038" t="inlineStr">
        <is>
          <t>Föryngringsavverkning</t>
        </is>
      </c>
      <c r="D2038" s="1" t="n">
        <v>44859</v>
      </c>
      <c r="E2038" s="1" t="n">
        <v>46313</v>
      </c>
      <c r="F2038" t="inlineStr">
        <is>
          <t>SÖDERMANLANDS LÄN</t>
        </is>
      </c>
      <c r="G2038" t="inlineStr">
        <is>
          <t>KATRINEHOLM</t>
        </is>
      </c>
      <c r="I2038" t="n">
        <v>0.5</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61618-2022</t>
        </is>
      </c>
      <c r="B2039" t="inlineStr">
        <is>
          <t>avverkningsanmälan</t>
        </is>
      </c>
      <c r="C2039" t="inlineStr">
        <is>
          <t>Föryngringsavverkning</t>
        </is>
      </c>
      <c r="D2039" s="1" t="n">
        <v>44916</v>
      </c>
      <c r="E2039" s="1" t="n">
        <v>46313</v>
      </c>
      <c r="F2039" t="inlineStr">
        <is>
          <t>SÖDERMANLANDS LÄN</t>
        </is>
      </c>
      <c r="G2039" t="inlineStr">
        <is>
          <t>NYKÖPING</t>
        </is>
      </c>
      <c r="H2039" t="inlineStr">
        <is>
          <t>Holmen skog AB</t>
        </is>
      </c>
      <c r="I2039" t="n">
        <v>0.5</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3037-2022</t>
        </is>
      </c>
      <c r="B2040" t="inlineStr">
        <is>
          <t>avverkningsanmälan</t>
        </is>
      </c>
      <c r="C2040" t="inlineStr">
        <is>
          <t>Föryngringsavverkning</t>
        </is>
      </c>
      <c r="D2040" s="1" t="n">
        <v>44581</v>
      </c>
      <c r="E2040" s="1" t="n">
        <v>46313</v>
      </c>
      <c r="F2040" t="inlineStr">
        <is>
          <t>SÖDERMANLANDS LÄN</t>
        </is>
      </c>
      <c r="G2040" t="inlineStr">
        <is>
          <t>STRÄNGNÄS</t>
        </is>
      </c>
      <c r="I2040" t="n">
        <v>1.5</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1209-2026</t>
        </is>
      </c>
      <c r="B2041" t="inlineStr">
        <is>
          <t>avverkningsanmälan</t>
        </is>
      </c>
      <c r="C2041" t="inlineStr">
        <is>
          <t>Föryngringsavverkning</t>
        </is>
      </c>
      <c r="D2041" s="1" t="n">
        <v>46031</v>
      </c>
      <c r="E2041" s="1" t="n">
        <v>46313</v>
      </c>
      <c r="F2041" t="inlineStr">
        <is>
          <t>SÖDERMANLANDS LÄN</t>
        </is>
      </c>
      <c r="G2041" t="inlineStr">
        <is>
          <t>STRÄNGNÄS</t>
        </is>
      </c>
      <c r="I2041" t="n">
        <v>1.8</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42519-2024</t>
        </is>
      </c>
      <c r="B2042" t="inlineStr">
        <is>
          <t>avverkningsanmälan</t>
        </is>
      </c>
      <c r="C2042" t="inlineStr">
        <is>
          <t>Föryngringsavverkning</t>
        </is>
      </c>
      <c r="D2042" s="1" t="n">
        <v>45565</v>
      </c>
      <c r="E2042" s="1" t="n">
        <v>46313</v>
      </c>
      <c r="F2042" t="inlineStr">
        <is>
          <t>SÖDERMANLANDS LÄN</t>
        </is>
      </c>
      <c r="G2042" t="inlineStr">
        <is>
          <t>KATRINEHOLM</t>
        </is>
      </c>
      <c r="I2042" t="n">
        <v>1.7</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243-2023</t>
        </is>
      </c>
      <c r="B2043" t="inlineStr">
        <is>
          <t>avverkningsanmälan</t>
        </is>
      </c>
      <c r="C2043" t="inlineStr">
        <is>
          <t>Föryngringsavverkning</t>
        </is>
      </c>
      <c r="D2043" s="1" t="n">
        <v>44928</v>
      </c>
      <c r="E2043" s="1" t="n">
        <v>46313</v>
      </c>
      <c r="F2043" t="inlineStr">
        <is>
          <t>SÖDERMANLANDS LÄN</t>
        </is>
      </c>
      <c r="G2043" t="inlineStr">
        <is>
          <t>STRÄNGNÄS</t>
        </is>
      </c>
      <c r="I2043" t="n">
        <v>1.8</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39356-2023</t>
        </is>
      </c>
      <c r="B2044" t="inlineStr">
        <is>
          <t>avverkningsanmälan</t>
        </is>
      </c>
      <c r="C2044" t="inlineStr">
        <is>
          <t>Föryngringsavverkning</t>
        </is>
      </c>
      <c r="D2044" s="1" t="n">
        <v>45166</v>
      </c>
      <c r="E2044" s="1" t="n">
        <v>46313</v>
      </c>
      <c r="F2044" t="inlineStr">
        <is>
          <t>SÖDERMANLANDS LÄN</t>
        </is>
      </c>
      <c r="G2044" t="inlineStr">
        <is>
          <t>NYKÖPING</t>
        </is>
      </c>
      <c r="I2044" t="n">
        <v>1.3</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1114-2026</t>
        </is>
      </c>
      <c r="B2045" t="inlineStr">
        <is>
          <t>avverkningsanmälan</t>
        </is>
      </c>
      <c r="C2045" t="inlineStr">
        <is>
          <t>Föryngringsavverkning</t>
        </is>
      </c>
      <c r="D2045" s="1" t="n">
        <v>46030</v>
      </c>
      <c r="E2045" s="1" t="n">
        <v>46313</v>
      </c>
      <c r="F2045" t="inlineStr">
        <is>
          <t>SÖDERMANLANDS LÄN</t>
        </is>
      </c>
      <c r="G2045" t="inlineStr">
        <is>
          <t>KATRINEHOLM</t>
        </is>
      </c>
      <c r="I2045" t="n">
        <v>0.9</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62474-2022</t>
        </is>
      </c>
      <c r="B2046" t="inlineStr">
        <is>
          <t>avverkningsanmälan</t>
        </is>
      </c>
      <c r="C2046" t="inlineStr">
        <is>
          <t>Föryngringsavverkning</t>
        </is>
      </c>
      <c r="D2046" s="1" t="n">
        <v>44916</v>
      </c>
      <c r="E2046" s="1" t="n">
        <v>46313</v>
      </c>
      <c r="F2046" t="inlineStr">
        <is>
          <t>SÖDERMANLANDS LÄN</t>
        </is>
      </c>
      <c r="G2046" t="inlineStr">
        <is>
          <t>TROSA</t>
        </is>
      </c>
      <c r="H2046" t="inlineStr">
        <is>
          <t>Övriga Aktiebolag</t>
        </is>
      </c>
      <c r="I2046" t="n">
        <v>0.6</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19364-2024</t>
        </is>
      </c>
      <c r="B2047" t="inlineStr">
        <is>
          <t>avverkningsanmälan</t>
        </is>
      </c>
      <c r="C2047" t="inlineStr">
        <is>
          <t>Föryngringsavverkning</t>
        </is>
      </c>
      <c r="D2047" s="1" t="n">
        <v>45429</v>
      </c>
      <c r="E2047" s="1" t="n">
        <v>46313</v>
      </c>
      <c r="F2047" t="inlineStr">
        <is>
          <t>SÖDERMANLANDS LÄN</t>
        </is>
      </c>
      <c r="G2047" t="inlineStr">
        <is>
          <t>GNESTA</t>
        </is>
      </c>
      <c r="I2047" t="n">
        <v>0.5</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55092-2023</t>
        </is>
      </c>
      <c r="B2048" t="inlineStr">
        <is>
          <t>avverkningsanmälan</t>
        </is>
      </c>
      <c r="C2048" t="inlineStr">
        <is>
          <t>Föryngringsavverkning</t>
        </is>
      </c>
      <c r="D2048" s="1" t="n">
        <v>45237</v>
      </c>
      <c r="E2048" s="1" t="n">
        <v>46313</v>
      </c>
      <c r="F2048" t="inlineStr">
        <is>
          <t>SÖDERMANLANDS LÄN</t>
        </is>
      </c>
      <c r="G2048" t="inlineStr">
        <is>
          <t>VINGÅKER</t>
        </is>
      </c>
      <c r="I2048" t="n">
        <v>4.6</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1108-2026</t>
        </is>
      </c>
      <c r="B2049" t="inlineStr">
        <is>
          <t>avverkningsanmälan</t>
        </is>
      </c>
      <c r="C2049" t="inlineStr">
        <is>
          <t>Föryngringsavverkning</t>
        </is>
      </c>
      <c r="D2049" s="1" t="n">
        <v>46030</v>
      </c>
      <c r="E2049" s="1" t="n">
        <v>46313</v>
      </c>
      <c r="F2049" t="inlineStr">
        <is>
          <t>SÖDERMANLANDS LÄN</t>
        </is>
      </c>
      <c r="G2049" t="inlineStr">
        <is>
          <t>STRÄNGNÄS</t>
        </is>
      </c>
      <c r="I2049" t="n">
        <v>3</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45792-2023</t>
        </is>
      </c>
      <c r="B2050" t="inlineStr">
        <is>
          <t>avverkningsanmälan</t>
        </is>
      </c>
      <c r="C2050" t="inlineStr">
        <is>
          <t>Föryngringsavverkning</t>
        </is>
      </c>
      <c r="D2050" s="1" t="n">
        <v>45195</v>
      </c>
      <c r="E2050" s="1" t="n">
        <v>46313</v>
      </c>
      <c r="F2050" t="inlineStr">
        <is>
          <t>SÖDERMANLANDS LÄN</t>
        </is>
      </c>
      <c r="G2050" t="inlineStr">
        <is>
          <t>VINGÅKER</t>
        </is>
      </c>
      <c r="H2050" t="inlineStr">
        <is>
          <t>Kommuner</t>
        </is>
      </c>
      <c r="I2050" t="n">
        <v>1</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61134-2024</t>
        </is>
      </c>
      <c r="B2051" t="inlineStr">
        <is>
          <t>avverkningsanmälan</t>
        </is>
      </c>
      <c r="C2051" t="inlineStr">
        <is>
          <t>Föryngringsavverkning</t>
        </is>
      </c>
      <c r="D2051" s="1" t="n">
        <v>45645</v>
      </c>
      <c r="E2051" s="1" t="n">
        <v>46313</v>
      </c>
      <c r="F2051" t="inlineStr">
        <is>
          <t>SÖDERMANLANDS LÄN</t>
        </is>
      </c>
      <c r="G2051" t="inlineStr">
        <is>
          <t>GNESTA</t>
        </is>
      </c>
      <c r="I2051" t="n">
        <v>1.6</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52904-2023</t>
        </is>
      </c>
      <c r="B2052" t="inlineStr">
        <is>
          <t>avverkningsanmälan</t>
        </is>
      </c>
      <c r="C2052" t="inlineStr">
        <is>
          <t>Föryngringsavverkning</t>
        </is>
      </c>
      <c r="D2052" s="1" t="n">
        <v>45226</v>
      </c>
      <c r="E2052" s="1" t="n">
        <v>46313</v>
      </c>
      <c r="F2052" t="inlineStr">
        <is>
          <t>SÖDERMANLANDS LÄN</t>
        </is>
      </c>
      <c r="G2052" t="inlineStr">
        <is>
          <t>STRÄNGNÄS</t>
        </is>
      </c>
      <c r="I2052" t="n">
        <v>9.9</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32169-2022</t>
        </is>
      </c>
      <c r="B2053" t="inlineStr">
        <is>
          <t>avverkningsanmälan</t>
        </is>
      </c>
      <c r="C2053" t="inlineStr">
        <is>
          <t>Avverkning för annat ändamål</t>
        </is>
      </c>
      <c r="D2053" s="1" t="n">
        <v>44781</v>
      </c>
      <c r="E2053" s="1" t="n">
        <v>46313</v>
      </c>
      <c r="F2053" t="inlineStr">
        <is>
          <t>SÖDERMANLANDS LÄN</t>
        </is>
      </c>
      <c r="G2053" t="inlineStr">
        <is>
          <t>KATRINEHOLM</t>
        </is>
      </c>
      <c r="H2053" t="inlineStr">
        <is>
          <t>Kommuner</t>
        </is>
      </c>
      <c r="I2053" t="n">
        <v>0.9</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1313-2026</t>
        </is>
      </c>
      <c r="B2054" t="inlineStr">
        <is>
          <t>avverkningsanmälan</t>
        </is>
      </c>
      <c r="C2054" t="inlineStr">
        <is>
          <t>Föryngringsavverkning</t>
        </is>
      </c>
      <c r="D2054" s="1" t="n">
        <v>46031</v>
      </c>
      <c r="E2054" s="1" t="n">
        <v>46313</v>
      </c>
      <c r="F2054" t="inlineStr">
        <is>
          <t>SÖDERMANLANDS LÄN</t>
        </is>
      </c>
      <c r="G2054" t="inlineStr">
        <is>
          <t>STRÄNGNÄS</t>
        </is>
      </c>
      <c r="I2054" t="n">
        <v>1.1</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1018-2026</t>
        </is>
      </c>
      <c r="B2055" t="inlineStr">
        <is>
          <t>avverkningsanmälan</t>
        </is>
      </c>
      <c r="C2055" t="inlineStr">
        <is>
          <t>Föryngringsavverkning</t>
        </is>
      </c>
      <c r="D2055" s="1" t="n">
        <v>46030</v>
      </c>
      <c r="E2055" s="1" t="n">
        <v>46313</v>
      </c>
      <c r="F2055" t="inlineStr">
        <is>
          <t>SÖDERMANLANDS LÄN</t>
        </is>
      </c>
      <c r="G2055" t="inlineStr">
        <is>
          <t>STRÄNGNÄS</t>
        </is>
      </c>
      <c r="I2055" t="n">
        <v>4.7</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1038-2026</t>
        </is>
      </c>
      <c r="B2056" t="inlineStr">
        <is>
          <t>avverkningsanmälan</t>
        </is>
      </c>
      <c r="C2056" t="inlineStr">
        <is>
          <t>Föryngringsavverkning</t>
        </is>
      </c>
      <c r="D2056" s="1" t="n">
        <v>46030</v>
      </c>
      <c r="E2056" s="1" t="n">
        <v>46313</v>
      </c>
      <c r="F2056" t="inlineStr">
        <is>
          <t>SÖDERMANLANDS LÄN</t>
        </is>
      </c>
      <c r="G2056" t="inlineStr">
        <is>
          <t>NYKÖPING</t>
        </is>
      </c>
      <c r="I2056" t="n">
        <v>1.1</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14087-2022</t>
        </is>
      </c>
      <c r="B2057" t="inlineStr">
        <is>
          <t>avverkningsanmälan</t>
        </is>
      </c>
      <c r="C2057" t="inlineStr">
        <is>
          <t>Föryngringsavverkning</t>
        </is>
      </c>
      <c r="D2057" s="1" t="n">
        <v>44651</v>
      </c>
      <c r="E2057" s="1" t="n">
        <v>46313</v>
      </c>
      <c r="F2057" t="inlineStr">
        <is>
          <t>SÖDERMANLANDS LÄN</t>
        </is>
      </c>
      <c r="G2057" t="inlineStr">
        <is>
          <t>VINGÅKER</t>
        </is>
      </c>
      <c r="H2057" t="inlineStr">
        <is>
          <t>Sveaskog</t>
        </is>
      </c>
      <c r="I2057" t="n">
        <v>4.1</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55122-2022</t>
        </is>
      </c>
      <c r="B2058" t="inlineStr">
        <is>
          <t>avverkningsanmälan</t>
        </is>
      </c>
      <c r="C2058" t="inlineStr">
        <is>
          <t>Föryngringsavverkning</t>
        </is>
      </c>
      <c r="D2058" s="1" t="n">
        <v>44886</v>
      </c>
      <c r="E2058" s="1" t="n">
        <v>46313</v>
      </c>
      <c r="F2058" t="inlineStr">
        <is>
          <t>SÖDERMANLANDS LÄN</t>
        </is>
      </c>
      <c r="G2058" t="inlineStr">
        <is>
          <t>KATRINEHOLM</t>
        </is>
      </c>
      <c r="I2058" t="n">
        <v>6.5</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1680-2026</t>
        </is>
      </c>
      <c r="B2059" t="inlineStr">
        <is>
          <t>avverkningsanmälan</t>
        </is>
      </c>
      <c r="C2059" t="inlineStr">
        <is>
          <t>Föryngringsavverkning</t>
        </is>
      </c>
      <c r="D2059" s="1" t="n">
        <v>46034</v>
      </c>
      <c r="E2059" s="1" t="n">
        <v>46313</v>
      </c>
      <c r="F2059" t="inlineStr">
        <is>
          <t>SÖDERMANLANDS LÄN</t>
        </is>
      </c>
      <c r="G2059" t="inlineStr">
        <is>
          <t>STRÄNGNÄS</t>
        </is>
      </c>
      <c r="I2059" t="n">
        <v>4.9</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25147-2026</t>
        </is>
      </c>
      <c r="B2060" t="inlineStr">
        <is>
          <t>avverkningsanmälan</t>
        </is>
      </c>
      <c r="C2060" t="inlineStr">
        <is>
          <t>Föryngringsavverkning</t>
        </is>
      </c>
      <c r="D2060" s="1" t="n">
        <v>46175</v>
      </c>
      <c r="E2060" s="1" t="n">
        <v>46313</v>
      </c>
      <c r="F2060" t="inlineStr">
        <is>
          <t>SÖDERMANLANDS LÄN</t>
        </is>
      </c>
      <c r="G2060" t="inlineStr">
        <is>
          <t>FLEN</t>
        </is>
      </c>
      <c r="I2060" t="n">
        <v>1.2</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59779-2023</t>
        </is>
      </c>
      <c r="B2061" t="inlineStr">
        <is>
          <t>avverkningsanmälan</t>
        </is>
      </c>
      <c r="C2061" t="inlineStr">
        <is>
          <t>Föryngringsavverkning</t>
        </is>
      </c>
      <c r="D2061" s="1" t="n">
        <v>45257</v>
      </c>
      <c r="E2061" s="1" t="n">
        <v>46313</v>
      </c>
      <c r="F2061" t="inlineStr">
        <is>
          <t>SÖDERMANLANDS LÄN</t>
        </is>
      </c>
      <c r="G2061" t="inlineStr">
        <is>
          <t>FLEN</t>
        </is>
      </c>
      <c r="I2061" t="n">
        <v>0.6</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1718-2026</t>
        </is>
      </c>
      <c r="B2062" t="inlineStr">
        <is>
          <t>avverkningsanmälan</t>
        </is>
      </c>
      <c r="C2062" t="inlineStr">
        <is>
          <t>Föryngringsavverkning</t>
        </is>
      </c>
      <c r="D2062" s="1" t="n">
        <v>46034</v>
      </c>
      <c r="E2062" s="1" t="n">
        <v>46313</v>
      </c>
      <c r="F2062" t="inlineStr">
        <is>
          <t>SÖDERMANLANDS LÄN</t>
        </is>
      </c>
      <c r="G2062" t="inlineStr">
        <is>
          <t>STRÄNGNÄS</t>
        </is>
      </c>
      <c r="I2062" t="n">
        <v>1.5</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1892-2026</t>
        </is>
      </c>
      <c r="B2063" t="inlineStr">
        <is>
          <t>avverkningsanmälan</t>
        </is>
      </c>
      <c r="C2063" t="inlineStr">
        <is>
          <t>Föryngringsavverkning</t>
        </is>
      </c>
      <c r="D2063" s="1" t="n">
        <v>46035</v>
      </c>
      <c r="E2063" s="1" t="n">
        <v>46313</v>
      </c>
      <c r="F2063" t="inlineStr">
        <is>
          <t>SÖDERMANLANDS LÄN</t>
        </is>
      </c>
      <c r="G2063" t="inlineStr">
        <is>
          <t>STRÄNGNÄS</t>
        </is>
      </c>
      <c r="I2063" t="n">
        <v>7.2</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1511-2026</t>
        </is>
      </c>
      <c r="B2064" t="inlineStr">
        <is>
          <t>avverkningsanmälan</t>
        </is>
      </c>
      <c r="C2064" t="inlineStr">
        <is>
          <t>Föryngringsavverkning</t>
        </is>
      </c>
      <c r="D2064" s="1" t="n">
        <v>46034</v>
      </c>
      <c r="E2064" s="1" t="n">
        <v>46313</v>
      </c>
      <c r="F2064" t="inlineStr">
        <is>
          <t>SÖDERMANLANDS LÄN</t>
        </is>
      </c>
      <c r="G2064" t="inlineStr">
        <is>
          <t>STRÄNGNÄS</t>
        </is>
      </c>
      <c r="I2064" t="n">
        <v>2.7</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16391-2022</t>
        </is>
      </c>
      <c r="B2065" t="inlineStr">
        <is>
          <t>avverkningsanmälan</t>
        </is>
      </c>
      <c r="C2065" t="inlineStr">
        <is>
          <t>Föryngringsavverkning</t>
        </is>
      </c>
      <c r="D2065" s="1" t="n">
        <v>44671</v>
      </c>
      <c r="E2065" s="1" t="n">
        <v>46313</v>
      </c>
      <c r="F2065" t="inlineStr">
        <is>
          <t>SÖDERMANLANDS LÄN</t>
        </is>
      </c>
      <c r="G2065" t="inlineStr">
        <is>
          <t>ESKILSTUNA</t>
        </is>
      </c>
      <c r="I2065" t="n">
        <v>1.5</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1553-2026</t>
        </is>
      </c>
      <c r="B2066" t="inlineStr">
        <is>
          <t>avverkningsanmälan</t>
        </is>
      </c>
      <c r="C2066" t="inlineStr">
        <is>
          <t>Föryngringsavverkning</t>
        </is>
      </c>
      <c r="D2066" s="1" t="n">
        <v>46034</v>
      </c>
      <c r="E2066" s="1" t="n">
        <v>46313</v>
      </c>
      <c r="F2066" t="inlineStr">
        <is>
          <t>SÖDERMANLANDS LÄN</t>
        </is>
      </c>
      <c r="G2066" t="inlineStr">
        <is>
          <t>STRÄNGNÄS</t>
        </is>
      </c>
      <c r="I2066" t="n">
        <v>3.3</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58635-2024</t>
        </is>
      </c>
      <c r="B2067" t="inlineStr">
        <is>
          <t>avverkningsanmälan</t>
        </is>
      </c>
      <c r="C2067" t="inlineStr">
        <is>
          <t>Föryngringsavverkning</t>
        </is>
      </c>
      <c r="D2067" s="1" t="n">
        <v>45632</v>
      </c>
      <c r="E2067" s="1" t="n">
        <v>46313</v>
      </c>
      <c r="F2067" t="inlineStr">
        <is>
          <t>SÖDERMANLANDS LÄN</t>
        </is>
      </c>
      <c r="G2067" t="inlineStr">
        <is>
          <t>FLEN</t>
        </is>
      </c>
      <c r="I2067" t="n">
        <v>1.5</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16414-2022</t>
        </is>
      </c>
      <c r="B2068" t="inlineStr">
        <is>
          <t>avverkningsanmälan</t>
        </is>
      </c>
      <c r="C2068" t="inlineStr">
        <is>
          <t>Föryngringsavverkning</t>
        </is>
      </c>
      <c r="D2068" s="1" t="n">
        <v>44671</v>
      </c>
      <c r="E2068" s="1" t="n">
        <v>46313</v>
      </c>
      <c r="F2068" t="inlineStr">
        <is>
          <t>SÖDERMANLANDS LÄN</t>
        </is>
      </c>
      <c r="G2068" t="inlineStr">
        <is>
          <t>STRÄNGNÄS</t>
        </is>
      </c>
      <c r="H2068" t="inlineStr">
        <is>
          <t>Övriga Aktiebolag</t>
        </is>
      </c>
      <c r="I2068" t="n">
        <v>3.6</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2007-2026</t>
        </is>
      </c>
      <c r="B2069" t="inlineStr">
        <is>
          <t>avverkningsanmälan</t>
        </is>
      </c>
      <c r="C2069" t="inlineStr">
        <is>
          <t>Föryngringsavverkning</t>
        </is>
      </c>
      <c r="D2069" s="1" t="n">
        <v>46035</v>
      </c>
      <c r="E2069" s="1" t="n">
        <v>46313</v>
      </c>
      <c r="F2069" t="inlineStr">
        <is>
          <t>SÖDERMANLANDS LÄN</t>
        </is>
      </c>
      <c r="G2069" t="inlineStr">
        <is>
          <t>STRÄNGNÄS</t>
        </is>
      </c>
      <c r="I2069" t="n">
        <v>1</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43964-2022</t>
        </is>
      </c>
      <c r="B2070" t="inlineStr">
        <is>
          <t>avverkningsanmälan</t>
        </is>
      </c>
      <c r="C2070" t="inlineStr">
        <is>
          <t>Föryngringsavverkning</t>
        </is>
      </c>
      <c r="D2070" s="1" t="n">
        <v>44837</v>
      </c>
      <c r="E2070" s="1" t="n">
        <v>46313</v>
      </c>
      <c r="F2070" t="inlineStr">
        <is>
          <t>SÖDERMANLANDS LÄN</t>
        </is>
      </c>
      <c r="G2070" t="inlineStr">
        <is>
          <t>KATRINEHOLM</t>
        </is>
      </c>
      <c r="I2070" t="n">
        <v>3.6</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23541-2023</t>
        </is>
      </c>
      <c r="B2071" t="inlineStr">
        <is>
          <t>avverkningsanmälan</t>
        </is>
      </c>
      <c r="C2071" t="inlineStr">
        <is>
          <t>Föryngringsavverkning</t>
        </is>
      </c>
      <c r="D2071" s="1" t="n">
        <v>45077</v>
      </c>
      <c r="E2071" s="1" t="n">
        <v>46313</v>
      </c>
      <c r="F2071" t="inlineStr">
        <is>
          <t>SÖDERMANLANDS LÄN</t>
        </is>
      </c>
      <c r="G2071" t="inlineStr">
        <is>
          <t>STRÄNGNÄS</t>
        </is>
      </c>
      <c r="I2071" t="n">
        <v>3.1</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25303-2026</t>
        </is>
      </c>
      <c r="B2072" t="inlineStr">
        <is>
          <t>avverkningsanmälan</t>
        </is>
      </c>
      <c r="C2072" t="inlineStr">
        <is>
          <t>Föryngringsavverkning</t>
        </is>
      </c>
      <c r="D2072" s="1" t="n">
        <v>46176</v>
      </c>
      <c r="E2072" s="1" t="n">
        <v>46313</v>
      </c>
      <c r="F2072" t="inlineStr">
        <is>
          <t>SÖDERMANLANDS LÄN</t>
        </is>
      </c>
      <c r="G2072" t="inlineStr">
        <is>
          <t>FLEN</t>
        </is>
      </c>
      <c r="H2072" t="inlineStr">
        <is>
          <t>Holmen skog AB</t>
        </is>
      </c>
      <c r="I2072" t="n">
        <v>0.9</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46075-2023</t>
        </is>
      </c>
      <c r="B2073" t="inlineStr">
        <is>
          <t>avverkningsanmälan</t>
        </is>
      </c>
      <c r="C2073" t="inlineStr">
        <is>
          <t>Föryngringsavverkning</t>
        </is>
      </c>
      <c r="D2073" s="1" t="n">
        <v>45196</v>
      </c>
      <c r="E2073" s="1" t="n">
        <v>46313</v>
      </c>
      <c r="F2073" t="inlineStr">
        <is>
          <t>SÖDERMANLANDS LÄN</t>
        </is>
      </c>
      <c r="G2073" t="inlineStr">
        <is>
          <t>KATRINEHOLM</t>
        </is>
      </c>
      <c r="H2073" t="inlineStr">
        <is>
          <t>Övriga Aktiebolag</t>
        </is>
      </c>
      <c r="I2073" t="n">
        <v>9.5</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25334-2026</t>
        </is>
      </c>
      <c r="B2074" t="inlineStr">
        <is>
          <t>avverkningsanmälan</t>
        </is>
      </c>
      <c r="C2074" t="inlineStr">
        <is>
          <t>Föryngringsavverkning</t>
        </is>
      </c>
      <c r="D2074" s="1" t="n">
        <v>46176</v>
      </c>
      <c r="E2074" s="1" t="n">
        <v>46313</v>
      </c>
      <c r="F2074" t="inlineStr">
        <is>
          <t>SÖDERMANLANDS LÄN</t>
        </is>
      </c>
      <c r="G2074" t="inlineStr">
        <is>
          <t>NYKÖPING</t>
        </is>
      </c>
      <c r="I2074" t="n">
        <v>2.2</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25336-2026</t>
        </is>
      </c>
      <c r="B2075" t="inlineStr">
        <is>
          <t>avverkningsanmälan</t>
        </is>
      </c>
      <c r="C2075" t="inlineStr">
        <is>
          <t>Föryngringsavverkning</t>
        </is>
      </c>
      <c r="D2075" s="1" t="n">
        <v>46176</v>
      </c>
      <c r="E2075" s="1" t="n">
        <v>46313</v>
      </c>
      <c r="F2075" t="inlineStr">
        <is>
          <t>SÖDERMANLANDS LÄN</t>
        </is>
      </c>
      <c r="G2075" t="inlineStr">
        <is>
          <t>NYKÖPING</t>
        </is>
      </c>
      <c r="I2075" t="n">
        <v>0.5</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1757-2026</t>
        </is>
      </c>
      <c r="B2076" t="inlineStr">
        <is>
          <t>avverkningsanmälan</t>
        </is>
      </c>
      <c r="C2076" t="inlineStr">
        <is>
          <t>Föryngringsavverkning</t>
        </is>
      </c>
      <c r="D2076" s="1" t="n">
        <v>46034</v>
      </c>
      <c r="E2076" s="1" t="n">
        <v>46313</v>
      </c>
      <c r="F2076" t="inlineStr">
        <is>
          <t>SÖDERMANLANDS LÄN</t>
        </is>
      </c>
      <c r="G2076" t="inlineStr">
        <is>
          <t>STRÄNGNÄS</t>
        </is>
      </c>
      <c r="I2076" t="n">
        <v>2.5</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2901-2024</t>
        </is>
      </c>
      <c r="B2077" t="inlineStr">
        <is>
          <t>avverkningsanmälan</t>
        </is>
      </c>
      <c r="C2077" t="inlineStr">
        <is>
          <t>Föryngringsavverkning</t>
        </is>
      </c>
      <c r="D2077" s="1" t="n">
        <v>45315</v>
      </c>
      <c r="E2077" s="1" t="n">
        <v>46313</v>
      </c>
      <c r="F2077" t="inlineStr">
        <is>
          <t>SÖDERMANLANDS LÄN</t>
        </is>
      </c>
      <c r="G2077" t="inlineStr">
        <is>
          <t>FLEN</t>
        </is>
      </c>
      <c r="I2077" t="n">
        <v>2.6</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3798-2024</t>
        </is>
      </c>
      <c r="B2078" t="inlineStr">
        <is>
          <t>avverkningsanmälan</t>
        </is>
      </c>
      <c r="C2078" t="inlineStr">
        <is>
          <t>Föryngringsavverkning</t>
        </is>
      </c>
      <c r="D2078" s="1" t="n">
        <v>45321</v>
      </c>
      <c r="E2078" s="1" t="n">
        <v>46313</v>
      </c>
      <c r="F2078" t="inlineStr">
        <is>
          <t>SÖDERMANLANDS LÄN</t>
        </is>
      </c>
      <c r="G2078" t="inlineStr">
        <is>
          <t>FLEN</t>
        </is>
      </c>
      <c r="I2078" t="n">
        <v>3.7</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9992-2022</t>
        </is>
      </c>
      <c r="B2079" t="inlineStr">
        <is>
          <t>avverkningsanmälan</t>
        </is>
      </c>
      <c r="C2079" t="inlineStr">
        <is>
          <t>Föryngringsavverkning</t>
        </is>
      </c>
      <c r="D2079" s="1" t="n">
        <v>44621</v>
      </c>
      <c r="E2079" s="1" t="n">
        <v>46313</v>
      </c>
      <c r="F2079" t="inlineStr">
        <is>
          <t>SÖDERMANLANDS LÄN</t>
        </is>
      </c>
      <c r="G2079" t="inlineStr">
        <is>
          <t>KATRINEHOLM</t>
        </is>
      </c>
      <c r="I2079" t="n">
        <v>1.6</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10891-2026</t>
        </is>
      </c>
      <c r="B2080" t="inlineStr">
        <is>
          <t>avverkningsanmälan</t>
        </is>
      </c>
      <c r="C2080" t="inlineStr">
        <is>
          <t>Föryngringsavverkning</t>
        </is>
      </c>
      <c r="D2080" s="1" t="n">
        <v>46078</v>
      </c>
      <c r="E2080" s="1" t="n">
        <v>46313</v>
      </c>
      <c r="F2080" t="inlineStr">
        <is>
          <t>SÖDERMANLANDS LÄN</t>
        </is>
      </c>
      <c r="G2080" t="inlineStr">
        <is>
          <t>KATRINEHOLM</t>
        </is>
      </c>
      <c r="H2080" t="inlineStr">
        <is>
          <t>Allmännings- och besparingsskogar</t>
        </is>
      </c>
      <c r="I2080" t="n">
        <v>1.6</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1624-2026</t>
        </is>
      </c>
      <c r="B2081" t="inlineStr">
        <is>
          <t>avverkningsanmälan</t>
        </is>
      </c>
      <c r="C2081" t="inlineStr">
        <is>
          <t>Föryngringsavverkning</t>
        </is>
      </c>
      <c r="D2081" s="1" t="n">
        <v>46034</v>
      </c>
      <c r="E2081" s="1" t="n">
        <v>46313</v>
      </c>
      <c r="F2081" t="inlineStr">
        <is>
          <t>SÖDERMANLANDS LÄN</t>
        </is>
      </c>
      <c r="G2081" t="inlineStr">
        <is>
          <t>STRÄNGNÄS</t>
        </is>
      </c>
      <c r="I2081" t="n">
        <v>3.8</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1686-2026</t>
        </is>
      </c>
      <c r="B2082" t="inlineStr">
        <is>
          <t>avverkningsanmälan</t>
        </is>
      </c>
      <c r="C2082" t="inlineStr">
        <is>
          <t>Föryngringsavverkning</t>
        </is>
      </c>
      <c r="D2082" s="1" t="n">
        <v>46034</v>
      </c>
      <c r="E2082" s="1" t="n">
        <v>46313</v>
      </c>
      <c r="F2082" t="inlineStr">
        <is>
          <t>SÖDERMANLANDS LÄN</t>
        </is>
      </c>
      <c r="G2082" t="inlineStr">
        <is>
          <t>NYKÖPING</t>
        </is>
      </c>
      <c r="H2082" t="inlineStr">
        <is>
          <t>Holmen skog AB</t>
        </is>
      </c>
      <c r="I2082" t="n">
        <v>2</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1744-2026</t>
        </is>
      </c>
      <c r="B2083" t="inlineStr">
        <is>
          <t>avverkningsanmälan</t>
        </is>
      </c>
      <c r="C2083" t="inlineStr">
        <is>
          <t>Föryngringsavverkning</t>
        </is>
      </c>
      <c r="D2083" s="1" t="n">
        <v>46034</v>
      </c>
      <c r="E2083" s="1" t="n">
        <v>46313</v>
      </c>
      <c r="F2083" t="inlineStr">
        <is>
          <t>SÖDERMANLANDS LÄN</t>
        </is>
      </c>
      <c r="G2083" t="inlineStr">
        <is>
          <t>STRÄNGNÄS</t>
        </is>
      </c>
      <c r="I2083" t="n">
        <v>3</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1660-2026</t>
        </is>
      </c>
      <c r="B2084" t="inlineStr">
        <is>
          <t>avverkningsanmälan</t>
        </is>
      </c>
      <c r="C2084" t="inlineStr">
        <is>
          <t>Föryngringsavverkning</t>
        </is>
      </c>
      <c r="D2084" s="1" t="n">
        <v>46034</v>
      </c>
      <c r="E2084" s="1" t="n">
        <v>46313</v>
      </c>
      <c r="F2084" t="inlineStr">
        <is>
          <t>SÖDERMANLANDS LÄN</t>
        </is>
      </c>
      <c r="G2084" t="inlineStr">
        <is>
          <t>STRÄNGNÄS</t>
        </is>
      </c>
      <c r="I2084" t="n">
        <v>4.4</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3193-2022</t>
        </is>
      </c>
      <c r="B2085" t="inlineStr">
        <is>
          <t>avverkningsanmälan</t>
        </is>
      </c>
      <c r="C2085" t="inlineStr">
        <is>
          <t>Föryngringsavverkning</t>
        </is>
      </c>
      <c r="D2085" s="1" t="n">
        <v>44582</v>
      </c>
      <c r="E2085" s="1" t="n">
        <v>46313</v>
      </c>
      <c r="F2085" t="inlineStr">
        <is>
          <t>SÖDERMANLANDS LÄN</t>
        </is>
      </c>
      <c r="G2085" t="inlineStr">
        <is>
          <t>NYKÖPING</t>
        </is>
      </c>
      <c r="I2085" t="n">
        <v>1</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1915-2026</t>
        </is>
      </c>
      <c r="B2086" t="inlineStr">
        <is>
          <t>avverkningsanmälan</t>
        </is>
      </c>
      <c r="C2086" t="inlineStr">
        <is>
          <t>Föryngringsavverkning</t>
        </is>
      </c>
      <c r="D2086" s="1" t="n">
        <v>46035</v>
      </c>
      <c r="E2086" s="1" t="n">
        <v>46313</v>
      </c>
      <c r="F2086" t="inlineStr">
        <is>
          <t>SÖDERMANLANDS LÄN</t>
        </is>
      </c>
      <c r="G2086" t="inlineStr">
        <is>
          <t>STRÄNGNÄS</t>
        </is>
      </c>
      <c r="I2086" t="n">
        <v>0.9</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1496-2026</t>
        </is>
      </c>
      <c r="B2087" t="inlineStr">
        <is>
          <t>avverkningsanmälan</t>
        </is>
      </c>
      <c r="C2087" t="inlineStr">
        <is>
          <t>Föryngringsavverkning</t>
        </is>
      </c>
      <c r="D2087" s="1" t="n">
        <v>46034</v>
      </c>
      <c r="E2087" s="1" t="n">
        <v>46313</v>
      </c>
      <c r="F2087" t="inlineStr">
        <is>
          <t>SÖDERMANLANDS LÄN</t>
        </is>
      </c>
      <c r="G2087" t="inlineStr">
        <is>
          <t>STRÄNGNÄS</t>
        </is>
      </c>
      <c r="I2087" t="n">
        <v>6.2</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2636-2026</t>
        </is>
      </c>
      <c r="B2088" t="inlineStr">
        <is>
          <t>avverkningsanmälan</t>
        </is>
      </c>
      <c r="C2088" t="inlineStr">
        <is>
          <t>Föryngringsavverkning</t>
        </is>
      </c>
      <c r="D2088" s="1" t="n">
        <v>46037</v>
      </c>
      <c r="E2088" s="1" t="n">
        <v>46313</v>
      </c>
      <c r="F2088" t="inlineStr">
        <is>
          <t>SÖDERMANLANDS LÄN</t>
        </is>
      </c>
      <c r="G2088" t="inlineStr">
        <is>
          <t>STRÄNGNÄS</t>
        </is>
      </c>
      <c r="I2088" t="n">
        <v>0.7</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2425-2026</t>
        </is>
      </c>
      <c r="B2089" t="inlineStr">
        <is>
          <t>avverkningsanmälan</t>
        </is>
      </c>
      <c r="C2089" t="inlineStr">
        <is>
          <t>Föryngringsavverkning</t>
        </is>
      </c>
      <c r="D2089" s="1" t="n">
        <v>46036</v>
      </c>
      <c r="E2089" s="1" t="n">
        <v>46313</v>
      </c>
      <c r="F2089" t="inlineStr">
        <is>
          <t>SÖDERMANLANDS LÄN</t>
        </is>
      </c>
      <c r="G2089" t="inlineStr">
        <is>
          <t>NYKÖPING</t>
        </is>
      </c>
      <c r="I2089" t="n">
        <v>1.3</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2368-2026</t>
        </is>
      </c>
      <c r="B2090" t="inlineStr">
        <is>
          <t>avverkningsanmälan</t>
        </is>
      </c>
      <c r="C2090" t="inlineStr">
        <is>
          <t>Föryngringsavverkning</t>
        </is>
      </c>
      <c r="D2090" s="1" t="n">
        <v>46036</v>
      </c>
      <c r="E2090" s="1" t="n">
        <v>46313</v>
      </c>
      <c r="F2090" t="inlineStr">
        <is>
          <t>SÖDERMANLANDS LÄN</t>
        </is>
      </c>
      <c r="G2090" t="inlineStr">
        <is>
          <t>STRÄNGNÄS</t>
        </is>
      </c>
      <c r="I2090" t="n">
        <v>1.3</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26318-2026</t>
        </is>
      </c>
      <c r="B2091" t="inlineStr">
        <is>
          <t>avverkningsanmälan</t>
        </is>
      </c>
      <c r="C2091" t="inlineStr">
        <is>
          <t>Föryngringsavverkning</t>
        </is>
      </c>
      <c r="D2091" s="1" t="n">
        <v>46181</v>
      </c>
      <c r="E2091" s="1" t="n">
        <v>46313</v>
      </c>
      <c r="F2091" t="inlineStr">
        <is>
          <t>SÖDERMANLANDS LÄN</t>
        </is>
      </c>
      <c r="G2091" t="inlineStr">
        <is>
          <t>FLEN</t>
        </is>
      </c>
      <c r="I2091" t="n">
        <v>3.4</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26326-2026</t>
        </is>
      </c>
      <c r="B2092" t="inlineStr">
        <is>
          <t>avverkningsanmälan</t>
        </is>
      </c>
      <c r="C2092" t="inlineStr">
        <is>
          <t>Föryngringsavverkning</t>
        </is>
      </c>
      <c r="D2092" s="1" t="n">
        <v>46181</v>
      </c>
      <c r="E2092" s="1" t="n">
        <v>46313</v>
      </c>
      <c r="F2092" t="inlineStr">
        <is>
          <t>SÖDERMANLANDS LÄN</t>
        </is>
      </c>
      <c r="G2092" t="inlineStr">
        <is>
          <t>FLEN</t>
        </is>
      </c>
      <c r="I2092" t="n">
        <v>1.6</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2071-2026</t>
        </is>
      </c>
      <c r="B2093" t="inlineStr">
        <is>
          <t>avverkningsanmälan</t>
        </is>
      </c>
      <c r="C2093" t="inlineStr">
        <is>
          <t>Föryngringsavverkning</t>
        </is>
      </c>
      <c r="D2093" s="1" t="n">
        <v>46036</v>
      </c>
      <c r="E2093" s="1" t="n">
        <v>46313</v>
      </c>
      <c r="F2093" t="inlineStr">
        <is>
          <t>SÖDERMANLANDS LÄN</t>
        </is>
      </c>
      <c r="G2093" t="inlineStr">
        <is>
          <t>FLEN</t>
        </is>
      </c>
      <c r="H2093" t="inlineStr">
        <is>
          <t>Holmen skog AB</t>
        </is>
      </c>
      <c r="I2093" t="n">
        <v>1.6</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2401-2026</t>
        </is>
      </c>
      <c r="B2094" t="inlineStr">
        <is>
          <t>avverkningsanmälan</t>
        </is>
      </c>
      <c r="C2094" t="inlineStr">
        <is>
          <t>Föryngringsavverkning</t>
        </is>
      </c>
      <c r="D2094" s="1" t="n">
        <v>46036</v>
      </c>
      <c r="E2094" s="1" t="n">
        <v>46313</v>
      </c>
      <c r="F2094" t="inlineStr">
        <is>
          <t>SÖDERMANLANDS LÄN</t>
        </is>
      </c>
      <c r="G2094" t="inlineStr">
        <is>
          <t>NYKÖPING</t>
        </is>
      </c>
      <c r="I2094" t="n">
        <v>10</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2256-2026</t>
        </is>
      </c>
      <c r="B2095" t="inlineStr">
        <is>
          <t>avverkningsanmälan</t>
        </is>
      </c>
      <c r="C2095" t="inlineStr">
        <is>
          <t>Föryngringsavverkning</t>
        </is>
      </c>
      <c r="D2095" s="1" t="n">
        <v>46036</v>
      </c>
      <c r="E2095" s="1" t="n">
        <v>46313</v>
      </c>
      <c r="F2095" t="inlineStr">
        <is>
          <t>SÖDERMANLANDS LÄN</t>
        </is>
      </c>
      <c r="G2095" t="inlineStr">
        <is>
          <t>STRÄNGNÄS</t>
        </is>
      </c>
      <c r="I2095" t="n">
        <v>3.1</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2328-2026</t>
        </is>
      </c>
      <c r="B2096" t="inlineStr">
        <is>
          <t>avverkningsanmälan</t>
        </is>
      </c>
      <c r="C2096" t="inlineStr">
        <is>
          <t>Föryngringsavverkning</t>
        </is>
      </c>
      <c r="D2096" s="1" t="n">
        <v>46036</v>
      </c>
      <c r="E2096" s="1" t="n">
        <v>46313</v>
      </c>
      <c r="F2096" t="inlineStr">
        <is>
          <t>SÖDERMANLANDS LÄN</t>
        </is>
      </c>
      <c r="G2096" t="inlineStr">
        <is>
          <t>STRÄNGNÄS</t>
        </is>
      </c>
      <c r="I2096" t="n">
        <v>5.2</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2268-2026</t>
        </is>
      </c>
      <c r="B2097" t="inlineStr">
        <is>
          <t>avverkningsanmälan</t>
        </is>
      </c>
      <c r="C2097" t="inlineStr">
        <is>
          <t>Föryngringsavverkning</t>
        </is>
      </c>
      <c r="D2097" s="1" t="n">
        <v>46036</v>
      </c>
      <c r="E2097" s="1" t="n">
        <v>46313</v>
      </c>
      <c r="F2097" t="inlineStr">
        <is>
          <t>SÖDERMANLANDS LÄN</t>
        </is>
      </c>
      <c r="G2097" t="inlineStr">
        <is>
          <t>STRÄNGNÄS</t>
        </is>
      </c>
      <c r="I2097" t="n">
        <v>2</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2302-2026</t>
        </is>
      </c>
      <c r="B2098" t="inlineStr">
        <is>
          <t>avverkningsanmälan</t>
        </is>
      </c>
      <c r="C2098" t="inlineStr">
        <is>
          <t>Föryngringsavverkning</t>
        </is>
      </c>
      <c r="D2098" s="1" t="n">
        <v>46036</v>
      </c>
      <c r="E2098" s="1" t="n">
        <v>46313</v>
      </c>
      <c r="F2098" t="inlineStr">
        <is>
          <t>SÖDERMANLANDS LÄN</t>
        </is>
      </c>
      <c r="G2098" t="inlineStr">
        <is>
          <t>STRÄNGNÄS</t>
        </is>
      </c>
      <c r="I2098" t="n">
        <v>4.3</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2223-2026</t>
        </is>
      </c>
      <c r="B2099" t="inlineStr">
        <is>
          <t>avverkningsanmälan</t>
        </is>
      </c>
      <c r="C2099" t="inlineStr">
        <is>
          <t>Föryngringsavverkning</t>
        </is>
      </c>
      <c r="D2099" s="1" t="n">
        <v>46036</v>
      </c>
      <c r="E2099" s="1" t="n">
        <v>46313</v>
      </c>
      <c r="F2099" t="inlineStr">
        <is>
          <t>SÖDERMANLANDS LÄN</t>
        </is>
      </c>
      <c r="G2099" t="inlineStr">
        <is>
          <t>NYKÖPING</t>
        </is>
      </c>
      <c r="I2099" t="n">
        <v>11.7</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2130-2026</t>
        </is>
      </c>
      <c r="B2100" t="inlineStr">
        <is>
          <t>avverkningsanmälan</t>
        </is>
      </c>
      <c r="C2100" t="inlineStr">
        <is>
          <t>Föryngringsavverkning</t>
        </is>
      </c>
      <c r="D2100" s="1" t="n">
        <v>46036</v>
      </c>
      <c r="E2100" s="1" t="n">
        <v>46313</v>
      </c>
      <c r="F2100" t="inlineStr">
        <is>
          <t>SÖDERMANLANDS LÄN</t>
        </is>
      </c>
      <c r="G2100" t="inlineStr">
        <is>
          <t>NYKÖPING</t>
        </is>
      </c>
      <c r="H2100" t="inlineStr">
        <is>
          <t>Holmen skog AB</t>
        </is>
      </c>
      <c r="I2100" t="n">
        <v>1.1</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2672-2026</t>
        </is>
      </c>
      <c r="B2101" t="inlineStr">
        <is>
          <t>avverkningsanmälan</t>
        </is>
      </c>
      <c r="C2101" t="inlineStr">
        <is>
          <t>Föryngringsavverkning</t>
        </is>
      </c>
      <c r="D2101" s="1" t="n">
        <v>46037</v>
      </c>
      <c r="E2101" s="1" t="n">
        <v>46313</v>
      </c>
      <c r="F2101" t="inlineStr">
        <is>
          <t>SÖDERMANLANDS LÄN</t>
        </is>
      </c>
      <c r="G2101" t="inlineStr">
        <is>
          <t>KATRINEHOLM</t>
        </is>
      </c>
      <c r="I2101" t="n">
        <v>2.1</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2601-2026</t>
        </is>
      </c>
      <c r="B2102" t="inlineStr">
        <is>
          <t>avverkningsanmälan</t>
        </is>
      </c>
      <c r="C2102" t="inlineStr">
        <is>
          <t>Föryngringsavverkning</t>
        </is>
      </c>
      <c r="D2102" s="1" t="n">
        <v>46037</v>
      </c>
      <c r="E2102" s="1" t="n">
        <v>46313</v>
      </c>
      <c r="F2102" t="inlineStr">
        <is>
          <t>SÖDERMANLANDS LÄN</t>
        </is>
      </c>
      <c r="G2102" t="inlineStr">
        <is>
          <t>VINGÅKER</t>
        </is>
      </c>
      <c r="I2102" t="n">
        <v>1.2</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3127-2026</t>
        </is>
      </c>
      <c r="B2103" t="inlineStr">
        <is>
          <t>avverkningsanmälan</t>
        </is>
      </c>
      <c r="C2103" t="inlineStr">
        <is>
          <t>Föryngringsavverkning</t>
        </is>
      </c>
      <c r="D2103" s="1" t="n">
        <v>46041</v>
      </c>
      <c r="E2103" s="1" t="n">
        <v>46313</v>
      </c>
      <c r="F2103" t="inlineStr">
        <is>
          <t>SÖDERMANLANDS LÄN</t>
        </is>
      </c>
      <c r="G2103" t="inlineStr">
        <is>
          <t>STRÄNGNÄS</t>
        </is>
      </c>
      <c r="I2103" t="n">
        <v>3.3</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3207-2026</t>
        </is>
      </c>
      <c r="B2104" t="inlineStr">
        <is>
          <t>avverkningsanmälan</t>
        </is>
      </c>
      <c r="C2104" t="inlineStr">
        <is>
          <t>Föryngringsavverkning</t>
        </is>
      </c>
      <c r="D2104" s="1" t="n">
        <v>46041</v>
      </c>
      <c r="E2104" s="1" t="n">
        <v>46313</v>
      </c>
      <c r="F2104" t="inlineStr">
        <is>
          <t>SÖDERMANLANDS LÄN</t>
        </is>
      </c>
      <c r="G2104" t="inlineStr">
        <is>
          <t>STRÄNGNÄS</t>
        </is>
      </c>
      <c r="I2104" t="n">
        <v>1.2</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44659-2023</t>
        </is>
      </c>
      <c r="B2105" t="inlineStr">
        <is>
          <t>avverkningsanmälan</t>
        </is>
      </c>
      <c r="C2105" t="inlineStr">
        <is>
          <t>Föryngringsavverkning</t>
        </is>
      </c>
      <c r="D2105" s="1" t="n">
        <v>45189</v>
      </c>
      <c r="E2105" s="1" t="n">
        <v>46313</v>
      </c>
      <c r="F2105" t="inlineStr">
        <is>
          <t>SÖDERMANLANDS LÄN</t>
        </is>
      </c>
      <c r="G2105" t="inlineStr">
        <is>
          <t>KATRINEHOLM</t>
        </is>
      </c>
      <c r="I2105" t="n">
        <v>3.5</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3473-2026</t>
        </is>
      </c>
      <c r="B2106" t="inlineStr">
        <is>
          <t>avverkningsanmälan</t>
        </is>
      </c>
      <c r="C2106" t="inlineStr">
        <is>
          <t>Föryngringsavverkning</t>
        </is>
      </c>
      <c r="D2106" s="1" t="n">
        <v>46042</v>
      </c>
      <c r="E2106" s="1" t="n">
        <v>46313</v>
      </c>
      <c r="F2106" t="inlineStr">
        <is>
          <t>SÖDERMANLANDS LÄN</t>
        </is>
      </c>
      <c r="G2106" t="inlineStr">
        <is>
          <t>NYKÖPING</t>
        </is>
      </c>
      <c r="I2106" t="n">
        <v>4.4</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25483-2026</t>
        </is>
      </c>
      <c r="B2107" t="inlineStr">
        <is>
          <t>avverkningsanmälan</t>
        </is>
      </c>
      <c r="C2107" t="inlineStr">
        <is>
          <t>Föryngringsavverkning</t>
        </is>
      </c>
      <c r="D2107" s="1" t="n">
        <v>46177</v>
      </c>
      <c r="E2107" s="1" t="n">
        <v>46313</v>
      </c>
      <c r="F2107" t="inlineStr">
        <is>
          <t>SÖDERMANLANDS LÄN</t>
        </is>
      </c>
      <c r="G2107" t="inlineStr">
        <is>
          <t>ESKILSTUNA</t>
        </is>
      </c>
      <c r="I2107" t="n">
        <v>1.3</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7756-2024</t>
        </is>
      </c>
      <c r="B2108" t="inlineStr">
        <is>
          <t>avverkningsanmälan</t>
        </is>
      </c>
      <c r="C2108" t="inlineStr">
        <is>
          <t>Föryngringsavverkning</t>
        </is>
      </c>
      <c r="D2108" s="1" t="n">
        <v>45348</v>
      </c>
      <c r="E2108" s="1" t="n">
        <v>46313</v>
      </c>
      <c r="F2108" t="inlineStr">
        <is>
          <t>SÖDERMANLANDS LÄN</t>
        </is>
      </c>
      <c r="G2108" t="inlineStr">
        <is>
          <t>NYKÖPING</t>
        </is>
      </c>
      <c r="I2108" t="n">
        <v>1.8</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57484-2025</t>
        </is>
      </c>
      <c r="B2109" t="inlineStr">
        <is>
          <t>avverkningsanmälan</t>
        </is>
      </c>
      <c r="C2109" t="inlineStr">
        <is>
          <t>Avverkning för annat ändamål</t>
        </is>
      </c>
      <c r="D2109" s="1" t="n">
        <v>45980</v>
      </c>
      <c r="E2109" s="1" t="n">
        <v>46313</v>
      </c>
      <c r="F2109" t="inlineStr">
        <is>
          <t>SÖDERMANLANDS LÄN</t>
        </is>
      </c>
      <c r="G2109" t="inlineStr">
        <is>
          <t>STRÄNGNÄS</t>
        </is>
      </c>
      <c r="I2109" t="n">
        <v>2.2</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4406-2024</t>
        </is>
      </c>
      <c r="B2110" t="inlineStr">
        <is>
          <t>avverkningsanmälan</t>
        </is>
      </c>
      <c r="C2110" t="inlineStr">
        <is>
          <t>Föryngringsavverkning</t>
        </is>
      </c>
      <c r="D2110" s="1" t="n">
        <v>45327</v>
      </c>
      <c r="E2110" s="1" t="n">
        <v>46313</v>
      </c>
      <c r="F2110" t="inlineStr">
        <is>
          <t>SÖDERMANLANDS LÄN</t>
        </is>
      </c>
      <c r="G2110" t="inlineStr">
        <is>
          <t>NYKÖPING</t>
        </is>
      </c>
      <c r="H2110" t="inlineStr">
        <is>
          <t>Holmen skog AB</t>
        </is>
      </c>
      <c r="I2110" t="n">
        <v>2.5</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3337-2026</t>
        </is>
      </c>
      <c r="B2111" t="inlineStr">
        <is>
          <t>avverkningsanmälan</t>
        </is>
      </c>
      <c r="C2111" t="inlineStr">
        <is>
          <t>Föryngringsavverkning</t>
        </is>
      </c>
      <c r="D2111" s="1" t="n">
        <v>46041</v>
      </c>
      <c r="E2111" s="1" t="n">
        <v>46313</v>
      </c>
      <c r="F2111" t="inlineStr">
        <is>
          <t>SÖDERMANLANDS LÄN</t>
        </is>
      </c>
      <c r="G2111" t="inlineStr">
        <is>
          <t>TROSA</t>
        </is>
      </c>
      <c r="I2111" t="n">
        <v>6.3</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3342-2026</t>
        </is>
      </c>
      <c r="B2112" t="inlineStr">
        <is>
          <t>avverkningsanmälan</t>
        </is>
      </c>
      <c r="C2112" t="inlineStr">
        <is>
          <t>Föryngringsavverkning</t>
        </is>
      </c>
      <c r="D2112" s="1" t="n">
        <v>46041</v>
      </c>
      <c r="E2112" s="1" t="n">
        <v>46313</v>
      </c>
      <c r="F2112" t="inlineStr">
        <is>
          <t>SÖDERMANLANDS LÄN</t>
        </is>
      </c>
      <c r="G2112" t="inlineStr">
        <is>
          <t>NYKÖPING</t>
        </is>
      </c>
      <c r="H2112" t="inlineStr">
        <is>
          <t>Holmen skog AB</t>
        </is>
      </c>
      <c r="I2112" t="n">
        <v>0.9</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3344-2026</t>
        </is>
      </c>
      <c r="B2113" t="inlineStr">
        <is>
          <t>avverkningsanmälan</t>
        </is>
      </c>
      <c r="C2113" t="inlineStr">
        <is>
          <t>Föryngringsavverkning</t>
        </is>
      </c>
      <c r="D2113" s="1" t="n">
        <v>46041</v>
      </c>
      <c r="E2113" s="1" t="n">
        <v>46313</v>
      </c>
      <c r="F2113" t="inlineStr">
        <is>
          <t>SÖDERMANLANDS LÄN</t>
        </is>
      </c>
      <c r="G2113" t="inlineStr">
        <is>
          <t>NYKÖPING</t>
        </is>
      </c>
      <c r="H2113" t="inlineStr">
        <is>
          <t>Holmen skog AB</t>
        </is>
      </c>
      <c r="I2113" t="n">
        <v>1.2</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3346-2026</t>
        </is>
      </c>
      <c r="B2114" t="inlineStr">
        <is>
          <t>avverkningsanmälan</t>
        </is>
      </c>
      <c r="C2114" t="inlineStr">
        <is>
          <t>Föryngringsavverkning</t>
        </is>
      </c>
      <c r="D2114" s="1" t="n">
        <v>46041</v>
      </c>
      <c r="E2114" s="1" t="n">
        <v>46313</v>
      </c>
      <c r="F2114" t="inlineStr">
        <is>
          <t>SÖDERMANLANDS LÄN</t>
        </is>
      </c>
      <c r="G2114" t="inlineStr">
        <is>
          <t>TROSA</t>
        </is>
      </c>
      <c r="I2114" t="n">
        <v>3.3</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16937-2022</t>
        </is>
      </c>
      <c r="B2115" t="inlineStr">
        <is>
          <t>avverkningsanmälan</t>
        </is>
      </c>
      <c r="C2115" t="inlineStr">
        <is>
          <t>Föryngringsavverkning</t>
        </is>
      </c>
      <c r="D2115" s="1" t="n">
        <v>44676</v>
      </c>
      <c r="E2115" s="1" t="n">
        <v>46313</v>
      </c>
      <c r="F2115" t="inlineStr">
        <is>
          <t>SÖDERMANLANDS LÄN</t>
        </is>
      </c>
      <c r="G2115" t="inlineStr">
        <is>
          <t>FLEN</t>
        </is>
      </c>
      <c r="I2115" t="n">
        <v>1.1</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48682-2022</t>
        </is>
      </c>
      <c r="B2116" t="inlineStr">
        <is>
          <t>avverkningsanmälan</t>
        </is>
      </c>
      <c r="C2116" t="inlineStr">
        <is>
          <t>Föryngringsavverkning</t>
        </is>
      </c>
      <c r="D2116" s="1" t="n">
        <v>44859</v>
      </c>
      <c r="E2116" s="1" t="n">
        <v>46313</v>
      </c>
      <c r="F2116" t="inlineStr">
        <is>
          <t>SÖDERMANLANDS LÄN</t>
        </is>
      </c>
      <c r="G2116" t="inlineStr">
        <is>
          <t>KATRINEHOLM</t>
        </is>
      </c>
      <c r="I2116" t="n">
        <v>2</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20301-2025</t>
        </is>
      </c>
      <c r="B2117" t="inlineStr">
        <is>
          <t>avverkningsanmälan</t>
        </is>
      </c>
      <c r="C2117" t="inlineStr">
        <is>
          <t>Föryngringsavverkning</t>
        </is>
      </c>
      <c r="D2117" s="1" t="n">
        <v>45774</v>
      </c>
      <c r="E2117" s="1" t="n">
        <v>46313</v>
      </c>
      <c r="F2117" t="inlineStr">
        <is>
          <t>SÖDERMANLANDS LÄN</t>
        </is>
      </c>
      <c r="G2117" t="inlineStr">
        <is>
          <t>VINGÅKER</t>
        </is>
      </c>
      <c r="I2117" t="n">
        <v>7.5</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38155-2022</t>
        </is>
      </c>
      <c r="B2118" t="inlineStr">
        <is>
          <t>avverkningsanmälan</t>
        </is>
      </c>
      <c r="C2118" t="inlineStr">
        <is>
          <t>Föryngringsavverkning</t>
        </is>
      </c>
      <c r="D2118" s="1" t="n">
        <v>44812</v>
      </c>
      <c r="E2118" s="1" t="n">
        <v>46313</v>
      </c>
      <c r="F2118" t="inlineStr">
        <is>
          <t>SÖDERMANLANDS LÄN</t>
        </is>
      </c>
      <c r="G2118" t="inlineStr">
        <is>
          <t>NYKÖPING</t>
        </is>
      </c>
      <c r="I2118" t="n">
        <v>0.6</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A 64081-2023</t>
        </is>
      </c>
      <c r="B2119" t="inlineStr">
        <is>
          <t>avverkningsanmälan</t>
        </is>
      </c>
      <c r="C2119" t="inlineStr">
        <is>
          <t>Föryngringsavverkning</t>
        </is>
      </c>
      <c r="D2119" s="1" t="n">
        <v>45279</v>
      </c>
      <c r="E2119" s="1" t="n">
        <v>46313</v>
      </c>
      <c r="F2119" t="inlineStr">
        <is>
          <t>SÖDERMANLANDS LÄN</t>
        </is>
      </c>
      <c r="G2119" t="inlineStr">
        <is>
          <t>NYKÖPING</t>
        </is>
      </c>
      <c r="I2119" t="n">
        <v>5.3</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A 4151-2026</t>
        </is>
      </c>
      <c r="B2120" t="inlineStr">
        <is>
          <t>avverkningsanmälan</t>
        </is>
      </c>
      <c r="C2120" t="inlineStr">
        <is>
          <t>Föryngringsavverkning</t>
        </is>
      </c>
      <c r="D2120" s="1" t="n">
        <v>46044</v>
      </c>
      <c r="E2120" s="1" t="n">
        <v>46313</v>
      </c>
      <c r="F2120" t="inlineStr">
        <is>
          <t>SÖDERMANLANDS LÄN</t>
        </is>
      </c>
      <c r="G2120" t="inlineStr">
        <is>
          <t>STRÄNGNÄS</t>
        </is>
      </c>
      <c r="I2120" t="n">
        <v>4.6</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A 32079-2024</t>
        </is>
      </c>
      <c r="B2121" t="inlineStr">
        <is>
          <t>avverkningsanmälan</t>
        </is>
      </c>
      <c r="C2121" t="inlineStr">
        <is>
          <t>Föryngringsavverkning</t>
        </is>
      </c>
      <c r="D2121" s="1" t="n">
        <v>45511</v>
      </c>
      <c r="E2121" s="1" t="n">
        <v>46313</v>
      </c>
      <c r="F2121" t="inlineStr">
        <is>
          <t>SÖDERMANLANDS LÄN</t>
        </is>
      </c>
      <c r="G2121" t="inlineStr">
        <is>
          <t>STRÄNGNÄS</t>
        </is>
      </c>
      <c r="I2121" t="n">
        <v>3.2</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A 10662-2024</t>
        </is>
      </c>
      <c r="B2122" t="inlineStr">
        <is>
          <t>avverkningsanmälan</t>
        </is>
      </c>
      <c r="C2122" t="inlineStr">
        <is>
          <t>Föryngringsavverkning</t>
        </is>
      </c>
      <c r="D2122" s="1" t="n">
        <v>45369</v>
      </c>
      <c r="E2122" s="1" t="n">
        <v>46313</v>
      </c>
      <c r="F2122" t="inlineStr">
        <is>
          <t>SÖDERMANLANDS LÄN</t>
        </is>
      </c>
      <c r="G2122" t="inlineStr">
        <is>
          <t>GNESTA</t>
        </is>
      </c>
      <c r="I2122" t="n">
        <v>2</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A 5483-2023</t>
        </is>
      </c>
      <c r="B2123" t="inlineStr">
        <is>
          <t>avverkningsanmälan</t>
        </is>
      </c>
      <c r="C2123" t="inlineStr">
        <is>
          <t>Föryngringsavverkning</t>
        </is>
      </c>
      <c r="D2123" s="1" t="n">
        <v>44960</v>
      </c>
      <c r="E2123" s="1" t="n">
        <v>46313</v>
      </c>
      <c r="F2123" t="inlineStr">
        <is>
          <t>SÖDERMANLANDS LÄN</t>
        </is>
      </c>
      <c r="G2123" t="inlineStr">
        <is>
          <t>NYKÖPING</t>
        </is>
      </c>
      <c r="I2123" t="n">
        <v>0.6</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A 20355-2024</t>
        </is>
      </c>
      <c r="B2124" t="inlineStr">
        <is>
          <t>avverkningsanmälan</t>
        </is>
      </c>
      <c r="C2124" t="inlineStr">
        <is>
          <t>Föryngringsavverkning</t>
        </is>
      </c>
      <c r="D2124" s="1" t="n">
        <v>45435</v>
      </c>
      <c r="E2124" s="1" t="n">
        <v>46313</v>
      </c>
      <c r="F2124" t="inlineStr">
        <is>
          <t>SÖDERMANLANDS LÄN</t>
        </is>
      </c>
      <c r="G2124" t="inlineStr">
        <is>
          <t>ESKILSTUNA</t>
        </is>
      </c>
      <c r="I2124" t="n">
        <v>0.4</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A 4112-2026</t>
        </is>
      </c>
      <c r="B2125" t="inlineStr">
        <is>
          <t>avverkningsanmälan</t>
        </is>
      </c>
      <c r="C2125" t="inlineStr">
        <is>
          <t>Föryngringsavverkning</t>
        </is>
      </c>
      <c r="D2125" s="1" t="n">
        <v>46044</v>
      </c>
      <c r="E2125" s="1" t="n">
        <v>46313</v>
      </c>
      <c r="F2125" t="inlineStr">
        <is>
          <t>SÖDERMANLANDS LÄN</t>
        </is>
      </c>
      <c r="G2125" t="inlineStr">
        <is>
          <t>STRÄNGNÄS</t>
        </is>
      </c>
      <c r="I2125" t="n">
        <v>3.8</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A 51558-2024</t>
        </is>
      </c>
      <c r="B2126" t="inlineStr">
        <is>
          <t>avverkningsanmälan</t>
        </is>
      </c>
      <c r="C2126" t="inlineStr">
        <is>
          <t>Föryngringsavverkning</t>
        </is>
      </c>
      <c r="D2126" s="1" t="n">
        <v>45604</v>
      </c>
      <c r="E2126" s="1" t="n">
        <v>46313</v>
      </c>
      <c r="F2126" t="inlineStr">
        <is>
          <t>SÖDERMANLANDS LÄN</t>
        </is>
      </c>
      <c r="G2126" t="inlineStr">
        <is>
          <t>NYKÖPING</t>
        </is>
      </c>
      <c r="I2126" t="n">
        <v>2.1</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A 4051-2026</t>
        </is>
      </c>
      <c r="B2127" t="inlineStr">
        <is>
          <t>avverkningsanmälan</t>
        </is>
      </c>
      <c r="C2127" t="inlineStr">
        <is>
          <t>Föryngringsavverkning</t>
        </is>
      </c>
      <c r="D2127" s="1" t="n">
        <v>46044</v>
      </c>
      <c r="E2127" s="1" t="n">
        <v>46313</v>
      </c>
      <c r="F2127" t="inlineStr">
        <is>
          <t>SÖDERMANLANDS LÄN</t>
        </is>
      </c>
      <c r="G2127" t="inlineStr">
        <is>
          <t>FLEN</t>
        </is>
      </c>
      <c r="I2127" t="n">
        <v>1.9</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A 62912-2023</t>
        </is>
      </c>
      <c r="B2128" t="inlineStr">
        <is>
          <t>avverkningsanmälan</t>
        </is>
      </c>
      <c r="C2128" t="inlineStr">
        <is>
          <t>Föryngringsavverkning</t>
        </is>
      </c>
      <c r="D2128" s="1" t="n">
        <v>45272</v>
      </c>
      <c r="E2128" s="1" t="n">
        <v>46313</v>
      </c>
      <c r="F2128" t="inlineStr">
        <is>
          <t>SÖDERMANLANDS LÄN</t>
        </is>
      </c>
      <c r="G2128" t="inlineStr">
        <is>
          <t>GNESTA</t>
        </is>
      </c>
      <c r="I2128" t="n">
        <v>1.7</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A 5-2023</t>
        </is>
      </c>
      <c r="B2129" t="inlineStr">
        <is>
          <t>avverkningsanmälan</t>
        </is>
      </c>
      <c r="C2129" t="inlineStr">
        <is>
          <t>Föryngringsavverkning</t>
        </is>
      </c>
      <c r="D2129" s="1" t="n">
        <v>44927</v>
      </c>
      <c r="E2129" s="1" t="n">
        <v>46313</v>
      </c>
      <c r="F2129" t="inlineStr">
        <is>
          <t>SÖDERMANLANDS LÄN</t>
        </is>
      </c>
      <c r="G2129" t="inlineStr">
        <is>
          <t>GNESTA</t>
        </is>
      </c>
      <c r="I2129" t="n">
        <v>1.9</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A 26553-2026</t>
        </is>
      </c>
      <c r="B2130" t="inlineStr">
        <is>
          <t>avverkningsanmälan</t>
        </is>
      </c>
      <c r="C2130" t="inlineStr">
        <is>
          <t>Föryngringsavverkning</t>
        </is>
      </c>
      <c r="D2130" s="1" t="n">
        <v>46183</v>
      </c>
      <c r="E2130" s="1" t="n">
        <v>46313</v>
      </c>
      <c r="F2130" t="inlineStr">
        <is>
          <t>SÖDERMANLANDS LÄN</t>
        </is>
      </c>
      <c r="G2130" t="inlineStr">
        <is>
          <t>KATRINEHOLM</t>
        </is>
      </c>
      <c r="I2130" t="n">
        <v>3.2</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A 5210-2026</t>
        </is>
      </c>
      <c r="B2131" t="inlineStr">
        <is>
          <t>avverkningsanmälan</t>
        </is>
      </c>
      <c r="C2131" t="inlineStr">
        <is>
          <t>Föryngringsavverkning</t>
        </is>
      </c>
      <c r="D2131" s="1" t="n">
        <v>46049</v>
      </c>
      <c r="E2131" s="1" t="n">
        <v>46313</v>
      </c>
      <c r="F2131" t="inlineStr">
        <is>
          <t>SÖDERMANLANDS LÄN</t>
        </is>
      </c>
      <c r="G2131" t="inlineStr">
        <is>
          <t>NYKÖPING</t>
        </is>
      </c>
      <c r="I2131" t="n">
        <v>1.6</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A 1977-2026</t>
        </is>
      </c>
      <c r="B2132" t="inlineStr">
        <is>
          <t>avverkningsanmälan</t>
        </is>
      </c>
      <c r="C2132" t="inlineStr">
        <is>
          <t>Föryngringsavverkning</t>
        </is>
      </c>
      <c r="D2132" s="1" t="n">
        <v>46035</v>
      </c>
      <c r="E2132" s="1" t="n">
        <v>46313</v>
      </c>
      <c r="F2132" t="inlineStr">
        <is>
          <t>SÖDERMANLANDS LÄN</t>
        </is>
      </c>
      <c r="G2132" t="inlineStr">
        <is>
          <t>STRÄNGNÄS</t>
        </is>
      </c>
      <c r="I2132" t="n">
        <v>8</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A 5476-2026</t>
        </is>
      </c>
      <c r="B2133" t="inlineStr">
        <is>
          <t>avverkningsanmälan</t>
        </is>
      </c>
      <c r="C2133" t="inlineStr">
        <is>
          <t>Föryngringsavverkning</t>
        </is>
      </c>
      <c r="D2133" s="1" t="n">
        <v>46048</v>
      </c>
      <c r="E2133" s="1" t="n">
        <v>46313</v>
      </c>
      <c r="F2133" t="inlineStr">
        <is>
          <t>SÖDERMANLANDS LÄN</t>
        </is>
      </c>
      <c r="G2133" t="inlineStr">
        <is>
          <t>ESKILSTUNA</t>
        </is>
      </c>
      <c r="I2133" t="n">
        <v>2</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A 57621-2024</t>
        </is>
      </c>
      <c r="B2134" t="inlineStr">
        <is>
          <t>avverkningsanmälan</t>
        </is>
      </c>
      <c r="C2134" t="inlineStr">
        <is>
          <t>Föryngringsavverkning</t>
        </is>
      </c>
      <c r="D2134" s="1" t="n">
        <v>45630</v>
      </c>
      <c r="E2134" s="1" t="n">
        <v>46313</v>
      </c>
      <c r="F2134" t="inlineStr">
        <is>
          <t>SÖDERMANLANDS LÄN</t>
        </is>
      </c>
      <c r="G2134" t="inlineStr">
        <is>
          <t>NYKÖPING</t>
        </is>
      </c>
      <c r="I2134" t="n">
        <v>0.6</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A 26050-2026</t>
        </is>
      </c>
      <c r="B2135" t="inlineStr">
        <is>
          <t>avverkningsanmälan</t>
        </is>
      </c>
      <c r="C2135" t="inlineStr">
        <is>
          <t>Föryngringsavverkning</t>
        </is>
      </c>
      <c r="D2135" s="1" t="n">
        <v>46181</v>
      </c>
      <c r="E2135" s="1" t="n">
        <v>46313</v>
      </c>
      <c r="F2135" t="inlineStr">
        <is>
          <t>SÖDERMANLANDS LÄN</t>
        </is>
      </c>
      <c r="G2135" t="inlineStr">
        <is>
          <t>FLEN</t>
        </is>
      </c>
      <c r="H2135" t="inlineStr">
        <is>
          <t>Holmen skog AB</t>
        </is>
      </c>
      <c r="I2135" t="n">
        <v>0.4</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A 14599-2023</t>
        </is>
      </c>
      <c r="B2136" t="inlineStr">
        <is>
          <t>avverkningsanmälan</t>
        </is>
      </c>
      <c r="C2136" t="inlineStr">
        <is>
          <t>Avverkning för annat ändamål</t>
        </is>
      </c>
      <c r="D2136" s="1" t="n">
        <v>45013</v>
      </c>
      <c r="E2136" s="1" t="n">
        <v>46313</v>
      </c>
      <c r="F2136" t="inlineStr">
        <is>
          <t>SÖDERMANLANDS LÄN</t>
        </is>
      </c>
      <c r="G2136" t="inlineStr">
        <is>
          <t>FLEN</t>
        </is>
      </c>
      <c r="I2136" t="n">
        <v>0.7</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A 14629-2023</t>
        </is>
      </c>
      <c r="B2137" t="inlineStr">
        <is>
          <t>avverkningsanmälan</t>
        </is>
      </c>
      <c r="C2137" t="inlineStr">
        <is>
          <t>Föryngringsavverkning</t>
        </is>
      </c>
      <c r="D2137" s="1" t="n">
        <v>45013</v>
      </c>
      <c r="E2137" s="1" t="n">
        <v>46313</v>
      </c>
      <c r="F2137" t="inlineStr">
        <is>
          <t>SÖDERMANLANDS LÄN</t>
        </is>
      </c>
      <c r="G2137" t="inlineStr">
        <is>
          <t>KATRINEHOLM</t>
        </is>
      </c>
      <c r="H2137" t="inlineStr">
        <is>
          <t>Holmen skog AB</t>
        </is>
      </c>
      <c r="I2137" t="n">
        <v>1.3</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A 5205-2026</t>
        </is>
      </c>
      <c r="B2138" t="inlineStr">
        <is>
          <t>avverkningsanmälan</t>
        </is>
      </c>
      <c r="C2138" t="inlineStr">
        <is>
          <t>Föryngringsavverkning</t>
        </is>
      </c>
      <c r="D2138" s="1" t="n">
        <v>46049</v>
      </c>
      <c r="E2138" s="1" t="n">
        <v>46313</v>
      </c>
      <c r="F2138" t="inlineStr">
        <is>
          <t>SÖDERMANLANDS LÄN</t>
        </is>
      </c>
      <c r="G2138" t="inlineStr">
        <is>
          <t>NYKÖPING</t>
        </is>
      </c>
      <c r="I2138" t="n">
        <v>7.5</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A 26098-2026</t>
        </is>
      </c>
      <c r="B2139" t="inlineStr">
        <is>
          <t>avverkningsanmälan</t>
        </is>
      </c>
      <c r="C2139" t="inlineStr">
        <is>
          <t>Föryngringsavverkning</t>
        </is>
      </c>
      <c r="D2139" s="1" t="n">
        <v>46181</v>
      </c>
      <c r="E2139" s="1" t="n">
        <v>46313</v>
      </c>
      <c r="F2139" t="inlineStr">
        <is>
          <t>SÖDERMANLANDS LÄN</t>
        </is>
      </c>
      <c r="G2139" t="inlineStr">
        <is>
          <t>GNESTA</t>
        </is>
      </c>
      <c r="I2139" t="n">
        <v>1.2</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A 26141-2026</t>
        </is>
      </c>
      <c r="B2140" t="inlineStr">
        <is>
          <t>avverkningsanmälan</t>
        </is>
      </c>
      <c r="C2140" t="inlineStr">
        <is>
          <t>Föryngringsavverkning</t>
        </is>
      </c>
      <c r="D2140" s="1" t="n">
        <v>46181</v>
      </c>
      <c r="E2140" s="1" t="n">
        <v>46313</v>
      </c>
      <c r="F2140" t="inlineStr">
        <is>
          <t>SÖDERMANLANDS LÄN</t>
        </is>
      </c>
      <c r="G2140" t="inlineStr">
        <is>
          <t>VINGÅKER</t>
        </is>
      </c>
      <c r="I2140" t="n">
        <v>1.1</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A 5198-2026</t>
        </is>
      </c>
      <c r="B2141" t="inlineStr">
        <is>
          <t>avverkningsanmälan</t>
        </is>
      </c>
      <c r="C2141" t="inlineStr">
        <is>
          <t>Föryngringsavverkning</t>
        </is>
      </c>
      <c r="D2141" s="1" t="n">
        <v>46049</v>
      </c>
      <c r="E2141" s="1" t="n">
        <v>46313</v>
      </c>
      <c r="F2141" t="inlineStr">
        <is>
          <t>SÖDERMANLANDS LÄN</t>
        </is>
      </c>
      <c r="G2141" t="inlineStr">
        <is>
          <t>NYKÖPING</t>
        </is>
      </c>
      <c r="I2141" t="n">
        <v>9.5</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A 5206-2026</t>
        </is>
      </c>
      <c r="B2142" t="inlineStr">
        <is>
          <t>avverkningsanmälan</t>
        </is>
      </c>
      <c r="C2142" t="inlineStr">
        <is>
          <t>Föryngringsavverkning</t>
        </is>
      </c>
      <c r="D2142" s="1" t="n">
        <v>46049</v>
      </c>
      <c r="E2142" s="1" t="n">
        <v>46313</v>
      </c>
      <c r="F2142" t="inlineStr">
        <is>
          <t>SÖDERMANLANDS LÄN</t>
        </is>
      </c>
      <c r="G2142" t="inlineStr">
        <is>
          <t>NYKÖPING</t>
        </is>
      </c>
      <c r="I2142" t="n">
        <v>6.9</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A 19861-2023</t>
        </is>
      </c>
      <c r="B2143" t="inlineStr">
        <is>
          <t>avverkningsanmälan</t>
        </is>
      </c>
      <c r="C2143" t="inlineStr">
        <is>
          <t>Föryngringsavverkning</t>
        </is>
      </c>
      <c r="D2143" s="1" t="n">
        <v>45053</v>
      </c>
      <c r="E2143" s="1" t="n">
        <v>46313</v>
      </c>
      <c r="F2143" t="inlineStr">
        <is>
          <t>SÖDERMANLANDS LÄN</t>
        </is>
      </c>
      <c r="G2143" t="inlineStr">
        <is>
          <t>VINGÅKER</t>
        </is>
      </c>
      <c r="I2143" t="n">
        <v>0.6</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A 4889-2026</t>
        </is>
      </c>
      <c r="B2144" t="inlineStr">
        <is>
          <t>avverkningsanmälan</t>
        </is>
      </c>
      <c r="C2144" t="inlineStr">
        <is>
          <t>Föryngringsavverkning</t>
        </is>
      </c>
      <c r="D2144" s="1" t="n">
        <v>46048</v>
      </c>
      <c r="E2144" s="1" t="n">
        <v>46313</v>
      </c>
      <c r="F2144" t="inlineStr">
        <is>
          <t>SÖDERMANLANDS LÄN</t>
        </is>
      </c>
      <c r="G2144" t="inlineStr">
        <is>
          <t>KATRINEHOLM</t>
        </is>
      </c>
      <c r="H2144" t="inlineStr">
        <is>
          <t>Övriga Aktiebolag</t>
        </is>
      </c>
      <c r="I2144" t="n">
        <v>2.4</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A 42750-2023</t>
        </is>
      </c>
      <c r="B2145" t="inlineStr">
        <is>
          <t>avverkningsanmälan</t>
        </is>
      </c>
      <c r="C2145" t="inlineStr">
        <is>
          <t>Föryngringsavverkning</t>
        </is>
      </c>
      <c r="D2145" s="1" t="n">
        <v>45177</v>
      </c>
      <c r="E2145" s="1" t="n">
        <v>46313</v>
      </c>
      <c r="F2145" t="inlineStr">
        <is>
          <t>SÖDERMANLANDS LÄN</t>
        </is>
      </c>
      <c r="G2145" t="inlineStr">
        <is>
          <t>STRÄNGNÄS</t>
        </is>
      </c>
      <c r="H2145" t="inlineStr">
        <is>
          <t>Övriga statliga verk och myndigheter</t>
        </is>
      </c>
      <c r="I2145" t="n">
        <v>3.6</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A 53507-2023</t>
        </is>
      </c>
      <c r="B2146" t="inlineStr">
        <is>
          <t>avverkningsanmälan</t>
        </is>
      </c>
      <c r="C2146" t="inlineStr">
        <is>
          <t>Föryngringsavverkning</t>
        </is>
      </c>
      <c r="D2146" s="1" t="n">
        <v>45230</v>
      </c>
      <c r="E2146" s="1" t="n">
        <v>46313</v>
      </c>
      <c r="F2146" t="inlineStr">
        <is>
          <t>SÖDERMANLANDS LÄN</t>
        </is>
      </c>
      <c r="G2146" t="inlineStr">
        <is>
          <t>FLEN</t>
        </is>
      </c>
      <c r="I2146" t="n">
        <v>1.4</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A 53518-2023</t>
        </is>
      </c>
      <c r="B2147" t="inlineStr">
        <is>
          <t>avverkningsanmälan</t>
        </is>
      </c>
      <c r="C2147" t="inlineStr">
        <is>
          <t>Föryngringsavverkning</t>
        </is>
      </c>
      <c r="D2147" s="1" t="n">
        <v>45230</v>
      </c>
      <c r="E2147" s="1" t="n">
        <v>46313</v>
      </c>
      <c r="F2147" t="inlineStr">
        <is>
          <t>SÖDERMANLANDS LÄN</t>
        </is>
      </c>
      <c r="G2147" t="inlineStr">
        <is>
          <t>FLEN</t>
        </is>
      </c>
      <c r="I2147" t="n">
        <v>1.5</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A 5703-2026</t>
        </is>
      </c>
      <c r="B2148" t="inlineStr">
        <is>
          <t>avverkningsanmälan</t>
        </is>
      </c>
      <c r="C2148" t="inlineStr">
        <is>
          <t>Föryngringsavverkning</t>
        </is>
      </c>
      <c r="D2148" s="1" t="n">
        <v>46051</v>
      </c>
      <c r="E2148" s="1" t="n">
        <v>46313</v>
      </c>
      <c r="F2148" t="inlineStr">
        <is>
          <t>SÖDERMANLANDS LÄN</t>
        </is>
      </c>
      <c r="G2148" t="inlineStr">
        <is>
          <t>KATRINEHOLM</t>
        </is>
      </c>
      <c r="I2148" t="n">
        <v>0.6</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A 5387-2026</t>
        </is>
      </c>
      <c r="B2149" t="inlineStr">
        <is>
          <t>avverkningsanmälan</t>
        </is>
      </c>
      <c r="C2149" t="inlineStr">
        <is>
          <t>Föryngringsavverkning</t>
        </is>
      </c>
      <c r="D2149" s="1" t="n">
        <v>46050</v>
      </c>
      <c r="E2149" s="1" t="n">
        <v>46313</v>
      </c>
      <c r="F2149" t="inlineStr">
        <is>
          <t>SÖDERMANLANDS LÄN</t>
        </is>
      </c>
      <c r="G2149" t="inlineStr">
        <is>
          <t>NYKÖPING</t>
        </is>
      </c>
      <c r="I2149" t="n">
        <v>3.8</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A 26142-2026</t>
        </is>
      </c>
      <c r="B2150" t="inlineStr">
        <is>
          <t>avverkningsanmälan</t>
        </is>
      </c>
      <c r="C2150" t="inlineStr">
        <is>
          <t>Föryngringsavverkning</t>
        </is>
      </c>
      <c r="D2150" s="1" t="n">
        <v>46181</v>
      </c>
      <c r="E2150" s="1" t="n">
        <v>46313</v>
      </c>
      <c r="F2150" t="inlineStr">
        <is>
          <t>SÖDERMANLANDS LÄN</t>
        </is>
      </c>
      <c r="G2150" t="inlineStr">
        <is>
          <t>VINGÅKER</t>
        </is>
      </c>
      <c r="I2150" t="n">
        <v>3.6</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A 26147-2026</t>
        </is>
      </c>
      <c r="B2151" t="inlineStr">
        <is>
          <t>avverkningsanmälan</t>
        </is>
      </c>
      <c r="C2151" t="inlineStr">
        <is>
          <t>Föryngringsavverkning</t>
        </is>
      </c>
      <c r="D2151" s="1" t="n">
        <v>46181</v>
      </c>
      <c r="E2151" s="1" t="n">
        <v>46313</v>
      </c>
      <c r="F2151" t="inlineStr">
        <is>
          <t>SÖDERMANLANDS LÄN</t>
        </is>
      </c>
      <c r="G2151" t="inlineStr">
        <is>
          <t>VINGÅKER</t>
        </is>
      </c>
      <c r="I2151" t="n">
        <v>1</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A 26155-2026</t>
        </is>
      </c>
      <c r="B2152" t="inlineStr">
        <is>
          <t>avverkningsanmälan</t>
        </is>
      </c>
      <c r="C2152" t="inlineStr">
        <is>
          <t>Föryngringsavverkning</t>
        </is>
      </c>
      <c r="D2152" s="1" t="n">
        <v>46181</v>
      </c>
      <c r="E2152" s="1" t="n">
        <v>46313</v>
      </c>
      <c r="F2152" t="inlineStr">
        <is>
          <t>SÖDERMANLANDS LÄN</t>
        </is>
      </c>
      <c r="G2152" t="inlineStr">
        <is>
          <t>VINGÅKER</t>
        </is>
      </c>
      <c r="I2152" t="n">
        <v>1.3</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A 5509-2026</t>
        </is>
      </c>
      <c r="B2153" t="inlineStr">
        <is>
          <t>avverkningsanmälan</t>
        </is>
      </c>
      <c r="C2153" t="inlineStr">
        <is>
          <t>Föryngringsavverkning</t>
        </is>
      </c>
      <c r="D2153" s="1" t="n">
        <v>46050</v>
      </c>
      <c r="E2153" s="1" t="n">
        <v>46313</v>
      </c>
      <c r="F2153" t="inlineStr">
        <is>
          <t>SÖDERMANLANDS LÄN</t>
        </is>
      </c>
      <c r="G2153" t="inlineStr">
        <is>
          <t>GNESTA</t>
        </is>
      </c>
      <c r="I2153" t="n">
        <v>3.5</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A 26084-2026</t>
        </is>
      </c>
      <c r="B2154" t="inlineStr">
        <is>
          <t>avverkningsanmälan</t>
        </is>
      </c>
      <c r="C2154" t="inlineStr">
        <is>
          <t>Föryngringsavverkning</t>
        </is>
      </c>
      <c r="D2154" s="1" t="n">
        <v>46181</v>
      </c>
      <c r="E2154" s="1" t="n">
        <v>46313</v>
      </c>
      <c r="F2154" t="inlineStr">
        <is>
          <t>SÖDERMANLANDS LÄN</t>
        </is>
      </c>
      <c r="G2154" t="inlineStr">
        <is>
          <t>GNESTA</t>
        </is>
      </c>
      <c r="I2154" t="n">
        <v>2.5</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A 22667-2023</t>
        </is>
      </c>
      <c r="B2155" t="inlineStr">
        <is>
          <t>avverkningsanmälan</t>
        </is>
      </c>
      <c r="C2155" t="inlineStr">
        <is>
          <t>Föryngringsavverkning</t>
        </is>
      </c>
      <c r="D2155" s="1" t="n">
        <v>45071</v>
      </c>
      <c r="E2155" s="1" t="n">
        <v>46313</v>
      </c>
      <c r="F2155" t="inlineStr">
        <is>
          <t>SÖDERMANLANDS LÄN</t>
        </is>
      </c>
      <c r="G2155" t="inlineStr">
        <is>
          <t>GNESTA</t>
        </is>
      </c>
      <c r="I2155" t="n">
        <v>2.1</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A 26503-2026</t>
        </is>
      </c>
      <c r="B2156" t="inlineStr">
        <is>
          <t>avverkningsanmälan</t>
        </is>
      </c>
      <c r="C2156" t="inlineStr">
        <is>
          <t>Föryngringsavverkning</t>
        </is>
      </c>
      <c r="D2156" s="1" t="n">
        <v>46183</v>
      </c>
      <c r="E2156" s="1" t="n">
        <v>46313</v>
      </c>
      <c r="F2156" t="inlineStr">
        <is>
          <t>SÖDERMANLANDS LÄN</t>
        </is>
      </c>
      <c r="G2156" t="inlineStr">
        <is>
          <t>NYKÖPING</t>
        </is>
      </c>
      <c r="I2156" t="n">
        <v>7.2</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A 27345-2023</t>
        </is>
      </c>
      <c r="B2157" t="inlineStr">
        <is>
          <t>avverkningsanmälan</t>
        </is>
      </c>
      <c r="C2157" t="inlineStr">
        <is>
          <t>Föryngringsavverkning</t>
        </is>
      </c>
      <c r="D2157" s="1" t="n">
        <v>45096</v>
      </c>
      <c r="E2157" s="1" t="n">
        <v>46313</v>
      </c>
      <c r="F2157" t="inlineStr">
        <is>
          <t>SÖDERMANLANDS LÄN</t>
        </is>
      </c>
      <c r="G2157" t="inlineStr">
        <is>
          <t>KATRINEHOLM</t>
        </is>
      </c>
      <c r="I2157" t="n">
        <v>1.4</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A 51801-2025</t>
        </is>
      </c>
      <c r="B2158" t="inlineStr">
        <is>
          <t>avverkningsanmälan</t>
        </is>
      </c>
      <c r="C2158" t="inlineStr">
        <is>
          <t>Avverkning för annat ändamål</t>
        </is>
      </c>
      <c r="D2158" s="1" t="n">
        <v>45950</v>
      </c>
      <c r="E2158" s="1" t="n">
        <v>46313</v>
      </c>
      <c r="F2158" t="inlineStr">
        <is>
          <t>SÖDERMANLANDS LÄN</t>
        </is>
      </c>
      <c r="G2158" t="inlineStr">
        <is>
          <t>ESKILSTUNA</t>
        </is>
      </c>
      <c r="I2158" t="n">
        <v>4.4</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A 53996-2023</t>
        </is>
      </c>
      <c r="B2159" t="inlineStr">
        <is>
          <t>avverkningsanmälan</t>
        </is>
      </c>
      <c r="C2159" t="inlineStr">
        <is>
          <t>Föryngringsavverkning</t>
        </is>
      </c>
      <c r="D2159" s="1" t="n">
        <v>45231</v>
      </c>
      <c r="E2159" s="1" t="n">
        <v>46313</v>
      </c>
      <c r="F2159" t="inlineStr">
        <is>
          <t>SÖDERMANLANDS LÄN</t>
        </is>
      </c>
      <c r="G2159" t="inlineStr">
        <is>
          <t>KATRINEHOLM</t>
        </is>
      </c>
      <c r="I2159" t="n">
        <v>4.9</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A 26498-2026</t>
        </is>
      </c>
      <c r="B2160" t="inlineStr">
        <is>
          <t>avverkningsanmälan</t>
        </is>
      </c>
      <c r="C2160" t="inlineStr">
        <is>
          <t>Föryngringsavverkning</t>
        </is>
      </c>
      <c r="D2160" s="1" t="n">
        <v>46183</v>
      </c>
      <c r="E2160" s="1" t="n">
        <v>46313</v>
      </c>
      <c r="F2160" t="inlineStr">
        <is>
          <t>SÖDERMANLANDS LÄN</t>
        </is>
      </c>
      <c r="G2160" t="inlineStr">
        <is>
          <t>KATRINEHOLM</t>
        </is>
      </c>
      <c r="I2160" t="n">
        <v>1.8</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A 18309-2026</t>
        </is>
      </c>
      <c r="B2161" t="inlineStr">
        <is>
          <t>avverkningsanmälan</t>
        </is>
      </c>
      <c r="C2161" t="inlineStr">
        <is>
          <t>Föryngringsavverkning</t>
        </is>
      </c>
      <c r="D2161" s="1" t="n">
        <v>46126</v>
      </c>
      <c r="E2161" s="1" t="n">
        <v>46313</v>
      </c>
      <c r="F2161" t="inlineStr">
        <is>
          <t>SÖDERMANLANDS LÄN</t>
        </is>
      </c>
      <c r="G2161" t="inlineStr">
        <is>
          <t>KATRINEHOLM</t>
        </is>
      </c>
      <c r="I2161" t="n">
        <v>1.9</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A 18316-2026</t>
        </is>
      </c>
      <c r="B2162" t="inlineStr">
        <is>
          <t>avverkningsanmälan</t>
        </is>
      </c>
      <c r="C2162" t="inlineStr">
        <is>
          <t>Föryngringsavverkning</t>
        </is>
      </c>
      <c r="D2162" s="1" t="n">
        <v>46126</v>
      </c>
      <c r="E2162" s="1" t="n">
        <v>46313</v>
      </c>
      <c r="F2162" t="inlineStr">
        <is>
          <t>SÖDERMANLANDS LÄN</t>
        </is>
      </c>
      <c r="G2162" t="inlineStr">
        <is>
          <t>KATRINEHOLM</t>
        </is>
      </c>
      <c r="I2162" t="n">
        <v>2.8</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A 13810-2023</t>
        </is>
      </c>
      <c r="B2163" t="inlineStr">
        <is>
          <t>avverkningsanmälan</t>
        </is>
      </c>
      <c r="C2163" t="inlineStr">
        <is>
          <t>Föryngringsavverkning</t>
        </is>
      </c>
      <c r="D2163" s="1" t="n">
        <v>45007</v>
      </c>
      <c r="E2163" s="1" t="n">
        <v>46313</v>
      </c>
      <c r="F2163" t="inlineStr">
        <is>
          <t>SÖDERMANLANDS LÄN</t>
        </is>
      </c>
      <c r="G2163" t="inlineStr">
        <is>
          <t>TROSA</t>
        </is>
      </c>
      <c r="H2163" t="inlineStr">
        <is>
          <t>Holmen skog AB</t>
        </is>
      </c>
      <c r="I2163" t="n">
        <v>0.7</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A 25998-2026</t>
        </is>
      </c>
      <c r="B2164" t="inlineStr">
        <is>
          <t>avverkningsanmälan</t>
        </is>
      </c>
      <c r="C2164" t="inlineStr">
        <is>
          <t>Föryngringsavverkning</t>
        </is>
      </c>
      <c r="D2164" s="1" t="n">
        <v>46181</v>
      </c>
      <c r="E2164" s="1" t="n">
        <v>46313</v>
      </c>
      <c r="F2164" t="inlineStr">
        <is>
          <t>SÖDERMANLANDS LÄN</t>
        </is>
      </c>
      <c r="G2164" t="inlineStr">
        <is>
          <t>ESKILSTUNA</t>
        </is>
      </c>
      <c r="I2164" t="n">
        <v>0.7</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A 65000-2023</t>
        </is>
      </c>
      <c r="B2165" t="inlineStr">
        <is>
          <t>avverkningsanmälan</t>
        </is>
      </c>
      <c r="C2165" t="inlineStr">
        <is>
          <t>Föryngringsavverkning</t>
        </is>
      </c>
      <c r="D2165" s="1" t="n">
        <v>45286</v>
      </c>
      <c r="E2165" s="1" t="n">
        <v>46313</v>
      </c>
      <c r="F2165" t="inlineStr">
        <is>
          <t>SÖDERMANLANDS LÄN</t>
        </is>
      </c>
      <c r="G2165" t="inlineStr">
        <is>
          <t>GNESTA</t>
        </is>
      </c>
      <c r="I2165" t="n">
        <v>1.4</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A 26483-2026</t>
        </is>
      </c>
      <c r="B2166" t="inlineStr">
        <is>
          <t>avverkningsanmälan</t>
        </is>
      </c>
      <c r="C2166" t="inlineStr">
        <is>
          <t>Föryngringsavverkning</t>
        </is>
      </c>
      <c r="D2166" s="1" t="n">
        <v>46183</v>
      </c>
      <c r="E2166" s="1" t="n">
        <v>46313</v>
      </c>
      <c r="F2166" t="inlineStr">
        <is>
          <t>SÖDERMANLANDS LÄN</t>
        </is>
      </c>
      <c r="G2166" t="inlineStr">
        <is>
          <t>KATRINEHOLM</t>
        </is>
      </c>
      <c r="I2166" t="n">
        <v>10.6</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A 26143-2026</t>
        </is>
      </c>
      <c r="B2167" t="inlineStr">
        <is>
          <t>avverkningsanmälan</t>
        </is>
      </c>
      <c r="C2167" t="inlineStr">
        <is>
          <t>Föryngringsavverkning</t>
        </is>
      </c>
      <c r="D2167" s="1" t="n">
        <v>46181</v>
      </c>
      <c r="E2167" s="1" t="n">
        <v>46313</v>
      </c>
      <c r="F2167" t="inlineStr">
        <is>
          <t>SÖDERMANLANDS LÄN</t>
        </is>
      </c>
      <c r="G2167" t="inlineStr">
        <is>
          <t>VINGÅKER</t>
        </is>
      </c>
      <c r="I2167" t="n">
        <v>2.7</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A 26144-2026</t>
        </is>
      </c>
      <c r="B2168" t="inlineStr">
        <is>
          <t>avverkningsanmälan</t>
        </is>
      </c>
      <c r="C2168" t="inlineStr">
        <is>
          <t>Föryngringsavverkning</t>
        </is>
      </c>
      <c r="D2168" s="1" t="n">
        <v>46181</v>
      </c>
      <c r="E2168" s="1" t="n">
        <v>46313</v>
      </c>
      <c r="F2168" t="inlineStr">
        <is>
          <t>SÖDERMANLANDS LÄN</t>
        </is>
      </c>
      <c r="G2168" t="inlineStr">
        <is>
          <t>VINGÅKER</t>
        </is>
      </c>
      <c r="I2168" t="n">
        <v>1.1</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A 26146-2026</t>
        </is>
      </c>
      <c r="B2169" t="inlineStr">
        <is>
          <t>avverkningsanmälan</t>
        </is>
      </c>
      <c r="C2169" t="inlineStr">
        <is>
          <t>Föryngringsavverkning</t>
        </is>
      </c>
      <c r="D2169" s="1" t="n">
        <v>46181</v>
      </c>
      <c r="E2169" s="1" t="n">
        <v>46313</v>
      </c>
      <c r="F2169" t="inlineStr">
        <is>
          <t>SÖDERMANLANDS LÄN</t>
        </is>
      </c>
      <c r="G2169" t="inlineStr">
        <is>
          <t>VINGÅKER</t>
        </is>
      </c>
      <c r="I2169" t="n">
        <v>1.8</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A 11127-2023</t>
        </is>
      </c>
      <c r="B2170" t="inlineStr">
        <is>
          <t>avverkningsanmälan</t>
        </is>
      </c>
      <c r="C2170" t="inlineStr">
        <is>
          <t>Föryngringsavverkning</t>
        </is>
      </c>
      <c r="D2170" s="1" t="n">
        <v>44987</v>
      </c>
      <c r="E2170" s="1" t="n">
        <v>46313</v>
      </c>
      <c r="F2170" t="inlineStr">
        <is>
          <t>SÖDERMANLANDS LÄN</t>
        </is>
      </c>
      <c r="G2170" t="inlineStr">
        <is>
          <t>KATRINEHOLM</t>
        </is>
      </c>
      <c r="I2170" t="n">
        <v>4.3</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A 26224-2026</t>
        </is>
      </c>
      <c r="B2171" t="inlineStr">
        <is>
          <t>avverkningsanmälan</t>
        </is>
      </c>
      <c r="C2171" t="inlineStr">
        <is>
          <t>Föryngringsavverkning</t>
        </is>
      </c>
      <c r="D2171" s="1" t="n">
        <v>46182</v>
      </c>
      <c r="E2171" s="1" t="n">
        <v>46313</v>
      </c>
      <c r="F2171" t="inlineStr">
        <is>
          <t>SÖDERMANLANDS LÄN</t>
        </is>
      </c>
      <c r="G2171" t="inlineStr">
        <is>
          <t>NYKÖPING</t>
        </is>
      </c>
      <c r="H2171" t="inlineStr">
        <is>
          <t>Sveaskog</t>
        </is>
      </c>
      <c r="I2171" t="n">
        <v>3.7</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A 6720-2026</t>
        </is>
      </c>
      <c r="B2172" t="inlineStr">
        <is>
          <t>avverkningsanmälan</t>
        </is>
      </c>
      <c r="C2172" t="inlineStr">
        <is>
          <t>Föryngringsavverkning</t>
        </is>
      </c>
      <c r="D2172" s="1" t="n">
        <v>46056</v>
      </c>
      <c r="E2172" s="1" t="n">
        <v>46313</v>
      </c>
      <c r="F2172" t="inlineStr">
        <is>
          <t>SÖDERMANLANDS LÄN</t>
        </is>
      </c>
      <c r="G2172" t="inlineStr">
        <is>
          <t>FLEN</t>
        </is>
      </c>
      <c r="I2172" t="n">
        <v>6.1</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A 32721-2022</t>
        </is>
      </c>
      <c r="B2173" t="inlineStr">
        <is>
          <t>avverkningsanmälan</t>
        </is>
      </c>
      <c r="C2173" t="inlineStr">
        <is>
          <t>Föryngringsavverkning</t>
        </is>
      </c>
      <c r="D2173" s="1" t="n">
        <v>44783</v>
      </c>
      <c r="E2173" s="1" t="n">
        <v>46313</v>
      </c>
      <c r="F2173" t="inlineStr">
        <is>
          <t>SÖDERMANLANDS LÄN</t>
        </is>
      </c>
      <c r="G2173" t="inlineStr">
        <is>
          <t>NYKÖPING</t>
        </is>
      </c>
      <c r="I2173" t="n">
        <v>2.3</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A 48484-2022</t>
        </is>
      </c>
      <c r="B2174" t="inlineStr">
        <is>
          <t>avverkningsanmälan</t>
        </is>
      </c>
      <c r="C2174" t="inlineStr">
        <is>
          <t>Föryngringsavverkning</t>
        </is>
      </c>
      <c r="D2174" s="1" t="n">
        <v>44858</v>
      </c>
      <c r="E2174" s="1" t="n">
        <v>46313</v>
      </c>
      <c r="F2174" t="inlineStr">
        <is>
          <t>SÖDERMANLANDS LÄN</t>
        </is>
      </c>
      <c r="G2174" t="inlineStr">
        <is>
          <t>NYKÖPING</t>
        </is>
      </c>
      <c r="I2174" t="n">
        <v>1.9</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A 22835-2023</t>
        </is>
      </c>
      <c r="B2175" t="inlineStr">
        <is>
          <t>avverkningsanmälan</t>
        </is>
      </c>
      <c r="C2175" t="inlineStr">
        <is>
          <t>Föryngringsavverkning</t>
        </is>
      </c>
      <c r="D2175" s="1" t="n">
        <v>45072</v>
      </c>
      <c r="E2175" s="1" t="n">
        <v>46313</v>
      </c>
      <c r="F2175" t="inlineStr">
        <is>
          <t>SÖDERMANLANDS LÄN</t>
        </is>
      </c>
      <c r="G2175" t="inlineStr">
        <is>
          <t>VINGÅKER</t>
        </is>
      </c>
      <c r="H2175" t="inlineStr">
        <is>
          <t>Sveaskog</t>
        </is>
      </c>
      <c r="I2175" t="n">
        <v>2.1</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A 26022-2026</t>
        </is>
      </c>
      <c r="B2176" t="inlineStr">
        <is>
          <t>avverkningsanmälan</t>
        </is>
      </c>
      <c r="C2176" t="inlineStr">
        <is>
          <t>Föryngringsavverkning</t>
        </is>
      </c>
      <c r="D2176" s="1" t="n">
        <v>46181</v>
      </c>
      <c r="E2176" s="1" t="n">
        <v>46313</v>
      </c>
      <c r="F2176" t="inlineStr">
        <is>
          <t>SÖDERMANLANDS LÄN</t>
        </is>
      </c>
      <c r="G2176" t="inlineStr">
        <is>
          <t>ESKILSTUNA</t>
        </is>
      </c>
      <c r="I2176" t="n">
        <v>0.9</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A 37185-2023</t>
        </is>
      </c>
      <c r="B2177" t="inlineStr">
        <is>
          <t>avverkningsanmälan</t>
        </is>
      </c>
      <c r="C2177" t="inlineStr">
        <is>
          <t>Föryngringsavverkning</t>
        </is>
      </c>
      <c r="D2177" s="1" t="n">
        <v>45154</v>
      </c>
      <c r="E2177" s="1" t="n">
        <v>46313</v>
      </c>
      <c r="F2177" t="inlineStr">
        <is>
          <t>SÖDERMANLANDS LÄN</t>
        </is>
      </c>
      <c r="G2177" t="inlineStr">
        <is>
          <t>KATRINEHOLM</t>
        </is>
      </c>
      <c r="I2177" t="n">
        <v>3</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A 3733-2026</t>
        </is>
      </c>
      <c r="B2178" t="inlineStr">
        <is>
          <t>avverkningsanmälan</t>
        </is>
      </c>
      <c r="C2178" t="inlineStr">
        <is>
          <t>Föryngringsavverkning</t>
        </is>
      </c>
      <c r="D2178" s="1" t="n">
        <v>46043</v>
      </c>
      <c r="E2178" s="1" t="n">
        <v>46313</v>
      </c>
      <c r="F2178" t="inlineStr">
        <is>
          <t>SÖDERMANLANDS LÄN</t>
        </is>
      </c>
      <c r="G2178" t="inlineStr">
        <is>
          <t>STRÄNGNÄS</t>
        </is>
      </c>
      <c r="I2178" t="n">
        <v>2.9</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A 24455-2026</t>
        </is>
      </c>
      <c r="B2179" t="inlineStr">
        <is>
          <t>avverkningsanmälan</t>
        </is>
      </c>
      <c r="C2179" t="inlineStr">
        <is>
          <t>Föryngringsavverkning</t>
        </is>
      </c>
      <c r="D2179" s="1" t="n">
        <v>46170</v>
      </c>
      <c r="E2179" s="1" t="n">
        <v>46313</v>
      </c>
      <c r="F2179" t="inlineStr">
        <is>
          <t>SÖDERMANLANDS LÄN</t>
        </is>
      </c>
      <c r="G2179" t="inlineStr">
        <is>
          <t>FLEN</t>
        </is>
      </c>
      <c r="H2179" t="inlineStr">
        <is>
          <t>Holmen skog AB</t>
        </is>
      </c>
      <c r="I2179" t="n">
        <v>2.1</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A 4351-2026</t>
        </is>
      </c>
      <c r="B2180" t="inlineStr">
        <is>
          <t>avverkningsanmälan</t>
        </is>
      </c>
      <c r="C2180" t="inlineStr">
        <is>
          <t>Föryngringsavverkning</t>
        </is>
      </c>
      <c r="D2180" s="1" t="n">
        <v>46044</v>
      </c>
      <c r="E2180" s="1" t="n">
        <v>46313</v>
      </c>
      <c r="F2180" t="inlineStr">
        <is>
          <t>SÖDERMANLANDS LÄN</t>
        </is>
      </c>
      <c r="G2180" t="inlineStr">
        <is>
          <t>FLEN</t>
        </is>
      </c>
      <c r="H2180" t="inlineStr">
        <is>
          <t>Övriga statliga verk och myndigheter</t>
        </is>
      </c>
      <c r="I2180" t="n">
        <v>0.7</v>
      </c>
      <c r="J2180" t="n">
        <v>0</v>
      </c>
      <c r="K2180" t="n">
        <v>0</v>
      </c>
      <c r="L2180" t="n">
        <v>0</v>
      </c>
      <c r="M2180" t="n">
        <v>0</v>
      </c>
      <c r="N2180" t="n">
        <v>0</v>
      </c>
      <c r="O2180" t="n">
        <v>0</v>
      </c>
      <c r="P2180" t="n">
        <v>0</v>
      </c>
      <c r="Q2180" t="n">
        <v>0</v>
      </c>
      <c r="R2180" t="n">
        <v>0</v>
      </c>
      <c r="S2180" t="n">
        <v>0</v>
      </c>
      <c r="T2180" t="n">
        <v>0</v>
      </c>
      <c r="U2180" t="n">
        <v>0</v>
      </c>
      <c r="V2180" s="2" t="inlineStr"/>
    </row>
    <row r="2181" ht="15" customHeight="1">
      <c r="A2181" t="inlineStr">
        <is>
          <t>A 61032-2024</t>
        </is>
      </c>
      <c r="B2181" t="inlineStr">
        <is>
          <t>avverkningsanmälan</t>
        </is>
      </c>
      <c r="C2181" t="inlineStr">
        <is>
          <t>Avverkning för annat ändamål</t>
        </is>
      </c>
      <c r="D2181" s="1" t="n">
        <v>45644</v>
      </c>
      <c r="E2181" s="1" t="n">
        <v>46313</v>
      </c>
      <c r="F2181" t="inlineStr">
        <is>
          <t>SÖDERMANLANDS LÄN</t>
        </is>
      </c>
      <c r="G2181" t="inlineStr">
        <is>
          <t>GNESTA</t>
        </is>
      </c>
      <c r="I2181" t="n">
        <v>22</v>
      </c>
      <c r="J2181" t="n">
        <v>0</v>
      </c>
      <c r="K2181" t="n">
        <v>0</v>
      </c>
      <c r="L2181" t="n">
        <v>0</v>
      </c>
      <c r="M2181" t="n">
        <v>0</v>
      </c>
      <c r="N2181" t="n">
        <v>0</v>
      </c>
      <c r="O2181" t="n">
        <v>0</v>
      </c>
      <c r="P2181" t="n">
        <v>0</v>
      </c>
      <c r="Q2181" t="n">
        <v>0</v>
      </c>
      <c r="R2181" t="n">
        <v>0</v>
      </c>
      <c r="S2181" t="n">
        <v>0</v>
      </c>
      <c r="T2181" t="n">
        <v>0</v>
      </c>
      <c r="U2181" t="n">
        <v>0</v>
      </c>
      <c r="V2181" s="2" t="inlineStr"/>
    </row>
    <row r="2182" ht="15" customHeight="1">
      <c r="A2182" t="inlineStr">
        <is>
          <t>A 2343-2023</t>
        </is>
      </c>
      <c r="B2182" t="inlineStr">
        <is>
          <t>avverkningsanmälan</t>
        </is>
      </c>
      <c r="C2182" t="inlineStr">
        <is>
          <t>Föryngringsavverkning</t>
        </is>
      </c>
      <c r="D2182" s="1" t="n">
        <v>44942</v>
      </c>
      <c r="E2182" s="1" t="n">
        <v>46313</v>
      </c>
      <c r="F2182" t="inlineStr">
        <is>
          <t>SÖDERMANLANDS LÄN</t>
        </is>
      </c>
      <c r="G2182" t="inlineStr">
        <is>
          <t>ESKILSTUNA</t>
        </is>
      </c>
      <c r="I2182" t="n">
        <v>3</v>
      </c>
      <c r="J2182" t="n">
        <v>0</v>
      </c>
      <c r="K2182" t="n">
        <v>0</v>
      </c>
      <c r="L2182" t="n">
        <v>0</v>
      </c>
      <c r="M2182" t="n">
        <v>0</v>
      </c>
      <c r="N2182" t="n">
        <v>0</v>
      </c>
      <c r="O2182" t="n">
        <v>0</v>
      </c>
      <c r="P2182" t="n">
        <v>0</v>
      </c>
      <c r="Q2182" t="n">
        <v>0</v>
      </c>
      <c r="R2182" t="n">
        <v>0</v>
      </c>
      <c r="S2182" t="n">
        <v>0</v>
      </c>
      <c r="T2182" t="n">
        <v>0</v>
      </c>
      <c r="U2182" t="n">
        <v>0</v>
      </c>
      <c r="V2182" s="2" t="inlineStr"/>
    </row>
    <row r="2183" ht="15" customHeight="1">
      <c r="A2183" t="inlineStr">
        <is>
          <t>A 2368-2023</t>
        </is>
      </c>
      <c r="B2183" t="inlineStr">
        <is>
          <t>avverkningsanmälan</t>
        </is>
      </c>
      <c r="C2183" t="inlineStr">
        <is>
          <t>Föryngringsavverkning</t>
        </is>
      </c>
      <c r="D2183" s="1" t="n">
        <v>44942</v>
      </c>
      <c r="E2183" s="1" t="n">
        <v>46313</v>
      </c>
      <c r="F2183" t="inlineStr">
        <is>
          <t>SÖDERMANLANDS LÄN</t>
        </is>
      </c>
      <c r="G2183" t="inlineStr">
        <is>
          <t>NYKÖPING</t>
        </is>
      </c>
      <c r="I2183" t="n">
        <v>1.1</v>
      </c>
      <c r="J2183" t="n">
        <v>0</v>
      </c>
      <c r="K2183" t="n">
        <v>0</v>
      </c>
      <c r="L2183" t="n">
        <v>0</v>
      </c>
      <c r="M2183" t="n">
        <v>0</v>
      </c>
      <c r="N2183" t="n">
        <v>0</v>
      </c>
      <c r="O2183" t="n">
        <v>0</v>
      </c>
      <c r="P2183" t="n">
        <v>0</v>
      </c>
      <c r="Q2183" t="n">
        <v>0</v>
      </c>
      <c r="R2183" t="n">
        <v>0</v>
      </c>
      <c r="S2183" t="n">
        <v>0</v>
      </c>
      <c r="T2183" t="n">
        <v>0</v>
      </c>
      <c r="U2183" t="n">
        <v>0</v>
      </c>
      <c r="V2183" s="2" t="inlineStr"/>
    </row>
    <row r="2184" ht="15" customHeight="1">
      <c r="A2184" t="inlineStr">
        <is>
          <t>A 46420-2023</t>
        </is>
      </c>
      <c r="B2184" t="inlineStr">
        <is>
          <t>avverkningsanmälan</t>
        </is>
      </c>
      <c r="C2184" t="inlineStr">
        <is>
          <t>Föryngringsavverkning</t>
        </is>
      </c>
      <c r="D2184" s="1" t="n">
        <v>45194</v>
      </c>
      <c r="E2184" s="1" t="n">
        <v>46313</v>
      </c>
      <c r="F2184" t="inlineStr">
        <is>
          <t>SÖDERMANLANDS LÄN</t>
        </is>
      </c>
      <c r="G2184" t="inlineStr">
        <is>
          <t>VINGÅKER</t>
        </is>
      </c>
      <c r="I2184" t="n">
        <v>1.8</v>
      </c>
      <c r="J2184" t="n">
        <v>0</v>
      </c>
      <c r="K2184" t="n">
        <v>0</v>
      </c>
      <c r="L2184" t="n">
        <v>0</v>
      </c>
      <c r="M2184" t="n">
        <v>0</v>
      </c>
      <c r="N2184" t="n">
        <v>0</v>
      </c>
      <c r="O2184" t="n">
        <v>0</v>
      </c>
      <c r="P2184" t="n">
        <v>0</v>
      </c>
      <c r="Q2184" t="n">
        <v>0</v>
      </c>
      <c r="R2184" t="n">
        <v>0</v>
      </c>
      <c r="S2184" t="n">
        <v>0</v>
      </c>
      <c r="T2184" t="n">
        <v>0</v>
      </c>
      <c r="U2184" t="n">
        <v>0</v>
      </c>
      <c r="V2184" s="2" t="inlineStr"/>
    </row>
    <row r="2185" ht="15" customHeight="1">
      <c r="A2185" t="inlineStr">
        <is>
          <t>A 7835-2026</t>
        </is>
      </c>
      <c r="B2185" t="inlineStr">
        <is>
          <t>avverkningsanmälan</t>
        </is>
      </c>
      <c r="C2185" t="inlineStr">
        <is>
          <t>Föryngringsavverkning</t>
        </is>
      </c>
      <c r="D2185" s="1" t="n">
        <v>46062</v>
      </c>
      <c r="E2185" s="1" t="n">
        <v>46313</v>
      </c>
      <c r="F2185" t="inlineStr">
        <is>
          <t>SÖDERMANLANDS LÄN</t>
        </is>
      </c>
      <c r="G2185" t="inlineStr">
        <is>
          <t>GNESTA</t>
        </is>
      </c>
      <c r="I2185" t="n">
        <v>3.8</v>
      </c>
      <c r="J2185" t="n">
        <v>0</v>
      </c>
      <c r="K2185" t="n">
        <v>0</v>
      </c>
      <c r="L2185" t="n">
        <v>0</v>
      </c>
      <c r="M2185" t="n">
        <v>0</v>
      </c>
      <c r="N2185" t="n">
        <v>0</v>
      </c>
      <c r="O2185" t="n">
        <v>0</v>
      </c>
      <c r="P2185" t="n">
        <v>0</v>
      </c>
      <c r="Q2185" t="n">
        <v>0</v>
      </c>
      <c r="R2185" t="n">
        <v>0</v>
      </c>
      <c r="S2185" t="n">
        <v>0</v>
      </c>
      <c r="T2185" t="n">
        <v>0</v>
      </c>
      <c r="U2185" t="n">
        <v>0</v>
      </c>
      <c r="V2185" s="2" t="inlineStr"/>
    </row>
    <row r="2186" ht="15" customHeight="1">
      <c r="A2186" t="inlineStr">
        <is>
          <t>A 10154-2023</t>
        </is>
      </c>
      <c r="B2186" t="inlineStr">
        <is>
          <t>avverkningsanmälan</t>
        </is>
      </c>
      <c r="C2186" t="inlineStr">
        <is>
          <t>Föryngringsavverkning</t>
        </is>
      </c>
      <c r="D2186" s="1" t="n">
        <v>44979</v>
      </c>
      <c r="E2186" s="1" t="n">
        <v>46313</v>
      </c>
      <c r="F2186" t="inlineStr">
        <is>
          <t>SÖDERMANLANDS LÄN</t>
        </is>
      </c>
      <c r="G2186" t="inlineStr">
        <is>
          <t>VINGÅKER</t>
        </is>
      </c>
      <c r="I2186" t="n">
        <v>8.5</v>
      </c>
      <c r="J2186" t="n">
        <v>0</v>
      </c>
      <c r="K2186" t="n">
        <v>0</v>
      </c>
      <c r="L2186" t="n">
        <v>0</v>
      </c>
      <c r="M2186" t="n">
        <v>0</v>
      </c>
      <c r="N2186" t="n">
        <v>0</v>
      </c>
      <c r="O2186" t="n">
        <v>0</v>
      </c>
      <c r="P2186" t="n">
        <v>0</v>
      </c>
      <c r="Q2186" t="n">
        <v>0</v>
      </c>
      <c r="R2186" t="n">
        <v>0</v>
      </c>
      <c r="S2186" t="n">
        <v>0</v>
      </c>
      <c r="T2186" t="n">
        <v>0</v>
      </c>
      <c r="U2186" t="n">
        <v>0</v>
      </c>
      <c r="V2186" s="2" t="inlineStr"/>
    </row>
    <row r="2187" ht="15" customHeight="1">
      <c r="A2187" t="inlineStr">
        <is>
          <t>A 58650-2025</t>
        </is>
      </c>
      <c r="B2187" t="inlineStr">
        <is>
          <t>avverkningsanmälan</t>
        </is>
      </c>
      <c r="C2187" t="inlineStr">
        <is>
          <t>Föryngringsavverkning</t>
        </is>
      </c>
      <c r="D2187" s="1" t="n">
        <v>45986</v>
      </c>
      <c r="E2187" s="1" t="n">
        <v>46313</v>
      </c>
      <c r="F2187" t="inlineStr">
        <is>
          <t>SÖDERMANLANDS LÄN</t>
        </is>
      </c>
      <c r="G2187" t="inlineStr">
        <is>
          <t>NYKÖPING</t>
        </is>
      </c>
      <c r="I2187" t="n">
        <v>0.7</v>
      </c>
      <c r="J2187" t="n">
        <v>0</v>
      </c>
      <c r="K2187" t="n">
        <v>0</v>
      </c>
      <c r="L2187" t="n">
        <v>0</v>
      </c>
      <c r="M2187" t="n">
        <v>0</v>
      </c>
      <c r="N2187" t="n">
        <v>0</v>
      </c>
      <c r="O2187" t="n">
        <v>0</v>
      </c>
      <c r="P2187" t="n">
        <v>0</v>
      </c>
      <c r="Q2187" t="n">
        <v>0</v>
      </c>
      <c r="R2187" t="n">
        <v>0</v>
      </c>
      <c r="S2187" t="n">
        <v>0</v>
      </c>
      <c r="T2187" t="n">
        <v>0</v>
      </c>
      <c r="U2187" t="n">
        <v>0</v>
      </c>
      <c r="V2187" s="2" t="inlineStr"/>
    </row>
    <row r="2188" ht="15" customHeight="1">
      <c r="A2188" t="inlineStr">
        <is>
          <t>A 1174-2022</t>
        </is>
      </c>
      <c r="B2188" t="inlineStr">
        <is>
          <t>avverkningsanmälan</t>
        </is>
      </c>
      <c r="C2188" t="inlineStr">
        <is>
          <t>Föryngringsavverkning</t>
        </is>
      </c>
      <c r="D2188" s="1" t="n">
        <v>44572</v>
      </c>
      <c r="E2188" s="1" t="n">
        <v>46313</v>
      </c>
      <c r="F2188" t="inlineStr">
        <is>
          <t>SÖDERMANLANDS LÄN</t>
        </is>
      </c>
      <c r="G2188" t="inlineStr">
        <is>
          <t>ESKILSTUNA</t>
        </is>
      </c>
      <c r="I2188" t="n">
        <v>1.6</v>
      </c>
      <c r="J2188" t="n">
        <v>0</v>
      </c>
      <c r="K2188" t="n">
        <v>0</v>
      </c>
      <c r="L2188" t="n">
        <v>0</v>
      </c>
      <c r="M2188" t="n">
        <v>0</v>
      </c>
      <c r="N2188" t="n">
        <v>0</v>
      </c>
      <c r="O2188" t="n">
        <v>0</v>
      </c>
      <c r="P2188" t="n">
        <v>0</v>
      </c>
      <c r="Q2188" t="n">
        <v>0</v>
      </c>
      <c r="R2188" t="n">
        <v>0</v>
      </c>
      <c r="S2188" t="n">
        <v>0</v>
      </c>
      <c r="T2188" t="n">
        <v>0</v>
      </c>
      <c r="U2188" t="n">
        <v>0</v>
      </c>
      <c r="V2188" s="2" t="inlineStr"/>
    </row>
    <row r="2189" ht="15" customHeight="1">
      <c r="A2189" t="inlineStr">
        <is>
          <t>A 20327-2023</t>
        </is>
      </c>
      <c r="B2189" t="inlineStr">
        <is>
          <t>avverkningsanmälan</t>
        </is>
      </c>
      <c r="C2189" t="inlineStr">
        <is>
          <t>Föryngringsavverkning</t>
        </is>
      </c>
      <c r="D2189" s="1" t="n">
        <v>45056</v>
      </c>
      <c r="E2189" s="1" t="n">
        <v>46313</v>
      </c>
      <c r="F2189" t="inlineStr">
        <is>
          <t>SÖDERMANLANDS LÄN</t>
        </is>
      </c>
      <c r="G2189" t="inlineStr">
        <is>
          <t>NYKÖPING</t>
        </is>
      </c>
      <c r="I2189" t="n">
        <v>0.3</v>
      </c>
      <c r="J2189" t="n">
        <v>0</v>
      </c>
      <c r="K2189" t="n">
        <v>0</v>
      </c>
      <c r="L2189" t="n">
        <v>0</v>
      </c>
      <c r="M2189" t="n">
        <v>0</v>
      </c>
      <c r="N2189" t="n">
        <v>0</v>
      </c>
      <c r="O2189" t="n">
        <v>0</v>
      </c>
      <c r="P2189" t="n">
        <v>0</v>
      </c>
      <c r="Q2189" t="n">
        <v>0</v>
      </c>
      <c r="R2189" t="n">
        <v>0</v>
      </c>
      <c r="S2189" t="n">
        <v>0</v>
      </c>
      <c r="T2189" t="n">
        <v>0</v>
      </c>
      <c r="U2189" t="n">
        <v>0</v>
      </c>
      <c r="V2189" s="2" t="inlineStr"/>
    </row>
    <row r="2190" ht="15" customHeight="1">
      <c r="A2190" t="inlineStr">
        <is>
          <t>A 26685-2026</t>
        </is>
      </c>
      <c r="B2190" t="inlineStr">
        <is>
          <t>avverkningsanmälan</t>
        </is>
      </c>
      <c r="C2190" t="inlineStr">
        <is>
          <t>Föryngringsavverkning</t>
        </is>
      </c>
      <c r="D2190" s="1" t="n">
        <v>46184</v>
      </c>
      <c r="E2190" s="1" t="n">
        <v>46313</v>
      </c>
      <c r="F2190" t="inlineStr">
        <is>
          <t>SÖDERMANLANDS LÄN</t>
        </is>
      </c>
      <c r="G2190" t="inlineStr">
        <is>
          <t>NYKÖPING</t>
        </is>
      </c>
      <c r="I2190" t="n">
        <v>2.3</v>
      </c>
      <c r="J2190" t="n">
        <v>0</v>
      </c>
      <c r="K2190" t="n">
        <v>0</v>
      </c>
      <c r="L2190" t="n">
        <v>0</v>
      </c>
      <c r="M2190" t="n">
        <v>0</v>
      </c>
      <c r="N2190" t="n">
        <v>0</v>
      </c>
      <c r="O2190" t="n">
        <v>0</v>
      </c>
      <c r="P2190" t="n">
        <v>0</v>
      </c>
      <c r="Q2190" t="n">
        <v>0</v>
      </c>
      <c r="R2190" t="n">
        <v>0</v>
      </c>
      <c r="S2190" t="n">
        <v>0</v>
      </c>
      <c r="T2190" t="n">
        <v>0</v>
      </c>
      <c r="U2190" t="n">
        <v>0</v>
      </c>
      <c r="V2190" s="2" t="inlineStr"/>
    </row>
    <row r="2191" ht="15" customHeight="1">
      <c r="A2191" t="inlineStr">
        <is>
          <t>A 58653-2025</t>
        </is>
      </c>
      <c r="B2191" t="inlineStr">
        <is>
          <t>avverkningsanmälan</t>
        </is>
      </c>
      <c r="C2191" t="inlineStr">
        <is>
          <t>Föryngringsavverkning</t>
        </is>
      </c>
      <c r="D2191" s="1" t="n">
        <v>45986</v>
      </c>
      <c r="E2191" s="1" t="n">
        <v>46313</v>
      </c>
      <c r="F2191" t="inlineStr">
        <is>
          <t>SÖDERMANLANDS LÄN</t>
        </is>
      </c>
      <c r="G2191" t="inlineStr">
        <is>
          <t>NYKÖPING</t>
        </is>
      </c>
      <c r="I2191" t="n">
        <v>1.3</v>
      </c>
      <c r="J2191" t="n">
        <v>0</v>
      </c>
      <c r="K2191" t="n">
        <v>0</v>
      </c>
      <c r="L2191" t="n">
        <v>0</v>
      </c>
      <c r="M2191" t="n">
        <v>0</v>
      </c>
      <c r="N2191" t="n">
        <v>0</v>
      </c>
      <c r="O2191" t="n">
        <v>0</v>
      </c>
      <c r="P2191" t="n">
        <v>0</v>
      </c>
      <c r="Q2191" t="n">
        <v>0</v>
      </c>
      <c r="R2191" t="n">
        <v>0</v>
      </c>
      <c r="S2191" t="n">
        <v>0</v>
      </c>
      <c r="T2191" t="n">
        <v>0</v>
      </c>
      <c r="U2191" t="n">
        <v>0</v>
      </c>
      <c r="V2191" s="2" t="inlineStr"/>
    </row>
    <row r="2192" ht="15" customHeight="1">
      <c r="A2192" t="inlineStr">
        <is>
          <t>A 35076-2022</t>
        </is>
      </c>
      <c r="B2192" t="inlineStr">
        <is>
          <t>avverkningsanmälan</t>
        </is>
      </c>
      <c r="C2192" t="inlineStr">
        <is>
          <t>Föryngringsavverkning</t>
        </is>
      </c>
      <c r="D2192" s="1" t="n">
        <v>44797</v>
      </c>
      <c r="E2192" s="1" t="n">
        <v>46313</v>
      </c>
      <c r="F2192" t="inlineStr">
        <is>
          <t>SÖDERMANLANDS LÄN</t>
        </is>
      </c>
      <c r="G2192" t="inlineStr">
        <is>
          <t>ESKILSTUNA</t>
        </is>
      </c>
      <c r="I2192" t="n">
        <v>1</v>
      </c>
      <c r="J2192" t="n">
        <v>0</v>
      </c>
      <c r="K2192" t="n">
        <v>0</v>
      </c>
      <c r="L2192" t="n">
        <v>0</v>
      </c>
      <c r="M2192" t="n">
        <v>0</v>
      </c>
      <c r="N2192" t="n">
        <v>0</v>
      </c>
      <c r="O2192" t="n">
        <v>0</v>
      </c>
      <c r="P2192" t="n">
        <v>0</v>
      </c>
      <c r="Q2192" t="n">
        <v>0</v>
      </c>
      <c r="R2192" t="n">
        <v>0</v>
      </c>
      <c r="S2192" t="n">
        <v>0</v>
      </c>
      <c r="T2192" t="n">
        <v>0</v>
      </c>
      <c r="U2192" t="n">
        <v>0</v>
      </c>
      <c r="V2192" s="2" t="inlineStr"/>
    </row>
    <row r="2193" ht="15" customHeight="1">
      <c r="A2193" t="inlineStr">
        <is>
          <t>A 24284-2024</t>
        </is>
      </c>
      <c r="B2193" t="inlineStr">
        <is>
          <t>avverkningsanmälan</t>
        </is>
      </c>
      <c r="C2193" t="inlineStr">
        <is>
          <t>Avverkning för att bevara och utveckla /försöksver</t>
        </is>
      </c>
      <c r="D2193" s="1" t="n">
        <v>45457</v>
      </c>
      <c r="E2193" s="1" t="n">
        <v>46313</v>
      </c>
      <c r="F2193" t="inlineStr">
        <is>
          <t>SÖDERMANLANDS LÄN</t>
        </is>
      </c>
      <c r="G2193" t="inlineStr">
        <is>
          <t>KATRINEHOLM</t>
        </is>
      </c>
      <c r="I2193" t="n">
        <v>1.2</v>
      </c>
      <c r="J2193" t="n">
        <v>0</v>
      </c>
      <c r="K2193" t="n">
        <v>0</v>
      </c>
      <c r="L2193" t="n">
        <v>0</v>
      </c>
      <c r="M2193" t="n">
        <v>0</v>
      </c>
      <c r="N2193" t="n">
        <v>0</v>
      </c>
      <c r="O2193" t="n">
        <v>0</v>
      </c>
      <c r="P2193" t="n">
        <v>0</v>
      </c>
      <c r="Q2193" t="n">
        <v>0</v>
      </c>
      <c r="R2193" t="n">
        <v>0</v>
      </c>
      <c r="S2193" t="n">
        <v>0</v>
      </c>
      <c r="T2193" t="n">
        <v>0</v>
      </c>
      <c r="U2193" t="n">
        <v>0</v>
      </c>
      <c r="V2193" s="2" t="inlineStr"/>
    </row>
    <row r="2194" ht="15" customHeight="1">
      <c r="A2194" t="inlineStr">
        <is>
          <t>A 26643-2026</t>
        </is>
      </c>
      <c r="B2194" t="inlineStr">
        <is>
          <t>avverkningsanmälan</t>
        </is>
      </c>
      <c r="C2194" t="inlineStr">
        <is>
          <t>Föryngringsavverkning</t>
        </is>
      </c>
      <c r="D2194" s="1" t="n">
        <v>46184</v>
      </c>
      <c r="E2194" s="1" t="n">
        <v>46313</v>
      </c>
      <c r="F2194" t="inlineStr">
        <is>
          <t>SÖDERMANLANDS LÄN</t>
        </is>
      </c>
      <c r="G2194" t="inlineStr">
        <is>
          <t>NYKÖPING</t>
        </is>
      </c>
      <c r="H2194" t="inlineStr">
        <is>
          <t>Holmen skog AB</t>
        </is>
      </c>
      <c r="I2194" t="n">
        <v>2</v>
      </c>
      <c r="J2194" t="n">
        <v>0</v>
      </c>
      <c r="K2194" t="n">
        <v>0</v>
      </c>
      <c r="L2194" t="n">
        <v>0</v>
      </c>
      <c r="M2194" t="n">
        <v>0</v>
      </c>
      <c r="N2194" t="n">
        <v>0</v>
      </c>
      <c r="O2194" t="n">
        <v>0</v>
      </c>
      <c r="P2194" t="n">
        <v>0</v>
      </c>
      <c r="Q2194" t="n">
        <v>0</v>
      </c>
      <c r="R2194" t="n">
        <v>0</v>
      </c>
      <c r="S2194" t="n">
        <v>0</v>
      </c>
      <c r="T2194" t="n">
        <v>0</v>
      </c>
      <c r="U2194" t="n">
        <v>0</v>
      </c>
      <c r="V2194" s="2" t="inlineStr"/>
    </row>
    <row r="2195" ht="15" customHeight="1">
      <c r="A2195" t="inlineStr">
        <is>
          <t>A 18860-2023</t>
        </is>
      </c>
      <c r="B2195" t="inlineStr">
        <is>
          <t>avverkningsanmälan</t>
        </is>
      </c>
      <c r="C2195" t="inlineStr">
        <is>
          <t>Föryngringsavverkning</t>
        </is>
      </c>
      <c r="D2195" s="1" t="n">
        <v>45044</v>
      </c>
      <c r="E2195" s="1" t="n">
        <v>46313</v>
      </c>
      <c r="F2195" t="inlineStr">
        <is>
          <t>SÖDERMANLANDS LÄN</t>
        </is>
      </c>
      <c r="G2195" t="inlineStr">
        <is>
          <t>STRÄNGNÄS</t>
        </is>
      </c>
      <c r="I2195" t="n">
        <v>2.5</v>
      </c>
      <c r="J2195" t="n">
        <v>0</v>
      </c>
      <c r="K2195" t="n">
        <v>0</v>
      </c>
      <c r="L2195" t="n">
        <v>0</v>
      </c>
      <c r="M2195" t="n">
        <v>0</v>
      </c>
      <c r="N2195" t="n">
        <v>0</v>
      </c>
      <c r="O2195" t="n">
        <v>0</v>
      </c>
      <c r="P2195" t="n">
        <v>0</v>
      </c>
      <c r="Q2195" t="n">
        <v>0</v>
      </c>
      <c r="R2195" t="n">
        <v>0</v>
      </c>
      <c r="S2195" t="n">
        <v>0</v>
      </c>
      <c r="T2195" t="n">
        <v>0</v>
      </c>
      <c r="U2195" t="n">
        <v>0</v>
      </c>
      <c r="V2195" s="2" t="inlineStr"/>
    </row>
    <row r="2196" ht="15" customHeight="1">
      <c r="A2196" t="inlineStr">
        <is>
          <t>A 18865-2023</t>
        </is>
      </c>
      <c r="B2196" t="inlineStr">
        <is>
          <t>avverkningsanmälan</t>
        </is>
      </c>
      <c r="C2196" t="inlineStr">
        <is>
          <t>Föryngringsavverkning</t>
        </is>
      </c>
      <c r="D2196" s="1" t="n">
        <v>45044</v>
      </c>
      <c r="E2196" s="1" t="n">
        <v>46313</v>
      </c>
      <c r="F2196" t="inlineStr">
        <is>
          <t>SÖDERMANLANDS LÄN</t>
        </is>
      </c>
      <c r="G2196" t="inlineStr">
        <is>
          <t>STRÄNGNÄS</t>
        </is>
      </c>
      <c r="I2196" t="n">
        <v>1.1</v>
      </c>
      <c r="J2196" t="n">
        <v>0</v>
      </c>
      <c r="K2196" t="n">
        <v>0</v>
      </c>
      <c r="L2196" t="n">
        <v>0</v>
      </c>
      <c r="M2196" t="n">
        <v>0</v>
      </c>
      <c r="N2196" t="n">
        <v>0</v>
      </c>
      <c r="O2196" t="n">
        <v>0</v>
      </c>
      <c r="P2196" t="n">
        <v>0</v>
      </c>
      <c r="Q2196" t="n">
        <v>0</v>
      </c>
      <c r="R2196" t="n">
        <v>0</v>
      </c>
      <c r="S2196" t="n">
        <v>0</v>
      </c>
      <c r="T2196" t="n">
        <v>0</v>
      </c>
      <c r="U2196" t="n">
        <v>0</v>
      </c>
      <c r="V2196" s="2" t="inlineStr"/>
    </row>
    <row r="2197" ht="15" customHeight="1">
      <c r="A2197" t="inlineStr">
        <is>
          <t>A 66393-2021</t>
        </is>
      </c>
      <c r="B2197" t="inlineStr">
        <is>
          <t>avverkningsanmälan</t>
        </is>
      </c>
      <c r="C2197" t="inlineStr">
        <is>
          <t>Föryngringsavverkning</t>
        </is>
      </c>
      <c r="D2197" s="1" t="n">
        <v>44518</v>
      </c>
      <c r="E2197" s="1" t="n">
        <v>46313</v>
      </c>
      <c r="F2197" t="inlineStr">
        <is>
          <t>SÖDERMANLANDS LÄN</t>
        </is>
      </c>
      <c r="G2197" t="inlineStr">
        <is>
          <t>KATRINEHOLM</t>
        </is>
      </c>
      <c r="H2197" t="inlineStr">
        <is>
          <t>Holmen skog AB</t>
        </is>
      </c>
      <c r="I2197" t="n">
        <v>0.4</v>
      </c>
      <c r="J2197" t="n">
        <v>0</v>
      </c>
      <c r="K2197" t="n">
        <v>0</v>
      </c>
      <c r="L2197" t="n">
        <v>0</v>
      </c>
      <c r="M2197" t="n">
        <v>0</v>
      </c>
      <c r="N2197" t="n">
        <v>0</v>
      </c>
      <c r="O2197" t="n">
        <v>0</v>
      </c>
      <c r="P2197" t="n">
        <v>0</v>
      </c>
      <c r="Q2197" t="n">
        <v>0</v>
      </c>
      <c r="R2197" t="n">
        <v>0</v>
      </c>
      <c r="S2197" t="n">
        <v>0</v>
      </c>
      <c r="T2197" t="n">
        <v>0</v>
      </c>
      <c r="U2197" t="n">
        <v>0</v>
      </c>
      <c r="V2197" s="2" t="inlineStr"/>
    </row>
    <row r="2198" ht="15" customHeight="1">
      <c r="A2198" t="inlineStr">
        <is>
          <t>A 26444-2026</t>
        </is>
      </c>
      <c r="B2198" t="inlineStr">
        <is>
          <t>avverkningsanmälan</t>
        </is>
      </c>
      <c r="C2198" t="inlineStr">
        <is>
          <t>Föryngringsavverkning</t>
        </is>
      </c>
      <c r="D2198" s="1" t="n">
        <v>46183</v>
      </c>
      <c r="E2198" s="1" t="n">
        <v>46313</v>
      </c>
      <c r="F2198" t="inlineStr">
        <is>
          <t>SÖDERMANLANDS LÄN</t>
        </is>
      </c>
      <c r="G2198" t="inlineStr">
        <is>
          <t>FLEN</t>
        </is>
      </c>
      <c r="H2198" t="inlineStr">
        <is>
          <t>Holmen skog AB</t>
        </is>
      </c>
      <c r="I2198" t="n">
        <v>7.2</v>
      </c>
      <c r="J2198" t="n">
        <v>0</v>
      </c>
      <c r="K2198" t="n">
        <v>0</v>
      </c>
      <c r="L2198" t="n">
        <v>0</v>
      </c>
      <c r="M2198" t="n">
        <v>0</v>
      </c>
      <c r="N2198" t="n">
        <v>0</v>
      </c>
      <c r="O2198" t="n">
        <v>0</v>
      </c>
      <c r="P2198" t="n">
        <v>0</v>
      </c>
      <c r="Q2198" t="n">
        <v>0</v>
      </c>
      <c r="R2198" t="n">
        <v>0</v>
      </c>
      <c r="S2198" t="n">
        <v>0</v>
      </c>
      <c r="T2198" t="n">
        <v>0</v>
      </c>
      <c r="U2198" t="n">
        <v>0</v>
      </c>
      <c r="V2198" s="2" t="inlineStr"/>
    </row>
    <row r="2199" ht="15" customHeight="1">
      <c r="A2199" t="inlineStr">
        <is>
          <t>A 26686-2026</t>
        </is>
      </c>
      <c r="B2199" t="inlineStr">
        <is>
          <t>avverkningsanmälan</t>
        </is>
      </c>
      <c r="C2199" t="inlineStr">
        <is>
          <t>Föryngringsavverkning</t>
        </is>
      </c>
      <c r="D2199" s="1" t="n">
        <v>46184</v>
      </c>
      <c r="E2199" s="1" t="n">
        <v>46313</v>
      </c>
      <c r="F2199" t="inlineStr">
        <is>
          <t>SÖDERMANLANDS LÄN</t>
        </is>
      </c>
      <c r="G2199" t="inlineStr">
        <is>
          <t>NYKÖPING</t>
        </is>
      </c>
      <c r="I2199" t="n">
        <v>7.9</v>
      </c>
      <c r="J2199" t="n">
        <v>0</v>
      </c>
      <c r="K2199" t="n">
        <v>0</v>
      </c>
      <c r="L2199" t="n">
        <v>0</v>
      </c>
      <c r="M2199" t="n">
        <v>0</v>
      </c>
      <c r="N2199" t="n">
        <v>0</v>
      </c>
      <c r="O2199" t="n">
        <v>0</v>
      </c>
      <c r="P2199" t="n">
        <v>0</v>
      </c>
      <c r="Q2199" t="n">
        <v>0</v>
      </c>
      <c r="R2199" t="n">
        <v>0</v>
      </c>
      <c r="S2199" t="n">
        <v>0</v>
      </c>
      <c r="T2199" t="n">
        <v>0</v>
      </c>
      <c r="U2199" t="n">
        <v>0</v>
      </c>
      <c r="V2199" s="2" t="inlineStr"/>
    </row>
    <row r="2200" ht="15" customHeight="1">
      <c r="A2200" t="inlineStr">
        <is>
          <t>A 26687-2026</t>
        </is>
      </c>
      <c r="B2200" t="inlineStr">
        <is>
          <t>avverkningsanmälan</t>
        </is>
      </c>
      <c r="C2200" t="inlineStr">
        <is>
          <t>Föryngringsavverkning</t>
        </is>
      </c>
      <c r="D2200" s="1" t="n">
        <v>46184</v>
      </c>
      <c r="E2200" s="1" t="n">
        <v>46313</v>
      </c>
      <c r="F2200" t="inlineStr">
        <is>
          <t>SÖDERMANLANDS LÄN</t>
        </is>
      </c>
      <c r="G2200" t="inlineStr">
        <is>
          <t>NYKÖPING</t>
        </is>
      </c>
      <c r="I2200" t="n">
        <v>5.9</v>
      </c>
      <c r="J2200" t="n">
        <v>0</v>
      </c>
      <c r="K2200" t="n">
        <v>0</v>
      </c>
      <c r="L2200" t="n">
        <v>0</v>
      </c>
      <c r="M2200" t="n">
        <v>0</v>
      </c>
      <c r="N2200" t="n">
        <v>0</v>
      </c>
      <c r="O2200" t="n">
        <v>0</v>
      </c>
      <c r="P2200" t="n">
        <v>0</v>
      </c>
      <c r="Q2200" t="n">
        <v>0</v>
      </c>
      <c r="R2200" t="n">
        <v>0</v>
      </c>
      <c r="S2200" t="n">
        <v>0</v>
      </c>
      <c r="T2200" t="n">
        <v>0</v>
      </c>
      <c r="U2200" t="n">
        <v>0</v>
      </c>
      <c r="V2200" s="2" t="inlineStr"/>
    </row>
    <row r="2201" ht="15" customHeight="1">
      <c r="A2201" t="inlineStr">
        <is>
          <t>A 60634-2022</t>
        </is>
      </c>
      <c r="B2201" t="inlineStr">
        <is>
          <t>avverkningsanmälan</t>
        </is>
      </c>
      <c r="C2201" t="inlineStr">
        <is>
          <t>Föryngringsavverkning</t>
        </is>
      </c>
      <c r="D2201" s="1" t="n">
        <v>44911</v>
      </c>
      <c r="E2201" s="1" t="n">
        <v>46313</v>
      </c>
      <c r="F2201" t="inlineStr">
        <is>
          <t>SÖDERMANLANDS LÄN</t>
        </is>
      </c>
      <c r="G2201" t="inlineStr">
        <is>
          <t>NYKÖPING</t>
        </is>
      </c>
      <c r="I2201" t="n">
        <v>1.4</v>
      </c>
      <c r="J2201" t="n">
        <v>0</v>
      </c>
      <c r="K2201" t="n">
        <v>0</v>
      </c>
      <c r="L2201" t="n">
        <v>0</v>
      </c>
      <c r="M2201" t="n">
        <v>0</v>
      </c>
      <c r="N2201" t="n">
        <v>0</v>
      </c>
      <c r="O2201" t="n">
        <v>0</v>
      </c>
      <c r="P2201" t="n">
        <v>0</v>
      </c>
      <c r="Q2201" t="n">
        <v>0</v>
      </c>
      <c r="R2201" t="n">
        <v>0</v>
      </c>
      <c r="S2201" t="n">
        <v>0</v>
      </c>
      <c r="T2201" t="n">
        <v>0</v>
      </c>
      <c r="U2201" t="n">
        <v>0</v>
      </c>
      <c r="V2201" s="2" t="inlineStr"/>
    </row>
    <row r="2202" ht="15" customHeight="1">
      <c r="A2202" t="inlineStr">
        <is>
          <t>A 13296-2023</t>
        </is>
      </c>
      <c r="B2202" t="inlineStr">
        <is>
          <t>avverkningsanmälan</t>
        </is>
      </c>
      <c r="C2202" t="inlineStr">
        <is>
          <t>Föryngringsavverkning</t>
        </is>
      </c>
      <c r="D2202" s="1" t="n">
        <v>45005</v>
      </c>
      <c r="E2202" s="1" t="n">
        <v>46313</v>
      </c>
      <c r="F2202" t="inlineStr">
        <is>
          <t>SÖDERMANLANDS LÄN</t>
        </is>
      </c>
      <c r="G2202" t="inlineStr">
        <is>
          <t>NYKÖPING</t>
        </is>
      </c>
      <c r="I2202" t="n">
        <v>4</v>
      </c>
      <c r="J2202" t="n">
        <v>0</v>
      </c>
      <c r="K2202" t="n">
        <v>0</v>
      </c>
      <c r="L2202" t="n">
        <v>0</v>
      </c>
      <c r="M2202" t="n">
        <v>0</v>
      </c>
      <c r="N2202" t="n">
        <v>0</v>
      </c>
      <c r="O2202" t="n">
        <v>0</v>
      </c>
      <c r="P2202" t="n">
        <v>0</v>
      </c>
      <c r="Q2202" t="n">
        <v>0</v>
      </c>
      <c r="R2202" t="n">
        <v>0</v>
      </c>
      <c r="S2202" t="n">
        <v>0</v>
      </c>
      <c r="T2202" t="n">
        <v>0</v>
      </c>
      <c r="U2202" t="n">
        <v>0</v>
      </c>
      <c r="V2202" s="2" t="inlineStr"/>
    </row>
    <row r="2203" ht="15" customHeight="1">
      <c r="A2203" t="inlineStr">
        <is>
          <t>A 50840-2022</t>
        </is>
      </c>
      <c r="B2203" t="inlineStr">
        <is>
          <t>avverkningsanmälan</t>
        </is>
      </c>
      <c r="C2203" t="inlineStr">
        <is>
          <t>Föryngringsavverkning</t>
        </is>
      </c>
      <c r="D2203" s="1" t="n">
        <v>44862</v>
      </c>
      <c r="E2203" s="1" t="n">
        <v>46313</v>
      </c>
      <c r="F2203" t="inlineStr">
        <is>
          <t>SÖDERMANLANDS LÄN</t>
        </is>
      </c>
      <c r="G2203" t="inlineStr">
        <is>
          <t>KATRINEHOLM</t>
        </is>
      </c>
      <c r="I2203" t="n">
        <v>4.2</v>
      </c>
      <c r="J2203" t="n">
        <v>0</v>
      </c>
      <c r="K2203" t="n">
        <v>0</v>
      </c>
      <c r="L2203" t="n">
        <v>0</v>
      </c>
      <c r="M2203" t="n">
        <v>0</v>
      </c>
      <c r="N2203" t="n">
        <v>0</v>
      </c>
      <c r="O2203" t="n">
        <v>0</v>
      </c>
      <c r="P2203" t="n">
        <v>0</v>
      </c>
      <c r="Q2203" t="n">
        <v>0</v>
      </c>
      <c r="R2203" t="n">
        <v>0</v>
      </c>
      <c r="S2203" t="n">
        <v>0</v>
      </c>
      <c r="T2203" t="n">
        <v>0</v>
      </c>
      <c r="U2203" t="n">
        <v>0</v>
      </c>
      <c r="V2203" s="2" t="inlineStr"/>
    </row>
    <row r="2204" ht="15" customHeight="1">
      <c r="A2204" t="inlineStr">
        <is>
          <t>A 27109-2026</t>
        </is>
      </c>
      <c r="B2204" t="inlineStr">
        <is>
          <t>avverkningsanmälan</t>
        </is>
      </c>
      <c r="C2204" t="inlineStr">
        <is>
          <t>Föryngringsavverkning</t>
        </is>
      </c>
      <c r="D2204" s="1" t="n">
        <v>46188</v>
      </c>
      <c r="E2204" s="1" t="n">
        <v>46313</v>
      </c>
      <c r="F2204" t="inlineStr">
        <is>
          <t>SÖDERMANLANDS LÄN</t>
        </is>
      </c>
      <c r="G2204" t="inlineStr">
        <is>
          <t>KATRINEHOLM</t>
        </is>
      </c>
      <c r="I2204" t="n">
        <v>0.6</v>
      </c>
      <c r="J2204" t="n">
        <v>0</v>
      </c>
      <c r="K2204" t="n">
        <v>0</v>
      </c>
      <c r="L2204" t="n">
        <v>0</v>
      </c>
      <c r="M2204" t="n">
        <v>0</v>
      </c>
      <c r="N2204" t="n">
        <v>0</v>
      </c>
      <c r="O2204" t="n">
        <v>0</v>
      </c>
      <c r="P2204" t="n">
        <v>0</v>
      </c>
      <c r="Q2204" t="n">
        <v>0</v>
      </c>
      <c r="R2204" t="n">
        <v>0</v>
      </c>
      <c r="S2204" t="n">
        <v>0</v>
      </c>
      <c r="T2204" t="n">
        <v>0</v>
      </c>
      <c r="U2204" t="n">
        <v>0</v>
      </c>
      <c r="V2204" s="2" t="inlineStr"/>
    </row>
    <row r="2205" ht="15" customHeight="1">
      <c r="A2205" t="inlineStr">
        <is>
          <t>A 51375-2022</t>
        </is>
      </c>
      <c r="B2205" t="inlineStr">
        <is>
          <t>avverkningsanmälan</t>
        </is>
      </c>
      <c r="C2205" t="inlineStr">
        <is>
          <t>Föryngringsavverkning</t>
        </is>
      </c>
      <c r="D2205" s="1" t="n">
        <v>44869</v>
      </c>
      <c r="E2205" s="1" t="n">
        <v>46313</v>
      </c>
      <c r="F2205" t="inlineStr">
        <is>
          <t>SÖDERMANLANDS LÄN</t>
        </is>
      </c>
      <c r="G2205" t="inlineStr">
        <is>
          <t>GNESTA</t>
        </is>
      </c>
      <c r="I2205" t="n">
        <v>1.7</v>
      </c>
      <c r="J2205" t="n">
        <v>0</v>
      </c>
      <c r="K2205" t="n">
        <v>0</v>
      </c>
      <c r="L2205" t="n">
        <v>0</v>
      </c>
      <c r="M2205" t="n">
        <v>0</v>
      </c>
      <c r="N2205" t="n">
        <v>0</v>
      </c>
      <c r="O2205" t="n">
        <v>0</v>
      </c>
      <c r="P2205" t="n">
        <v>0</v>
      </c>
      <c r="Q2205" t="n">
        <v>0</v>
      </c>
      <c r="R2205" t="n">
        <v>0</v>
      </c>
      <c r="S2205" t="n">
        <v>0</v>
      </c>
      <c r="T2205" t="n">
        <v>0</v>
      </c>
      <c r="U2205" t="n">
        <v>0</v>
      </c>
      <c r="V2205" s="2" t="inlineStr"/>
    </row>
    <row r="2206" ht="15" customHeight="1">
      <c r="A2206" t="inlineStr">
        <is>
          <t>A 27304-2026</t>
        </is>
      </c>
      <c r="B2206" t="inlineStr">
        <is>
          <t>avverkningsanmälan</t>
        </is>
      </c>
      <c r="C2206" t="inlineStr">
        <is>
          <t>Föryngringsavverkning</t>
        </is>
      </c>
      <c r="D2206" s="1" t="n">
        <v>46188</v>
      </c>
      <c r="E2206" s="1" t="n">
        <v>46313</v>
      </c>
      <c r="F2206" t="inlineStr">
        <is>
          <t>SÖDERMANLANDS LÄN</t>
        </is>
      </c>
      <c r="G2206" t="inlineStr">
        <is>
          <t>FLEN</t>
        </is>
      </c>
      <c r="I2206" t="n">
        <v>3.1</v>
      </c>
      <c r="J2206" t="n">
        <v>0</v>
      </c>
      <c r="K2206" t="n">
        <v>0</v>
      </c>
      <c r="L2206" t="n">
        <v>0</v>
      </c>
      <c r="M2206" t="n">
        <v>0</v>
      </c>
      <c r="N2206" t="n">
        <v>0</v>
      </c>
      <c r="O2206" t="n">
        <v>0</v>
      </c>
      <c r="P2206" t="n">
        <v>0</v>
      </c>
      <c r="Q2206" t="n">
        <v>0</v>
      </c>
      <c r="R2206" t="n">
        <v>0</v>
      </c>
      <c r="S2206" t="n">
        <v>0</v>
      </c>
      <c r="T2206" t="n">
        <v>0</v>
      </c>
      <c r="U2206" t="n">
        <v>0</v>
      </c>
      <c r="V2206" s="2" t="inlineStr"/>
    </row>
    <row r="2207" ht="15" customHeight="1">
      <c r="A2207" t="inlineStr">
        <is>
          <t>A 14245-2024</t>
        </is>
      </c>
      <c r="B2207" t="inlineStr">
        <is>
          <t>avverkningsanmälan</t>
        </is>
      </c>
      <c r="C2207" t="inlineStr">
        <is>
          <t>Föryngringsavverkning</t>
        </is>
      </c>
      <c r="D2207" s="1" t="n">
        <v>45393</v>
      </c>
      <c r="E2207" s="1" t="n">
        <v>46313</v>
      </c>
      <c r="F2207" t="inlineStr">
        <is>
          <t>SÖDERMANLANDS LÄN</t>
        </is>
      </c>
      <c r="G2207" t="inlineStr">
        <is>
          <t>KATRINEHOLM</t>
        </is>
      </c>
      <c r="H2207" t="inlineStr">
        <is>
          <t>Sveaskog</t>
        </is>
      </c>
      <c r="I2207" t="n">
        <v>0.5</v>
      </c>
      <c r="J2207" t="n">
        <v>0</v>
      </c>
      <c r="K2207" t="n">
        <v>0</v>
      </c>
      <c r="L2207" t="n">
        <v>0</v>
      </c>
      <c r="M2207" t="n">
        <v>0</v>
      </c>
      <c r="N2207" t="n">
        <v>0</v>
      </c>
      <c r="O2207" t="n">
        <v>0</v>
      </c>
      <c r="P2207" t="n">
        <v>0</v>
      </c>
      <c r="Q2207" t="n">
        <v>0</v>
      </c>
      <c r="R2207" t="n">
        <v>0</v>
      </c>
      <c r="S2207" t="n">
        <v>0</v>
      </c>
      <c r="T2207" t="n">
        <v>0</v>
      </c>
      <c r="U2207" t="n">
        <v>0</v>
      </c>
      <c r="V2207" s="2" t="inlineStr"/>
    </row>
    <row r="2208" ht="15" customHeight="1">
      <c r="A2208" t="inlineStr">
        <is>
          <t>A 69244-2021</t>
        </is>
      </c>
      <c r="B2208" t="inlineStr">
        <is>
          <t>avverkningsanmälan</t>
        </is>
      </c>
      <c r="C2208" t="inlineStr">
        <is>
          <t>Föryngringsavverkning</t>
        </is>
      </c>
      <c r="D2208" s="1" t="n">
        <v>44530</v>
      </c>
      <c r="E2208" s="1" t="n">
        <v>46313</v>
      </c>
      <c r="F2208" t="inlineStr">
        <is>
          <t>SÖDERMANLANDS LÄN</t>
        </is>
      </c>
      <c r="G2208" t="inlineStr">
        <is>
          <t>NYKÖPING</t>
        </is>
      </c>
      <c r="I2208" t="n">
        <v>3.2</v>
      </c>
      <c r="J2208" t="n">
        <v>0</v>
      </c>
      <c r="K2208" t="n">
        <v>0</v>
      </c>
      <c r="L2208" t="n">
        <v>0</v>
      </c>
      <c r="M2208" t="n">
        <v>0</v>
      </c>
      <c r="N2208" t="n">
        <v>0</v>
      </c>
      <c r="O2208" t="n">
        <v>0</v>
      </c>
      <c r="P2208" t="n">
        <v>0</v>
      </c>
      <c r="Q2208" t="n">
        <v>0</v>
      </c>
      <c r="R2208" t="n">
        <v>0</v>
      </c>
      <c r="S2208" t="n">
        <v>0</v>
      </c>
      <c r="T2208" t="n">
        <v>0</v>
      </c>
      <c r="U2208" t="n">
        <v>0</v>
      </c>
      <c r="V2208" s="2" t="inlineStr"/>
    </row>
    <row r="2209" ht="15" customHeight="1">
      <c r="A2209" t="inlineStr">
        <is>
          <t>A 58676-2025</t>
        </is>
      </c>
      <c r="B2209" t="inlineStr">
        <is>
          <t>avverkningsanmälan</t>
        </is>
      </c>
      <c r="C2209" t="inlineStr">
        <is>
          <t>Föryngringsavverkning</t>
        </is>
      </c>
      <c r="D2209" s="1" t="n">
        <v>45986</v>
      </c>
      <c r="E2209" s="1" t="n">
        <v>46313</v>
      </c>
      <c r="F2209" t="inlineStr">
        <is>
          <t>SÖDERMANLANDS LÄN</t>
        </is>
      </c>
      <c r="G2209" t="inlineStr">
        <is>
          <t>NYKÖPING</t>
        </is>
      </c>
      <c r="I2209" t="n">
        <v>1.9</v>
      </c>
      <c r="J2209" t="n">
        <v>0</v>
      </c>
      <c r="K2209" t="n">
        <v>0</v>
      </c>
      <c r="L2209" t="n">
        <v>0</v>
      </c>
      <c r="M2209" t="n">
        <v>0</v>
      </c>
      <c r="N2209" t="n">
        <v>0</v>
      </c>
      <c r="O2209" t="n">
        <v>0</v>
      </c>
      <c r="P2209" t="n">
        <v>0</v>
      </c>
      <c r="Q2209" t="n">
        <v>0</v>
      </c>
      <c r="R2209" t="n">
        <v>0</v>
      </c>
      <c r="S2209" t="n">
        <v>0</v>
      </c>
      <c r="T2209" t="n">
        <v>0</v>
      </c>
      <c r="U2209" t="n">
        <v>0</v>
      </c>
      <c r="V2209" s="2" t="inlineStr"/>
    </row>
    <row r="2210" ht="15" customHeight="1">
      <c r="A2210" t="inlineStr">
        <is>
          <t>A 5291-2023</t>
        </is>
      </c>
      <c r="B2210" t="inlineStr">
        <is>
          <t>avverkningsanmälan</t>
        </is>
      </c>
      <c r="C2210" t="inlineStr">
        <is>
          <t>Föryngringsavverkning</t>
        </is>
      </c>
      <c r="D2210" s="1" t="n">
        <v>44959</v>
      </c>
      <c r="E2210" s="1" t="n">
        <v>46313</v>
      </c>
      <c r="F2210" t="inlineStr">
        <is>
          <t>SÖDERMANLANDS LÄN</t>
        </is>
      </c>
      <c r="G2210" t="inlineStr">
        <is>
          <t>NYKÖPING</t>
        </is>
      </c>
      <c r="I2210" t="n">
        <v>6.5</v>
      </c>
      <c r="J2210" t="n">
        <v>0</v>
      </c>
      <c r="K2210" t="n">
        <v>0</v>
      </c>
      <c r="L2210" t="n">
        <v>0</v>
      </c>
      <c r="M2210" t="n">
        <v>0</v>
      </c>
      <c r="N2210" t="n">
        <v>0</v>
      </c>
      <c r="O2210" t="n">
        <v>0</v>
      </c>
      <c r="P2210" t="n">
        <v>0</v>
      </c>
      <c r="Q2210" t="n">
        <v>0</v>
      </c>
      <c r="R2210" t="n">
        <v>0</v>
      </c>
      <c r="S2210" t="n">
        <v>0</v>
      </c>
      <c r="T2210" t="n">
        <v>0</v>
      </c>
      <c r="U2210" t="n">
        <v>0</v>
      </c>
      <c r="V2210" s="2" t="inlineStr"/>
    </row>
    <row r="2211" ht="15" customHeight="1">
      <c r="A2211" t="inlineStr">
        <is>
          <t>A 26848-2026</t>
        </is>
      </c>
      <c r="B2211" t="inlineStr">
        <is>
          <t>avverkningsanmälan</t>
        </is>
      </c>
      <c r="C2211" t="inlineStr">
        <is>
          <t>Föryngringsavverkning</t>
        </is>
      </c>
      <c r="D2211" s="1" t="n">
        <v>46185</v>
      </c>
      <c r="E2211" s="1" t="n">
        <v>46313</v>
      </c>
      <c r="F2211" t="inlineStr">
        <is>
          <t>SÖDERMANLANDS LÄN</t>
        </is>
      </c>
      <c r="G2211" t="inlineStr">
        <is>
          <t>NYKÖPING</t>
        </is>
      </c>
      <c r="I2211" t="n">
        <v>0.7</v>
      </c>
      <c r="J2211" t="n">
        <v>0</v>
      </c>
      <c r="K2211" t="n">
        <v>0</v>
      </c>
      <c r="L2211" t="n">
        <v>0</v>
      </c>
      <c r="M2211" t="n">
        <v>0</v>
      </c>
      <c r="N2211" t="n">
        <v>0</v>
      </c>
      <c r="O2211" t="n">
        <v>0</v>
      </c>
      <c r="P2211" t="n">
        <v>0</v>
      </c>
      <c r="Q2211" t="n">
        <v>0</v>
      </c>
      <c r="R2211" t="n">
        <v>0</v>
      </c>
      <c r="S2211" t="n">
        <v>0</v>
      </c>
      <c r="T2211" t="n">
        <v>0</v>
      </c>
      <c r="U2211" t="n">
        <v>0</v>
      </c>
      <c r="V2211" s="2" t="inlineStr"/>
    </row>
    <row r="2212" ht="15" customHeight="1">
      <c r="A2212" t="inlineStr">
        <is>
          <t>A 38512-2023</t>
        </is>
      </c>
      <c r="B2212" t="inlineStr">
        <is>
          <t>avverkningsanmälan</t>
        </is>
      </c>
      <c r="C2212" t="inlineStr">
        <is>
          <t>Föryngringsavverkning</t>
        </is>
      </c>
      <c r="D2212" s="1" t="n">
        <v>45162</v>
      </c>
      <c r="E2212" s="1" t="n">
        <v>46313</v>
      </c>
      <c r="F2212" t="inlineStr">
        <is>
          <t>SÖDERMANLANDS LÄN</t>
        </is>
      </c>
      <c r="G2212" t="inlineStr">
        <is>
          <t>NYKÖPING</t>
        </is>
      </c>
      <c r="H2212" t="inlineStr">
        <is>
          <t>Kommuner</t>
        </is>
      </c>
      <c r="I2212" t="n">
        <v>3.3</v>
      </c>
      <c r="J2212" t="n">
        <v>0</v>
      </c>
      <c r="K2212" t="n">
        <v>0</v>
      </c>
      <c r="L2212" t="n">
        <v>0</v>
      </c>
      <c r="M2212" t="n">
        <v>0</v>
      </c>
      <c r="N2212" t="n">
        <v>0</v>
      </c>
      <c r="O2212" t="n">
        <v>0</v>
      </c>
      <c r="P2212" t="n">
        <v>0</v>
      </c>
      <c r="Q2212" t="n">
        <v>0</v>
      </c>
      <c r="R2212" t="n">
        <v>0</v>
      </c>
      <c r="S2212" t="n">
        <v>0</v>
      </c>
      <c r="T2212" t="n">
        <v>0</v>
      </c>
      <c r="U2212" t="n">
        <v>0</v>
      </c>
      <c r="V2212" s="2" t="inlineStr"/>
    </row>
    <row r="2213" ht="15" customHeight="1">
      <c r="A2213" t="inlineStr">
        <is>
          <t>A 9434-2026</t>
        </is>
      </c>
      <c r="B2213" t="inlineStr">
        <is>
          <t>avverkningsanmälan</t>
        </is>
      </c>
      <c r="C2213" t="inlineStr">
        <is>
          <t>Föryngringsavverkning</t>
        </is>
      </c>
      <c r="D2213" s="1" t="n">
        <v>46071</v>
      </c>
      <c r="E2213" s="1" t="n">
        <v>46313</v>
      </c>
      <c r="F2213" t="inlineStr">
        <is>
          <t>SÖDERMANLANDS LÄN</t>
        </is>
      </c>
      <c r="G2213" t="inlineStr">
        <is>
          <t>NYKÖPING</t>
        </is>
      </c>
      <c r="I2213" t="n">
        <v>0.8</v>
      </c>
      <c r="J2213" t="n">
        <v>0</v>
      </c>
      <c r="K2213" t="n">
        <v>0</v>
      </c>
      <c r="L2213" t="n">
        <v>0</v>
      </c>
      <c r="M2213" t="n">
        <v>0</v>
      </c>
      <c r="N2213" t="n">
        <v>0</v>
      </c>
      <c r="O2213" t="n">
        <v>0</v>
      </c>
      <c r="P2213" t="n">
        <v>0</v>
      </c>
      <c r="Q2213" t="n">
        <v>0</v>
      </c>
      <c r="R2213" t="n">
        <v>0</v>
      </c>
      <c r="S2213" t="n">
        <v>0</v>
      </c>
      <c r="T2213" t="n">
        <v>0</v>
      </c>
      <c r="U2213" t="n">
        <v>0</v>
      </c>
      <c r="V2213" s="2" t="inlineStr"/>
    </row>
    <row r="2214" ht="15" customHeight="1">
      <c r="A2214" t="inlineStr">
        <is>
          <t>A 19502-2024</t>
        </is>
      </c>
      <c r="B2214" t="inlineStr">
        <is>
          <t>avverkningsanmälan</t>
        </is>
      </c>
      <c r="C2214" t="inlineStr">
        <is>
          <t>Föryngringsavverkning</t>
        </is>
      </c>
      <c r="D2214" s="1" t="n">
        <v>45429</v>
      </c>
      <c r="E2214" s="1" t="n">
        <v>46313</v>
      </c>
      <c r="F2214" t="inlineStr">
        <is>
          <t>SÖDERMANLANDS LÄN</t>
        </is>
      </c>
      <c r="G2214" t="inlineStr">
        <is>
          <t>ESKILSTUNA</t>
        </is>
      </c>
      <c r="I2214" t="n">
        <v>1.7</v>
      </c>
      <c r="J2214" t="n">
        <v>0</v>
      </c>
      <c r="K2214" t="n">
        <v>0</v>
      </c>
      <c r="L2214" t="n">
        <v>0</v>
      </c>
      <c r="M2214" t="n">
        <v>0</v>
      </c>
      <c r="N2214" t="n">
        <v>0</v>
      </c>
      <c r="O2214" t="n">
        <v>0</v>
      </c>
      <c r="P2214" t="n">
        <v>0</v>
      </c>
      <c r="Q2214" t="n">
        <v>0</v>
      </c>
      <c r="R2214" t="n">
        <v>0</v>
      </c>
      <c r="S2214" t="n">
        <v>0</v>
      </c>
      <c r="T2214" t="n">
        <v>0</v>
      </c>
      <c r="U2214" t="n">
        <v>0</v>
      </c>
      <c r="V2214" s="2" t="inlineStr"/>
    </row>
    <row r="2215" ht="15" customHeight="1">
      <c r="A2215" t="inlineStr">
        <is>
          <t>A 36832-2023</t>
        </is>
      </c>
      <c r="B2215" t="inlineStr">
        <is>
          <t>avverkningsanmälan</t>
        </is>
      </c>
      <c r="C2215" t="inlineStr">
        <is>
          <t>Föryngringsavverkning</t>
        </is>
      </c>
      <c r="D2215" s="1" t="n">
        <v>45153</v>
      </c>
      <c r="E2215" s="1" t="n">
        <v>46313</v>
      </c>
      <c r="F2215" t="inlineStr">
        <is>
          <t>SÖDERMANLANDS LÄN</t>
        </is>
      </c>
      <c r="G2215" t="inlineStr">
        <is>
          <t>KATRINEHOLM</t>
        </is>
      </c>
      <c r="H2215" t="inlineStr">
        <is>
          <t>Övriga Aktiebolag</t>
        </is>
      </c>
      <c r="I2215" t="n">
        <v>9</v>
      </c>
      <c r="J2215" t="n">
        <v>0</v>
      </c>
      <c r="K2215" t="n">
        <v>0</v>
      </c>
      <c r="L2215" t="n">
        <v>0</v>
      </c>
      <c r="M2215" t="n">
        <v>0</v>
      </c>
      <c r="N2215" t="n">
        <v>0</v>
      </c>
      <c r="O2215" t="n">
        <v>0</v>
      </c>
      <c r="P2215" t="n">
        <v>0</v>
      </c>
      <c r="Q2215" t="n">
        <v>0</v>
      </c>
      <c r="R2215" t="n">
        <v>0</v>
      </c>
      <c r="S2215" t="n">
        <v>0</v>
      </c>
      <c r="T2215" t="n">
        <v>0</v>
      </c>
      <c r="U2215" t="n">
        <v>0</v>
      </c>
      <c r="V2215" s="2" t="inlineStr"/>
    </row>
    <row r="2216" ht="15" customHeight="1">
      <c r="A2216" t="inlineStr">
        <is>
          <t>A 1739-2023</t>
        </is>
      </c>
      <c r="B2216" t="inlineStr">
        <is>
          <t>avverkningsanmälan</t>
        </is>
      </c>
      <c r="C2216" t="inlineStr">
        <is>
          <t>Föryngringsavverkning</t>
        </is>
      </c>
      <c r="D2216" s="1" t="n">
        <v>44938</v>
      </c>
      <c r="E2216" s="1" t="n">
        <v>46313</v>
      </c>
      <c r="F2216" t="inlineStr">
        <is>
          <t>SÖDERMANLANDS LÄN</t>
        </is>
      </c>
      <c r="G2216" t="inlineStr">
        <is>
          <t>NYKÖPING</t>
        </is>
      </c>
      <c r="I2216" t="n">
        <v>6</v>
      </c>
      <c r="J2216" t="n">
        <v>0</v>
      </c>
      <c r="K2216" t="n">
        <v>0</v>
      </c>
      <c r="L2216" t="n">
        <v>0</v>
      </c>
      <c r="M2216" t="n">
        <v>0</v>
      </c>
      <c r="N2216" t="n">
        <v>0</v>
      </c>
      <c r="O2216" t="n">
        <v>0</v>
      </c>
      <c r="P2216" t="n">
        <v>0</v>
      </c>
      <c r="Q2216" t="n">
        <v>0</v>
      </c>
      <c r="R2216" t="n">
        <v>0</v>
      </c>
      <c r="S2216" t="n">
        <v>0</v>
      </c>
      <c r="T2216" t="n">
        <v>0</v>
      </c>
      <c r="U2216" t="n">
        <v>0</v>
      </c>
      <c r="V2216" s="2" t="inlineStr"/>
    </row>
    <row r="2217" ht="15" customHeight="1">
      <c r="A2217" t="inlineStr">
        <is>
          <t>A 55054-2023</t>
        </is>
      </c>
      <c r="B2217" t="inlineStr">
        <is>
          <t>avverkningsanmälan</t>
        </is>
      </c>
      <c r="C2217" t="inlineStr">
        <is>
          <t>Föryngringsavverkning</t>
        </is>
      </c>
      <c r="D2217" s="1" t="n">
        <v>45237</v>
      </c>
      <c r="E2217" s="1" t="n">
        <v>46313</v>
      </c>
      <c r="F2217" t="inlineStr">
        <is>
          <t>SÖDERMANLANDS LÄN</t>
        </is>
      </c>
      <c r="G2217" t="inlineStr">
        <is>
          <t>STRÄNGNÄS</t>
        </is>
      </c>
      <c r="H2217" t="inlineStr">
        <is>
          <t>Sveaskog</t>
        </is>
      </c>
      <c r="I2217" t="n">
        <v>1.9</v>
      </c>
      <c r="J2217" t="n">
        <v>0</v>
      </c>
      <c r="K2217" t="n">
        <v>0</v>
      </c>
      <c r="L2217" t="n">
        <v>0</v>
      </c>
      <c r="M2217" t="n">
        <v>0</v>
      </c>
      <c r="N2217" t="n">
        <v>0</v>
      </c>
      <c r="O2217" t="n">
        <v>0</v>
      </c>
      <c r="P2217" t="n">
        <v>0</v>
      </c>
      <c r="Q2217" t="n">
        <v>0</v>
      </c>
      <c r="R2217" t="n">
        <v>0</v>
      </c>
      <c r="S2217" t="n">
        <v>0</v>
      </c>
      <c r="T2217" t="n">
        <v>0</v>
      </c>
      <c r="U2217" t="n">
        <v>0</v>
      </c>
      <c r="V2217" s="2" t="inlineStr"/>
    </row>
    <row r="2218" ht="15" customHeight="1">
      <c r="A2218" t="inlineStr">
        <is>
          <t>A 9511-2026</t>
        </is>
      </c>
      <c r="B2218" t="inlineStr">
        <is>
          <t>avverkningsanmälan</t>
        </is>
      </c>
      <c r="C2218" t="inlineStr">
        <is>
          <t>Föryngringsavverkning</t>
        </is>
      </c>
      <c r="D2218" s="1" t="n">
        <v>46071</v>
      </c>
      <c r="E2218" s="1" t="n">
        <v>46313</v>
      </c>
      <c r="F2218" t="inlineStr">
        <is>
          <t>SÖDERMANLANDS LÄN</t>
        </is>
      </c>
      <c r="G2218" t="inlineStr">
        <is>
          <t>FLEN</t>
        </is>
      </c>
      <c r="I2218" t="n">
        <v>3.7</v>
      </c>
      <c r="J2218" t="n">
        <v>0</v>
      </c>
      <c r="K2218" t="n">
        <v>0</v>
      </c>
      <c r="L2218" t="n">
        <v>0</v>
      </c>
      <c r="M2218" t="n">
        <v>0</v>
      </c>
      <c r="N2218" t="n">
        <v>0</v>
      </c>
      <c r="O2218" t="n">
        <v>0</v>
      </c>
      <c r="P2218" t="n">
        <v>0</v>
      </c>
      <c r="Q2218" t="n">
        <v>0</v>
      </c>
      <c r="R2218" t="n">
        <v>0</v>
      </c>
      <c r="S2218" t="n">
        <v>0</v>
      </c>
      <c r="T2218" t="n">
        <v>0</v>
      </c>
      <c r="U2218" t="n">
        <v>0</v>
      </c>
      <c r="V2218" s="2" t="inlineStr"/>
    </row>
    <row r="2219" ht="15" customHeight="1">
      <c r="A2219" t="inlineStr">
        <is>
          <t>A 8688-2025</t>
        </is>
      </c>
      <c r="B2219" t="inlineStr">
        <is>
          <t>avverkningsanmälan</t>
        </is>
      </c>
      <c r="C2219" t="inlineStr">
        <is>
          <t>Föryngringsavverkning</t>
        </is>
      </c>
      <c r="D2219" s="1" t="n">
        <v>45712</v>
      </c>
      <c r="E2219" s="1" t="n">
        <v>46313</v>
      </c>
      <c r="F2219" t="inlineStr">
        <is>
          <t>SÖDERMANLANDS LÄN</t>
        </is>
      </c>
      <c r="G2219" t="inlineStr">
        <is>
          <t>NYKÖPING</t>
        </is>
      </c>
      <c r="H2219" t="inlineStr">
        <is>
          <t>Holmen skog AB</t>
        </is>
      </c>
      <c r="I2219" t="n">
        <v>9</v>
      </c>
      <c r="J2219" t="n">
        <v>0</v>
      </c>
      <c r="K2219" t="n">
        <v>0</v>
      </c>
      <c r="L2219" t="n">
        <v>0</v>
      </c>
      <c r="M2219" t="n">
        <v>0</v>
      </c>
      <c r="N2219" t="n">
        <v>0</v>
      </c>
      <c r="O2219" t="n">
        <v>0</v>
      </c>
      <c r="P2219" t="n">
        <v>0</v>
      </c>
      <c r="Q2219" t="n">
        <v>0</v>
      </c>
      <c r="R2219" t="n">
        <v>0</v>
      </c>
      <c r="S2219" t="n">
        <v>0</v>
      </c>
      <c r="T2219" t="n">
        <v>0</v>
      </c>
      <c r="U2219" t="n">
        <v>0</v>
      </c>
      <c r="V2219" s="2" t="inlineStr"/>
    </row>
    <row r="2220" ht="15" customHeight="1">
      <c r="A2220" t="inlineStr">
        <is>
          <t>A 9468-2026</t>
        </is>
      </c>
      <c r="B2220" t="inlineStr">
        <is>
          <t>avverkningsanmälan</t>
        </is>
      </c>
      <c r="C2220" t="inlineStr">
        <is>
          <t>Föryngringsavverkning</t>
        </is>
      </c>
      <c r="D2220" s="1" t="n">
        <v>46071</v>
      </c>
      <c r="E2220" s="1" t="n">
        <v>46313</v>
      </c>
      <c r="F2220" t="inlineStr">
        <is>
          <t>SÖDERMANLANDS LÄN</t>
        </is>
      </c>
      <c r="G2220" t="inlineStr">
        <is>
          <t>NYKÖPING</t>
        </is>
      </c>
      <c r="I2220" t="n">
        <v>1.1</v>
      </c>
      <c r="J2220" t="n">
        <v>0</v>
      </c>
      <c r="K2220" t="n">
        <v>0</v>
      </c>
      <c r="L2220" t="n">
        <v>0</v>
      </c>
      <c r="M2220" t="n">
        <v>0</v>
      </c>
      <c r="N2220" t="n">
        <v>0</v>
      </c>
      <c r="O2220" t="n">
        <v>0</v>
      </c>
      <c r="P2220" t="n">
        <v>0</v>
      </c>
      <c r="Q2220" t="n">
        <v>0</v>
      </c>
      <c r="R2220" t="n">
        <v>0</v>
      </c>
      <c r="S2220" t="n">
        <v>0</v>
      </c>
      <c r="T2220" t="n">
        <v>0</v>
      </c>
      <c r="U2220" t="n">
        <v>0</v>
      </c>
      <c r="V2220" s="2" t="inlineStr"/>
    </row>
    <row r="2221" ht="15" customHeight="1">
      <c r="A2221" t="inlineStr">
        <is>
          <t>A 9133-2026</t>
        </is>
      </c>
      <c r="B2221" t="inlineStr">
        <is>
          <t>avverkningsanmälan</t>
        </is>
      </c>
      <c r="C2221" t="inlineStr">
        <is>
          <t>Föryngringsavverkning</t>
        </is>
      </c>
      <c r="D2221" s="1" t="n">
        <v>46069</v>
      </c>
      <c r="E2221" s="1" t="n">
        <v>46313</v>
      </c>
      <c r="F2221" t="inlineStr">
        <is>
          <t>SÖDERMANLANDS LÄN</t>
        </is>
      </c>
      <c r="G2221" t="inlineStr">
        <is>
          <t>ESKILSTUNA</t>
        </is>
      </c>
      <c r="I2221" t="n">
        <v>3.7</v>
      </c>
      <c r="J2221" t="n">
        <v>0</v>
      </c>
      <c r="K2221" t="n">
        <v>0</v>
      </c>
      <c r="L2221" t="n">
        <v>0</v>
      </c>
      <c r="M2221" t="n">
        <v>0</v>
      </c>
      <c r="N2221" t="n">
        <v>0</v>
      </c>
      <c r="O2221" t="n">
        <v>0</v>
      </c>
      <c r="P2221" t="n">
        <v>0</v>
      </c>
      <c r="Q2221" t="n">
        <v>0</v>
      </c>
      <c r="R2221" t="n">
        <v>0</v>
      </c>
      <c r="S2221" t="n">
        <v>0</v>
      </c>
      <c r="T2221" t="n">
        <v>0</v>
      </c>
      <c r="U2221" t="n">
        <v>0</v>
      </c>
      <c r="V2221" s="2" t="inlineStr"/>
    </row>
    <row r="2222" ht="15" customHeight="1">
      <c r="A2222" t="inlineStr">
        <is>
          <t>A 9527-2026</t>
        </is>
      </c>
      <c r="B2222" t="inlineStr">
        <is>
          <t>avverkningsanmälan</t>
        </is>
      </c>
      <c r="C2222" t="inlineStr">
        <is>
          <t>Föryngringsavverkning</t>
        </is>
      </c>
      <c r="D2222" s="1" t="n">
        <v>46071</v>
      </c>
      <c r="E2222" s="1" t="n">
        <v>46313</v>
      </c>
      <c r="F2222" t="inlineStr">
        <is>
          <t>SÖDERMANLANDS LÄN</t>
        </is>
      </c>
      <c r="G2222" t="inlineStr">
        <is>
          <t>FLEN</t>
        </is>
      </c>
      <c r="I2222" t="n">
        <v>3.1</v>
      </c>
      <c r="J2222" t="n">
        <v>0</v>
      </c>
      <c r="K2222" t="n">
        <v>0</v>
      </c>
      <c r="L2222" t="n">
        <v>0</v>
      </c>
      <c r="M2222" t="n">
        <v>0</v>
      </c>
      <c r="N2222" t="n">
        <v>0</v>
      </c>
      <c r="O2222" t="n">
        <v>0</v>
      </c>
      <c r="P2222" t="n">
        <v>0</v>
      </c>
      <c r="Q2222" t="n">
        <v>0</v>
      </c>
      <c r="R2222" t="n">
        <v>0</v>
      </c>
      <c r="S2222" t="n">
        <v>0</v>
      </c>
      <c r="T2222" t="n">
        <v>0</v>
      </c>
      <c r="U2222" t="n">
        <v>0</v>
      </c>
      <c r="V2222" s="2" t="inlineStr"/>
    </row>
    <row r="2223" ht="15" customHeight="1">
      <c r="A2223" t="inlineStr">
        <is>
          <t>A 24891-2023</t>
        </is>
      </c>
      <c r="B2223" t="inlineStr">
        <is>
          <t>avverkningsanmälan</t>
        </is>
      </c>
      <c r="C2223" t="inlineStr">
        <is>
          <t>Föryngringsavverkning</t>
        </is>
      </c>
      <c r="D2223" s="1" t="n">
        <v>45085</v>
      </c>
      <c r="E2223" s="1" t="n">
        <v>46313</v>
      </c>
      <c r="F2223" t="inlineStr">
        <is>
          <t>SÖDERMANLANDS LÄN</t>
        </is>
      </c>
      <c r="G2223" t="inlineStr">
        <is>
          <t>NYKÖPING</t>
        </is>
      </c>
      <c r="H2223" t="inlineStr">
        <is>
          <t>Holmen skog AB</t>
        </is>
      </c>
      <c r="I2223" t="n">
        <v>1.7</v>
      </c>
      <c r="J2223" t="n">
        <v>0</v>
      </c>
      <c r="K2223" t="n">
        <v>0</v>
      </c>
      <c r="L2223" t="n">
        <v>0</v>
      </c>
      <c r="M2223" t="n">
        <v>0</v>
      </c>
      <c r="N2223" t="n">
        <v>0</v>
      </c>
      <c r="O2223" t="n">
        <v>0</v>
      </c>
      <c r="P2223" t="n">
        <v>0</v>
      </c>
      <c r="Q2223" t="n">
        <v>0</v>
      </c>
      <c r="R2223" t="n">
        <v>0</v>
      </c>
      <c r="S2223" t="n">
        <v>0</v>
      </c>
      <c r="T2223" t="n">
        <v>0</v>
      </c>
      <c r="U2223" t="n">
        <v>0</v>
      </c>
      <c r="V2223" s="2" t="inlineStr"/>
    </row>
    <row r="2224" ht="15" customHeight="1">
      <c r="A2224" t="inlineStr">
        <is>
          <t>A 9453-2026</t>
        </is>
      </c>
      <c r="B2224" t="inlineStr">
        <is>
          <t>avverkningsanmälan</t>
        </is>
      </c>
      <c r="C2224" t="inlineStr">
        <is>
          <t>Föryngringsavverkning</t>
        </is>
      </c>
      <c r="D2224" s="1" t="n">
        <v>46071</v>
      </c>
      <c r="E2224" s="1" t="n">
        <v>46313</v>
      </c>
      <c r="F2224" t="inlineStr">
        <is>
          <t>SÖDERMANLANDS LÄN</t>
        </is>
      </c>
      <c r="G2224" t="inlineStr">
        <is>
          <t>NYKÖPING</t>
        </is>
      </c>
      <c r="I2224" t="n">
        <v>0.5</v>
      </c>
      <c r="J2224" t="n">
        <v>0</v>
      </c>
      <c r="K2224" t="n">
        <v>0</v>
      </c>
      <c r="L2224" t="n">
        <v>0</v>
      </c>
      <c r="M2224" t="n">
        <v>0</v>
      </c>
      <c r="N2224" t="n">
        <v>0</v>
      </c>
      <c r="O2224" t="n">
        <v>0</v>
      </c>
      <c r="P2224" t="n">
        <v>0</v>
      </c>
      <c r="Q2224" t="n">
        <v>0</v>
      </c>
      <c r="R2224" t="n">
        <v>0</v>
      </c>
      <c r="S2224" t="n">
        <v>0</v>
      </c>
      <c r="T2224" t="n">
        <v>0</v>
      </c>
      <c r="U2224" t="n">
        <v>0</v>
      </c>
      <c r="V2224" s="2" t="inlineStr"/>
    </row>
    <row r="2225" ht="15" customHeight="1">
      <c r="A2225" t="inlineStr">
        <is>
          <t>A 33863-2022</t>
        </is>
      </c>
      <c r="B2225" t="inlineStr">
        <is>
          <t>avverkningsanmälan</t>
        </is>
      </c>
      <c r="C2225" t="inlineStr">
        <is>
          <t>Föryngringsavverkning</t>
        </is>
      </c>
      <c r="D2225" s="1" t="n">
        <v>44790</v>
      </c>
      <c r="E2225" s="1" t="n">
        <v>46313</v>
      </c>
      <c r="F2225" t="inlineStr">
        <is>
          <t>SÖDERMANLANDS LÄN</t>
        </is>
      </c>
      <c r="G2225" t="inlineStr">
        <is>
          <t>NYKÖPING</t>
        </is>
      </c>
      <c r="I2225" t="n">
        <v>0.7</v>
      </c>
      <c r="J2225" t="n">
        <v>0</v>
      </c>
      <c r="K2225" t="n">
        <v>0</v>
      </c>
      <c r="L2225" t="n">
        <v>0</v>
      </c>
      <c r="M2225" t="n">
        <v>0</v>
      </c>
      <c r="N2225" t="n">
        <v>0</v>
      </c>
      <c r="O2225" t="n">
        <v>0</v>
      </c>
      <c r="P2225" t="n">
        <v>0</v>
      </c>
      <c r="Q2225" t="n">
        <v>0</v>
      </c>
      <c r="R2225" t="n">
        <v>0</v>
      </c>
      <c r="S2225" t="n">
        <v>0</v>
      </c>
      <c r="T2225" t="n">
        <v>0</v>
      </c>
      <c r="U2225" t="n">
        <v>0</v>
      </c>
      <c r="V2225" s="2" t="inlineStr"/>
    </row>
    <row r="2226" ht="15" customHeight="1">
      <c r="A2226" t="inlineStr">
        <is>
          <t>A 10015-2026</t>
        </is>
      </c>
      <c r="B2226" t="inlineStr">
        <is>
          <t>avverkningsanmälan</t>
        </is>
      </c>
      <c r="C2226" t="inlineStr">
        <is>
          <t>Föryngringsavverkning</t>
        </is>
      </c>
      <c r="D2226" s="1" t="n">
        <v>46073</v>
      </c>
      <c r="E2226" s="1" t="n">
        <v>46313</v>
      </c>
      <c r="F2226" t="inlineStr">
        <is>
          <t>SÖDERMANLANDS LÄN</t>
        </is>
      </c>
      <c r="G2226" t="inlineStr">
        <is>
          <t>GNESTA</t>
        </is>
      </c>
      <c r="I2226" t="n">
        <v>5.5</v>
      </c>
      <c r="J2226" t="n">
        <v>0</v>
      </c>
      <c r="K2226" t="n">
        <v>0</v>
      </c>
      <c r="L2226" t="n">
        <v>0</v>
      </c>
      <c r="M2226" t="n">
        <v>0</v>
      </c>
      <c r="N2226" t="n">
        <v>0</v>
      </c>
      <c r="O2226" t="n">
        <v>0</v>
      </c>
      <c r="P2226" t="n">
        <v>0</v>
      </c>
      <c r="Q2226" t="n">
        <v>0</v>
      </c>
      <c r="R2226" t="n">
        <v>0</v>
      </c>
      <c r="S2226" t="n">
        <v>0</v>
      </c>
      <c r="T2226" t="n">
        <v>0</v>
      </c>
      <c r="U2226" t="n">
        <v>0</v>
      </c>
      <c r="V2226" s="2" t="inlineStr"/>
    </row>
    <row r="2227" ht="15" customHeight="1">
      <c r="A2227" t="inlineStr">
        <is>
          <t>A 356-2022</t>
        </is>
      </c>
      <c r="B2227" t="inlineStr">
        <is>
          <t>avverkningsanmälan</t>
        </is>
      </c>
      <c r="C2227" t="inlineStr">
        <is>
          <t>Föryngringsavverkning</t>
        </is>
      </c>
      <c r="D2227" s="1" t="n">
        <v>44565</v>
      </c>
      <c r="E2227" s="1" t="n">
        <v>46313</v>
      </c>
      <c r="F2227" t="inlineStr">
        <is>
          <t>SÖDERMANLANDS LÄN</t>
        </is>
      </c>
      <c r="G2227" t="inlineStr">
        <is>
          <t>VINGÅKER</t>
        </is>
      </c>
      <c r="I2227" t="n">
        <v>13.4</v>
      </c>
      <c r="J2227" t="n">
        <v>0</v>
      </c>
      <c r="K2227" t="n">
        <v>0</v>
      </c>
      <c r="L2227" t="n">
        <v>0</v>
      </c>
      <c r="M2227" t="n">
        <v>0</v>
      </c>
      <c r="N2227" t="n">
        <v>0</v>
      </c>
      <c r="O2227" t="n">
        <v>0</v>
      </c>
      <c r="P2227" t="n">
        <v>0</v>
      </c>
      <c r="Q2227" t="n">
        <v>0</v>
      </c>
      <c r="R2227" t="n">
        <v>0</v>
      </c>
      <c r="S2227" t="n">
        <v>0</v>
      </c>
      <c r="T2227" t="n">
        <v>0</v>
      </c>
      <c r="U2227" t="n">
        <v>0</v>
      </c>
      <c r="V2227" s="2" t="inlineStr"/>
    </row>
    <row r="2228" ht="15" customHeight="1">
      <c r="A2228" t="inlineStr">
        <is>
          <t>A 61416-2022</t>
        </is>
      </c>
      <c r="B2228" t="inlineStr">
        <is>
          <t>avverkningsanmälan</t>
        </is>
      </c>
      <c r="C2228" t="inlineStr">
        <is>
          <t>Föryngringsavverkning</t>
        </is>
      </c>
      <c r="D2228" s="1" t="n">
        <v>44916</v>
      </c>
      <c r="E2228" s="1" t="n">
        <v>46313</v>
      </c>
      <c r="F2228" t="inlineStr">
        <is>
          <t>SÖDERMANLANDS LÄN</t>
        </is>
      </c>
      <c r="G2228" t="inlineStr">
        <is>
          <t>ESKILSTUNA</t>
        </is>
      </c>
      <c r="I2228" t="n">
        <v>0.6</v>
      </c>
      <c r="J2228" t="n">
        <v>0</v>
      </c>
      <c r="K2228" t="n">
        <v>0</v>
      </c>
      <c r="L2228" t="n">
        <v>0</v>
      </c>
      <c r="M2228" t="n">
        <v>0</v>
      </c>
      <c r="N2228" t="n">
        <v>0</v>
      </c>
      <c r="O2228" t="n">
        <v>0</v>
      </c>
      <c r="P2228" t="n">
        <v>0</v>
      </c>
      <c r="Q2228" t="n">
        <v>0</v>
      </c>
      <c r="R2228" t="n">
        <v>0</v>
      </c>
      <c r="S2228" t="n">
        <v>0</v>
      </c>
      <c r="T2228" t="n">
        <v>0</v>
      </c>
      <c r="U2228" t="n">
        <v>0</v>
      </c>
      <c r="V2228" s="2" t="inlineStr"/>
    </row>
    <row r="2229" ht="15" customHeight="1">
      <c r="A2229" t="inlineStr">
        <is>
          <t>A 39052-2023</t>
        </is>
      </c>
      <c r="B2229" t="inlineStr">
        <is>
          <t>avverkningsanmälan</t>
        </is>
      </c>
      <c r="C2229" t="inlineStr">
        <is>
          <t>Föryngringsavverkning</t>
        </is>
      </c>
      <c r="D2229" s="1" t="n">
        <v>45163</v>
      </c>
      <c r="E2229" s="1" t="n">
        <v>46313</v>
      </c>
      <c r="F2229" t="inlineStr">
        <is>
          <t>SÖDERMANLANDS LÄN</t>
        </is>
      </c>
      <c r="G2229" t="inlineStr">
        <is>
          <t>KATRINEHOLM</t>
        </is>
      </c>
      <c r="I2229" t="n">
        <v>3</v>
      </c>
      <c r="J2229" t="n">
        <v>0</v>
      </c>
      <c r="K2229" t="n">
        <v>0</v>
      </c>
      <c r="L2229" t="n">
        <v>0</v>
      </c>
      <c r="M2229" t="n">
        <v>0</v>
      </c>
      <c r="N2229" t="n">
        <v>0</v>
      </c>
      <c r="O2229" t="n">
        <v>0</v>
      </c>
      <c r="P2229" t="n">
        <v>0</v>
      </c>
      <c r="Q2229" t="n">
        <v>0</v>
      </c>
      <c r="R2229" t="n">
        <v>0</v>
      </c>
      <c r="S2229" t="n">
        <v>0</v>
      </c>
      <c r="T2229" t="n">
        <v>0</v>
      </c>
      <c r="U2229" t="n">
        <v>0</v>
      </c>
      <c r="V2229" s="2" t="inlineStr"/>
    </row>
    <row r="2230" ht="15" customHeight="1">
      <c r="A2230" t="inlineStr">
        <is>
          <t>A 39053-2023</t>
        </is>
      </c>
      <c r="B2230" t="inlineStr">
        <is>
          <t>avverkningsanmälan</t>
        </is>
      </c>
      <c r="C2230" t="inlineStr">
        <is>
          <t>Föryngringsavverkning</t>
        </is>
      </c>
      <c r="D2230" s="1" t="n">
        <v>45163</v>
      </c>
      <c r="E2230" s="1" t="n">
        <v>46313</v>
      </c>
      <c r="F2230" t="inlineStr">
        <is>
          <t>SÖDERMANLANDS LÄN</t>
        </is>
      </c>
      <c r="G2230" t="inlineStr">
        <is>
          <t>FLEN</t>
        </is>
      </c>
      <c r="I2230" t="n">
        <v>2.8</v>
      </c>
      <c r="J2230" t="n">
        <v>0</v>
      </c>
      <c r="K2230" t="n">
        <v>0</v>
      </c>
      <c r="L2230" t="n">
        <v>0</v>
      </c>
      <c r="M2230" t="n">
        <v>0</v>
      </c>
      <c r="N2230" t="n">
        <v>0</v>
      </c>
      <c r="O2230" t="n">
        <v>0</v>
      </c>
      <c r="P2230" t="n">
        <v>0</v>
      </c>
      <c r="Q2230" t="n">
        <v>0</v>
      </c>
      <c r="R2230" t="n">
        <v>0</v>
      </c>
      <c r="S2230" t="n">
        <v>0</v>
      </c>
      <c r="T2230" t="n">
        <v>0</v>
      </c>
      <c r="U2230" t="n">
        <v>0</v>
      </c>
      <c r="V2230" s="2" t="inlineStr"/>
    </row>
    <row r="2231" ht="15" customHeight="1">
      <c r="A2231" t="inlineStr">
        <is>
          <t>A 10011-2026</t>
        </is>
      </c>
      <c r="B2231" t="inlineStr">
        <is>
          <t>avverkningsanmälan</t>
        </is>
      </c>
      <c r="C2231" t="inlineStr">
        <is>
          <t>Föryngringsavverkning</t>
        </is>
      </c>
      <c r="D2231" s="1" t="n">
        <v>46073</v>
      </c>
      <c r="E2231" s="1" t="n">
        <v>46313</v>
      </c>
      <c r="F2231" t="inlineStr">
        <is>
          <t>SÖDERMANLANDS LÄN</t>
        </is>
      </c>
      <c r="G2231" t="inlineStr">
        <is>
          <t>GNESTA</t>
        </is>
      </c>
      <c r="I2231" t="n">
        <v>2.1</v>
      </c>
      <c r="J2231" t="n">
        <v>0</v>
      </c>
      <c r="K2231" t="n">
        <v>0</v>
      </c>
      <c r="L2231" t="n">
        <v>0</v>
      </c>
      <c r="M2231" t="n">
        <v>0</v>
      </c>
      <c r="N2231" t="n">
        <v>0</v>
      </c>
      <c r="O2231" t="n">
        <v>0</v>
      </c>
      <c r="P2231" t="n">
        <v>0</v>
      </c>
      <c r="Q2231" t="n">
        <v>0</v>
      </c>
      <c r="R2231" t="n">
        <v>0</v>
      </c>
      <c r="S2231" t="n">
        <v>0</v>
      </c>
      <c r="T2231" t="n">
        <v>0</v>
      </c>
      <c r="U2231" t="n">
        <v>0</v>
      </c>
      <c r="V2231" s="2" t="inlineStr"/>
    </row>
    <row r="2232" ht="15" customHeight="1">
      <c r="A2232" t="inlineStr">
        <is>
          <t>A 9942-2026</t>
        </is>
      </c>
      <c r="B2232" t="inlineStr">
        <is>
          <t>avverkningsanmälan</t>
        </is>
      </c>
      <c r="C2232" t="inlineStr">
        <is>
          <t>Föryngringsavverkning</t>
        </is>
      </c>
      <c r="D2232" s="1" t="n">
        <v>46073</v>
      </c>
      <c r="E2232" s="1" t="n">
        <v>46313</v>
      </c>
      <c r="F2232" t="inlineStr">
        <is>
          <t>SÖDERMANLANDS LÄN</t>
        </is>
      </c>
      <c r="G2232" t="inlineStr">
        <is>
          <t>STRÄNGNÄS</t>
        </is>
      </c>
      <c r="I2232" t="n">
        <v>0.9</v>
      </c>
      <c r="J2232" t="n">
        <v>0</v>
      </c>
      <c r="K2232" t="n">
        <v>0</v>
      </c>
      <c r="L2232" t="n">
        <v>0</v>
      </c>
      <c r="M2232" t="n">
        <v>0</v>
      </c>
      <c r="N2232" t="n">
        <v>0</v>
      </c>
      <c r="O2232" t="n">
        <v>0</v>
      </c>
      <c r="P2232" t="n">
        <v>0</v>
      </c>
      <c r="Q2232" t="n">
        <v>0</v>
      </c>
      <c r="R2232" t="n">
        <v>0</v>
      </c>
      <c r="S2232" t="n">
        <v>0</v>
      </c>
      <c r="T2232" t="n">
        <v>0</v>
      </c>
      <c r="U2232" t="n">
        <v>0</v>
      </c>
      <c r="V2232" s="2" t="inlineStr"/>
    </row>
    <row r="2233" ht="15" customHeight="1">
      <c r="A2233" t="inlineStr">
        <is>
          <t>A 27680-2026</t>
        </is>
      </c>
      <c r="B2233" t="inlineStr">
        <is>
          <t>avverkningsanmälan</t>
        </is>
      </c>
      <c r="C2233" t="inlineStr">
        <is>
          <t>Föryngringsavverkning</t>
        </is>
      </c>
      <c r="D2233" s="1" t="n">
        <v>46188</v>
      </c>
      <c r="E2233" s="1" t="n">
        <v>46313</v>
      </c>
      <c r="F2233" t="inlineStr">
        <is>
          <t>SÖDERMANLANDS LÄN</t>
        </is>
      </c>
      <c r="G2233" t="inlineStr">
        <is>
          <t>STRÄNGNÄS</t>
        </is>
      </c>
      <c r="I2233" t="n">
        <v>3.3</v>
      </c>
      <c r="J2233" t="n">
        <v>0</v>
      </c>
      <c r="K2233" t="n">
        <v>0</v>
      </c>
      <c r="L2233" t="n">
        <v>0</v>
      </c>
      <c r="M2233" t="n">
        <v>0</v>
      </c>
      <c r="N2233" t="n">
        <v>0</v>
      </c>
      <c r="O2233" t="n">
        <v>0</v>
      </c>
      <c r="P2233" t="n">
        <v>0</v>
      </c>
      <c r="Q2233" t="n">
        <v>0</v>
      </c>
      <c r="R2233" t="n">
        <v>0</v>
      </c>
      <c r="S2233" t="n">
        <v>0</v>
      </c>
      <c r="T2233" t="n">
        <v>0</v>
      </c>
      <c r="U2233" t="n">
        <v>0</v>
      </c>
      <c r="V2233" s="2" t="inlineStr"/>
    </row>
    <row r="2234" ht="15" customHeight="1">
      <c r="A2234" t="inlineStr">
        <is>
          <t>A 10086-2026</t>
        </is>
      </c>
      <c r="B2234" t="inlineStr">
        <is>
          <t>avverkningsanmälan</t>
        </is>
      </c>
      <c r="C2234" t="inlineStr">
        <is>
          <t>Föryngringsavverkning</t>
        </is>
      </c>
      <c r="D2234" s="1" t="n">
        <v>46073</v>
      </c>
      <c r="E2234" s="1" t="n">
        <v>46313</v>
      </c>
      <c r="F2234" t="inlineStr">
        <is>
          <t>SÖDERMANLANDS LÄN</t>
        </is>
      </c>
      <c r="G2234" t="inlineStr">
        <is>
          <t>KATRINEHOLM</t>
        </is>
      </c>
      <c r="I2234" t="n">
        <v>0.6</v>
      </c>
      <c r="J2234" t="n">
        <v>0</v>
      </c>
      <c r="K2234" t="n">
        <v>0</v>
      </c>
      <c r="L2234" t="n">
        <v>0</v>
      </c>
      <c r="M2234" t="n">
        <v>0</v>
      </c>
      <c r="N2234" t="n">
        <v>0</v>
      </c>
      <c r="O2234" t="n">
        <v>0</v>
      </c>
      <c r="P2234" t="n">
        <v>0</v>
      </c>
      <c r="Q2234" t="n">
        <v>0</v>
      </c>
      <c r="R2234" t="n">
        <v>0</v>
      </c>
      <c r="S2234" t="n">
        <v>0</v>
      </c>
      <c r="T2234" t="n">
        <v>0</v>
      </c>
      <c r="U2234" t="n">
        <v>0</v>
      </c>
      <c r="V2234" s="2" t="inlineStr"/>
    </row>
    <row r="2235" ht="15" customHeight="1">
      <c r="A2235" t="inlineStr">
        <is>
          <t>A 42801-2022</t>
        </is>
      </c>
      <c r="B2235" t="inlineStr">
        <is>
          <t>avverkningsanmälan</t>
        </is>
      </c>
      <c r="C2235" t="inlineStr">
        <is>
          <t>Föryngringsavverkning</t>
        </is>
      </c>
      <c r="D2235" s="1" t="n">
        <v>44832</v>
      </c>
      <c r="E2235" s="1" t="n">
        <v>46313</v>
      </c>
      <c r="F2235" t="inlineStr">
        <is>
          <t>SÖDERMANLANDS LÄN</t>
        </is>
      </c>
      <c r="G2235" t="inlineStr">
        <is>
          <t>ESKILSTUNA</t>
        </is>
      </c>
      <c r="I2235" t="n">
        <v>19.9</v>
      </c>
      <c r="J2235" t="n">
        <v>0</v>
      </c>
      <c r="K2235" t="n">
        <v>0</v>
      </c>
      <c r="L2235" t="n">
        <v>0</v>
      </c>
      <c r="M2235" t="n">
        <v>0</v>
      </c>
      <c r="N2235" t="n">
        <v>0</v>
      </c>
      <c r="O2235" t="n">
        <v>0</v>
      </c>
      <c r="P2235" t="n">
        <v>0</v>
      </c>
      <c r="Q2235" t="n">
        <v>0</v>
      </c>
      <c r="R2235" t="n">
        <v>0</v>
      </c>
      <c r="S2235" t="n">
        <v>0</v>
      </c>
      <c r="T2235" t="n">
        <v>0</v>
      </c>
      <c r="U2235" t="n">
        <v>0</v>
      </c>
      <c r="V2235" s="2" t="inlineStr"/>
    </row>
    <row r="2236" ht="15" customHeight="1">
      <c r="A2236" t="inlineStr">
        <is>
          <t>A 10017-2026</t>
        </is>
      </c>
      <c r="B2236" t="inlineStr">
        <is>
          <t>avverkningsanmälan</t>
        </is>
      </c>
      <c r="C2236" t="inlineStr">
        <is>
          <t>Föryngringsavverkning</t>
        </is>
      </c>
      <c r="D2236" s="1" t="n">
        <v>46073</v>
      </c>
      <c r="E2236" s="1" t="n">
        <v>46313</v>
      </c>
      <c r="F2236" t="inlineStr">
        <is>
          <t>SÖDERMANLANDS LÄN</t>
        </is>
      </c>
      <c r="G2236" t="inlineStr">
        <is>
          <t>GNESTA</t>
        </is>
      </c>
      <c r="I2236" t="n">
        <v>5</v>
      </c>
      <c r="J2236" t="n">
        <v>0</v>
      </c>
      <c r="K2236" t="n">
        <v>0</v>
      </c>
      <c r="L2236" t="n">
        <v>0</v>
      </c>
      <c r="M2236" t="n">
        <v>0</v>
      </c>
      <c r="N2236" t="n">
        <v>0</v>
      </c>
      <c r="O2236" t="n">
        <v>0</v>
      </c>
      <c r="P2236" t="n">
        <v>0</v>
      </c>
      <c r="Q2236" t="n">
        <v>0</v>
      </c>
      <c r="R2236" t="n">
        <v>0</v>
      </c>
      <c r="S2236" t="n">
        <v>0</v>
      </c>
      <c r="T2236" t="n">
        <v>0</v>
      </c>
      <c r="U2236" t="n">
        <v>0</v>
      </c>
      <c r="V2236" s="2" t="inlineStr"/>
    </row>
    <row r="2237" ht="15" customHeight="1">
      <c r="A2237" t="inlineStr">
        <is>
          <t>A 41946-2022</t>
        </is>
      </c>
      <c r="B2237" t="inlineStr">
        <is>
          <t>avverkningsanmälan</t>
        </is>
      </c>
      <c r="C2237" t="inlineStr">
        <is>
          <t>Föryngringsavverkning</t>
        </is>
      </c>
      <c r="D2237" s="1" t="n">
        <v>44830</v>
      </c>
      <c r="E2237" s="1" t="n">
        <v>46313</v>
      </c>
      <c r="F2237" t="inlineStr">
        <is>
          <t>SÖDERMANLANDS LÄN</t>
        </is>
      </c>
      <c r="G2237" t="inlineStr">
        <is>
          <t>KATRINEHOLM</t>
        </is>
      </c>
      <c r="I2237" t="n">
        <v>1</v>
      </c>
      <c r="J2237" t="n">
        <v>0</v>
      </c>
      <c r="K2237" t="n">
        <v>0</v>
      </c>
      <c r="L2237" t="n">
        <v>0</v>
      </c>
      <c r="M2237" t="n">
        <v>0</v>
      </c>
      <c r="N2237" t="n">
        <v>0</v>
      </c>
      <c r="O2237" t="n">
        <v>0</v>
      </c>
      <c r="P2237" t="n">
        <v>0</v>
      </c>
      <c r="Q2237" t="n">
        <v>0</v>
      </c>
      <c r="R2237" t="n">
        <v>0</v>
      </c>
      <c r="S2237" t="n">
        <v>0</v>
      </c>
      <c r="T2237" t="n">
        <v>0</v>
      </c>
      <c r="U2237" t="n">
        <v>0</v>
      </c>
      <c r="V2237" s="2" t="inlineStr"/>
    </row>
    <row r="2238" ht="15" customHeight="1">
      <c r="A2238" t="inlineStr">
        <is>
          <t>A 63584-2023</t>
        </is>
      </c>
      <c r="B2238" t="inlineStr">
        <is>
          <t>avverkningsanmälan</t>
        </is>
      </c>
      <c r="C2238" t="inlineStr">
        <is>
          <t>Föryngringsavverkning</t>
        </is>
      </c>
      <c r="D2238" s="1" t="n">
        <v>45275</v>
      </c>
      <c r="E2238" s="1" t="n">
        <v>46313</v>
      </c>
      <c r="F2238" t="inlineStr">
        <is>
          <t>SÖDERMANLANDS LÄN</t>
        </is>
      </c>
      <c r="G2238" t="inlineStr">
        <is>
          <t>VINGÅKER</t>
        </is>
      </c>
      <c r="I2238" t="n">
        <v>1</v>
      </c>
      <c r="J2238" t="n">
        <v>0</v>
      </c>
      <c r="K2238" t="n">
        <v>0</v>
      </c>
      <c r="L2238" t="n">
        <v>0</v>
      </c>
      <c r="M2238" t="n">
        <v>0</v>
      </c>
      <c r="N2238" t="n">
        <v>0</v>
      </c>
      <c r="O2238" t="n">
        <v>0</v>
      </c>
      <c r="P2238" t="n">
        <v>0</v>
      </c>
      <c r="Q2238" t="n">
        <v>0</v>
      </c>
      <c r="R2238" t="n">
        <v>0</v>
      </c>
      <c r="S2238" t="n">
        <v>0</v>
      </c>
      <c r="T2238" t="n">
        <v>0</v>
      </c>
      <c r="U2238" t="n">
        <v>0</v>
      </c>
      <c r="V2238" s="2" t="inlineStr"/>
    </row>
    <row r="2239" ht="15" customHeight="1">
      <c r="A2239" t="inlineStr">
        <is>
          <t>A 10121-2026</t>
        </is>
      </c>
      <c r="B2239" t="inlineStr">
        <is>
          <t>avverkningsanmälan</t>
        </is>
      </c>
      <c r="C2239" t="inlineStr">
        <is>
          <t>Föryngringsavverkning</t>
        </is>
      </c>
      <c r="D2239" s="1" t="n">
        <v>46075</v>
      </c>
      <c r="E2239" s="1" t="n">
        <v>46313</v>
      </c>
      <c r="F2239" t="inlineStr">
        <is>
          <t>SÖDERMANLANDS LÄN</t>
        </is>
      </c>
      <c r="G2239" t="inlineStr">
        <is>
          <t>STRÄNGNÄS</t>
        </is>
      </c>
      <c r="I2239" t="n">
        <v>1.2</v>
      </c>
      <c r="J2239" t="n">
        <v>0</v>
      </c>
      <c r="K2239" t="n">
        <v>0</v>
      </c>
      <c r="L2239" t="n">
        <v>0</v>
      </c>
      <c r="M2239" t="n">
        <v>0</v>
      </c>
      <c r="N2239" t="n">
        <v>0</v>
      </c>
      <c r="O2239" t="n">
        <v>0</v>
      </c>
      <c r="P2239" t="n">
        <v>0</v>
      </c>
      <c r="Q2239" t="n">
        <v>0</v>
      </c>
      <c r="R2239" t="n">
        <v>0</v>
      </c>
      <c r="S2239" t="n">
        <v>0</v>
      </c>
      <c r="T2239" t="n">
        <v>0</v>
      </c>
      <c r="U2239" t="n">
        <v>0</v>
      </c>
      <c r="V2239" s="2" t="inlineStr"/>
    </row>
    <row r="2240" ht="15" customHeight="1">
      <c r="A2240" t="inlineStr">
        <is>
          <t>A 27146-2022</t>
        </is>
      </c>
      <c r="B2240" t="inlineStr">
        <is>
          <t>avverkningsanmälan</t>
        </is>
      </c>
      <c r="C2240" t="inlineStr">
        <is>
          <t>Föryngringsavverkning</t>
        </is>
      </c>
      <c r="D2240" s="1" t="n">
        <v>44741</v>
      </c>
      <c r="E2240" s="1" t="n">
        <v>46313</v>
      </c>
      <c r="F2240" t="inlineStr">
        <is>
          <t>SÖDERMANLANDS LÄN</t>
        </is>
      </c>
      <c r="G2240" t="inlineStr">
        <is>
          <t>FLEN</t>
        </is>
      </c>
      <c r="I2240" t="n">
        <v>1</v>
      </c>
      <c r="J2240" t="n">
        <v>0</v>
      </c>
      <c r="K2240" t="n">
        <v>0</v>
      </c>
      <c r="L2240" t="n">
        <v>0</v>
      </c>
      <c r="M2240" t="n">
        <v>0</v>
      </c>
      <c r="N2240" t="n">
        <v>0</v>
      </c>
      <c r="O2240" t="n">
        <v>0</v>
      </c>
      <c r="P2240" t="n">
        <v>0</v>
      </c>
      <c r="Q2240" t="n">
        <v>0</v>
      </c>
      <c r="R2240" t="n">
        <v>0</v>
      </c>
      <c r="S2240" t="n">
        <v>0</v>
      </c>
      <c r="T2240" t="n">
        <v>0</v>
      </c>
      <c r="U2240" t="n">
        <v>0</v>
      </c>
      <c r="V2240" s="2" t="inlineStr"/>
    </row>
    <row r="2241" ht="15" customHeight="1">
      <c r="A2241" t="inlineStr">
        <is>
          <t>A 12172-2022</t>
        </is>
      </c>
      <c r="B2241" t="inlineStr">
        <is>
          <t>avverkningsanmälan</t>
        </is>
      </c>
      <c r="C2241" t="inlineStr">
        <is>
          <t>Föryngringsavverkning</t>
        </is>
      </c>
      <c r="D2241" s="1" t="n">
        <v>44636</v>
      </c>
      <c r="E2241" s="1" t="n">
        <v>46313</v>
      </c>
      <c r="F2241" t="inlineStr">
        <is>
          <t>SÖDERMANLANDS LÄN</t>
        </is>
      </c>
      <c r="G2241" t="inlineStr">
        <is>
          <t>FLEN</t>
        </is>
      </c>
      <c r="I2241" t="n">
        <v>2.2</v>
      </c>
      <c r="J2241" t="n">
        <v>0</v>
      </c>
      <c r="K2241" t="n">
        <v>0</v>
      </c>
      <c r="L2241" t="n">
        <v>0</v>
      </c>
      <c r="M2241" t="n">
        <v>0</v>
      </c>
      <c r="N2241" t="n">
        <v>0</v>
      </c>
      <c r="O2241" t="n">
        <v>0</v>
      </c>
      <c r="P2241" t="n">
        <v>0</v>
      </c>
      <c r="Q2241" t="n">
        <v>0</v>
      </c>
      <c r="R2241" t="n">
        <v>0</v>
      </c>
      <c r="S2241" t="n">
        <v>0</v>
      </c>
      <c r="T2241" t="n">
        <v>0</v>
      </c>
      <c r="U2241" t="n">
        <v>0</v>
      </c>
      <c r="V2241" s="2" t="inlineStr"/>
    </row>
    <row r="2242" ht="15" customHeight="1">
      <c r="A2242" t="inlineStr">
        <is>
          <t>A 10546-2026</t>
        </is>
      </c>
      <c r="B2242" t="inlineStr">
        <is>
          <t>avverkningsanmälan</t>
        </is>
      </c>
      <c r="C2242" t="inlineStr">
        <is>
          <t>Föryngringsavverkning</t>
        </is>
      </c>
      <c r="D2242" s="1" t="n">
        <v>46077</v>
      </c>
      <c r="E2242" s="1" t="n">
        <v>46313</v>
      </c>
      <c r="F2242" t="inlineStr">
        <is>
          <t>SÖDERMANLANDS LÄN</t>
        </is>
      </c>
      <c r="G2242" t="inlineStr">
        <is>
          <t>VINGÅKER</t>
        </is>
      </c>
      <c r="I2242" t="n">
        <v>5.3</v>
      </c>
      <c r="J2242" t="n">
        <v>0</v>
      </c>
      <c r="K2242" t="n">
        <v>0</v>
      </c>
      <c r="L2242" t="n">
        <v>0</v>
      </c>
      <c r="M2242" t="n">
        <v>0</v>
      </c>
      <c r="N2242" t="n">
        <v>0</v>
      </c>
      <c r="O2242" t="n">
        <v>0</v>
      </c>
      <c r="P2242" t="n">
        <v>0</v>
      </c>
      <c r="Q2242" t="n">
        <v>0</v>
      </c>
      <c r="R2242" t="n">
        <v>0</v>
      </c>
      <c r="S2242" t="n">
        <v>0</v>
      </c>
      <c r="T2242" t="n">
        <v>0</v>
      </c>
      <c r="U2242" t="n">
        <v>0</v>
      </c>
      <c r="V2242" s="2" t="inlineStr"/>
    </row>
    <row r="2243" ht="15" customHeight="1">
      <c r="A2243" t="inlineStr">
        <is>
          <t>A 10549-2026</t>
        </is>
      </c>
      <c r="B2243" t="inlineStr">
        <is>
          <t>avverkningsanmälan</t>
        </is>
      </c>
      <c r="C2243" t="inlineStr">
        <is>
          <t>Föryngringsavverkning</t>
        </is>
      </c>
      <c r="D2243" s="1" t="n">
        <v>46077</v>
      </c>
      <c r="E2243" s="1" t="n">
        <v>46313</v>
      </c>
      <c r="F2243" t="inlineStr">
        <is>
          <t>SÖDERMANLANDS LÄN</t>
        </is>
      </c>
      <c r="G2243" t="inlineStr">
        <is>
          <t>VINGÅKER</t>
        </is>
      </c>
      <c r="I2243" t="n">
        <v>1.5</v>
      </c>
      <c r="J2243" t="n">
        <v>0</v>
      </c>
      <c r="K2243" t="n">
        <v>0</v>
      </c>
      <c r="L2243" t="n">
        <v>0</v>
      </c>
      <c r="M2243" t="n">
        <v>0</v>
      </c>
      <c r="N2243" t="n">
        <v>0</v>
      </c>
      <c r="O2243" t="n">
        <v>0</v>
      </c>
      <c r="P2243" t="n">
        <v>0</v>
      </c>
      <c r="Q2243" t="n">
        <v>0</v>
      </c>
      <c r="R2243" t="n">
        <v>0</v>
      </c>
      <c r="S2243" t="n">
        <v>0</v>
      </c>
      <c r="T2243" t="n">
        <v>0</v>
      </c>
      <c r="U2243" t="n">
        <v>0</v>
      </c>
      <c r="V2243" s="2" t="inlineStr"/>
    </row>
    <row r="2244" ht="15" customHeight="1">
      <c r="A2244" t="inlineStr">
        <is>
          <t>A 26018-2026</t>
        </is>
      </c>
      <c r="B2244" t="inlineStr">
        <is>
          <t>avverkningsanmälan</t>
        </is>
      </c>
      <c r="C2244" t="inlineStr">
        <is>
          <t>Föryngringsavverkning</t>
        </is>
      </c>
      <c r="D2244" s="1" t="n">
        <v>46181</v>
      </c>
      <c r="E2244" s="1" t="n">
        <v>46313</v>
      </c>
      <c r="F2244" t="inlineStr">
        <is>
          <t>SÖDERMANLANDS LÄN</t>
        </is>
      </c>
      <c r="G2244" t="inlineStr">
        <is>
          <t>ESKILSTUNA</t>
        </is>
      </c>
      <c r="I2244" t="n">
        <v>1.1</v>
      </c>
      <c r="J2244" t="n">
        <v>0</v>
      </c>
      <c r="K2244" t="n">
        <v>0</v>
      </c>
      <c r="L2244" t="n">
        <v>0</v>
      </c>
      <c r="M2244" t="n">
        <v>0</v>
      </c>
      <c r="N2244" t="n">
        <v>0</v>
      </c>
      <c r="O2244" t="n">
        <v>0</v>
      </c>
      <c r="P2244" t="n">
        <v>0</v>
      </c>
      <c r="Q2244" t="n">
        <v>0</v>
      </c>
      <c r="R2244" t="n">
        <v>0</v>
      </c>
      <c r="S2244" t="n">
        <v>0</v>
      </c>
      <c r="T2244" t="n">
        <v>0</v>
      </c>
      <c r="U2244" t="n">
        <v>0</v>
      </c>
      <c r="V2244" s="2" t="inlineStr"/>
    </row>
    <row r="2245" ht="15" customHeight="1">
      <c r="A2245" t="inlineStr">
        <is>
          <t>A 10770-2026</t>
        </is>
      </c>
      <c r="B2245" t="inlineStr">
        <is>
          <t>avverkningsanmälan</t>
        </is>
      </c>
      <c r="C2245" t="inlineStr">
        <is>
          <t>Föryngringsavverkning</t>
        </is>
      </c>
      <c r="D2245" s="1" t="n">
        <v>46078</v>
      </c>
      <c r="E2245" s="1" t="n">
        <v>46313</v>
      </c>
      <c r="F2245" t="inlineStr">
        <is>
          <t>SÖDERMANLANDS LÄN</t>
        </is>
      </c>
      <c r="G2245" t="inlineStr">
        <is>
          <t>STRÄNGNÄS</t>
        </is>
      </c>
      <c r="I2245" t="n">
        <v>2</v>
      </c>
      <c r="J2245" t="n">
        <v>0</v>
      </c>
      <c r="K2245" t="n">
        <v>0</v>
      </c>
      <c r="L2245" t="n">
        <v>0</v>
      </c>
      <c r="M2245" t="n">
        <v>0</v>
      </c>
      <c r="N2245" t="n">
        <v>0</v>
      </c>
      <c r="O2245" t="n">
        <v>0</v>
      </c>
      <c r="P2245" t="n">
        <v>0</v>
      </c>
      <c r="Q2245" t="n">
        <v>0</v>
      </c>
      <c r="R2245" t="n">
        <v>0</v>
      </c>
      <c r="S2245" t="n">
        <v>0</v>
      </c>
      <c r="T2245" t="n">
        <v>0</v>
      </c>
      <c r="U2245" t="n">
        <v>0</v>
      </c>
      <c r="V2245" s="2" t="inlineStr"/>
    </row>
    <row r="2246" ht="15" customHeight="1">
      <c r="A2246" t="inlineStr">
        <is>
          <t>A 10397-2026</t>
        </is>
      </c>
      <c r="B2246" t="inlineStr">
        <is>
          <t>avverkningsanmälan</t>
        </is>
      </c>
      <c r="C2246" t="inlineStr">
        <is>
          <t>Föryngringsavverkning</t>
        </is>
      </c>
      <c r="D2246" s="1" t="n">
        <v>46077</v>
      </c>
      <c r="E2246" s="1" t="n">
        <v>46313</v>
      </c>
      <c r="F2246" t="inlineStr">
        <is>
          <t>SÖDERMANLANDS LÄN</t>
        </is>
      </c>
      <c r="G2246" t="inlineStr">
        <is>
          <t>FLEN</t>
        </is>
      </c>
      <c r="I2246" t="n">
        <v>3</v>
      </c>
      <c r="J2246" t="n">
        <v>0</v>
      </c>
      <c r="K2246" t="n">
        <v>0</v>
      </c>
      <c r="L2246" t="n">
        <v>0</v>
      </c>
      <c r="M2246" t="n">
        <v>0</v>
      </c>
      <c r="N2246" t="n">
        <v>0</v>
      </c>
      <c r="O2246" t="n">
        <v>0</v>
      </c>
      <c r="P2246" t="n">
        <v>0</v>
      </c>
      <c r="Q2246" t="n">
        <v>0</v>
      </c>
      <c r="R2246" t="n">
        <v>0</v>
      </c>
      <c r="S2246" t="n">
        <v>0</v>
      </c>
      <c r="T2246" t="n">
        <v>0</v>
      </c>
      <c r="U2246" t="n">
        <v>0</v>
      </c>
      <c r="V2246" s="2" t="inlineStr"/>
    </row>
    <row r="2247" ht="15" customHeight="1">
      <c r="A2247" t="inlineStr">
        <is>
          <t>A 27317-2026</t>
        </is>
      </c>
      <c r="B2247" t="inlineStr">
        <is>
          <t>avverkningsanmälan</t>
        </is>
      </c>
      <c r="C2247" t="inlineStr">
        <is>
          <t>Föryngringsavverkning</t>
        </is>
      </c>
      <c r="D2247" s="1" t="n">
        <v>46188</v>
      </c>
      <c r="E2247" s="1" t="n">
        <v>46313</v>
      </c>
      <c r="F2247" t="inlineStr">
        <is>
          <t>SÖDERMANLANDS LÄN</t>
        </is>
      </c>
      <c r="G2247" t="inlineStr">
        <is>
          <t>FLEN</t>
        </is>
      </c>
      <c r="I2247" t="n">
        <v>3.7</v>
      </c>
      <c r="J2247" t="n">
        <v>0</v>
      </c>
      <c r="K2247" t="n">
        <v>0</v>
      </c>
      <c r="L2247" t="n">
        <v>0</v>
      </c>
      <c r="M2247" t="n">
        <v>0</v>
      </c>
      <c r="N2247" t="n">
        <v>0</v>
      </c>
      <c r="O2247" t="n">
        <v>0</v>
      </c>
      <c r="P2247" t="n">
        <v>0</v>
      </c>
      <c r="Q2247" t="n">
        <v>0</v>
      </c>
      <c r="R2247" t="n">
        <v>0</v>
      </c>
      <c r="S2247" t="n">
        <v>0</v>
      </c>
      <c r="T2247" t="n">
        <v>0</v>
      </c>
      <c r="U2247" t="n">
        <v>0</v>
      </c>
      <c r="V2247" s="2" t="inlineStr"/>
    </row>
    <row r="2248" ht="15" customHeight="1">
      <c r="A2248" t="inlineStr">
        <is>
          <t>A 4211-2022</t>
        </is>
      </c>
      <c r="B2248" t="inlineStr">
        <is>
          <t>avverkningsanmälan</t>
        </is>
      </c>
      <c r="C2248" t="inlineStr">
        <is>
          <t>Föryngringsavverkning</t>
        </is>
      </c>
      <c r="D2248" s="1" t="n">
        <v>44588</v>
      </c>
      <c r="E2248" s="1" t="n">
        <v>46313</v>
      </c>
      <c r="F2248" t="inlineStr">
        <is>
          <t>SÖDERMANLANDS LÄN</t>
        </is>
      </c>
      <c r="G2248" t="inlineStr">
        <is>
          <t>ESKILSTUNA</t>
        </is>
      </c>
      <c r="I2248" t="n">
        <v>0.8</v>
      </c>
      <c r="J2248" t="n">
        <v>0</v>
      </c>
      <c r="K2248" t="n">
        <v>0</v>
      </c>
      <c r="L2248" t="n">
        <v>0</v>
      </c>
      <c r="M2248" t="n">
        <v>0</v>
      </c>
      <c r="N2248" t="n">
        <v>0</v>
      </c>
      <c r="O2248" t="n">
        <v>0</v>
      </c>
      <c r="P2248" t="n">
        <v>0</v>
      </c>
      <c r="Q2248" t="n">
        <v>0</v>
      </c>
      <c r="R2248" t="n">
        <v>0</v>
      </c>
      <c r="S2248" t="n">
        <v>0</v>
      </c>
      <c r="T2248" t="n">
        <v>0</v>
      </c>
      <c r="U2248" t="n">
        <v>0</v>
      </c>
      <c r="V2248" s="2" t="inlineStr"/>
    </row>
    <row r="2249" ht="15" customHeight="1">
      <c r="A2249" t="inlineStr">
        <is>
          <t>A 10393-2026</t>
        </is>
      </c>
      <c r="B2249" t="inlineStr">
        <is>
          <t>avverkningsanmälan</t>
        </is>
      </c>
      <c r="C2249" t="inlineStr">
        <is>
          <t>Avverkning för annat ändamål</t>
        </is>
      </c>
      <c r="D2249" s="1" t="n">
        <v>46077</v>
      </c>
      <c r="E2249" s="1" t="n">
        <v>46313</v>
      </c>
      <c r="F2249" t="inlineStr">
        <is>
          <t>SÖDERMANLANDS LÄN</t>
        </is>
      </c>
      <c r="G2249" t="inlineStr">
        <is>
          <t>TROSA</t>
        </is>
      </c>
      <c r="I2249" t="n">
        <v>0.8</v>
      </c>
      <c r="J2249" t="n">
        <v>0</v>
      </c>
      <c r="K2249" t="n">
        <v>0</v>
      </c>
      <c r="L2249" t="n">
        <v>0</v>
      </c>
      <c r="M2249" t="n">
        <v>0</v>
      </c>
      <c r="N2249" t="n">
        <v>0</v>
      </c>
      <c r="O2249" t="n">
        <v>0</v>
      </c>
      <c r="P2249" t="n">
        <v>0</v>
      </c>
      <c r="Q2249" t="n">
        <v>0</v>
      </c>
      <c r="R2249" t="n">
        <v>0</v>
      </c>
      <c r="S2249" t="n">
        <v>0</v>
      </c>
      <c r="T2249" t="n">
        <v>0</v>
      </c>
      <c r="U2249" t="n">
        <v>0</v>
      </c>
      <c r="V2249" s="2" t="inlineStr"/>
    </row>
    <row r="2250" ht="15" customHeight="1">
      <c r="A2250" t="inlineStr">
        <is>
          <t>A 11119-2026</t>
        </is>
      </c>
      <c r="B2250" t="inlineStr">
        <is>
          <t>avverkningsanmälan</t>
        </is>
      </c>
      <c r="C2250" t="inlineStr">
        <is>
          <t>Föryngringsavverkning</t>
        </is>
      </c>
      <c r="D2250" s="1" t="n">
        <v>46079</v>
      </c>
      <c r="E2250" s="1" t="n">
        <v>46313</v>
      </c>
      <c r="F2250" t="inlineStr">
        <is>
          <t>SÖDERMANLANDS LÄN</t>
        </is>
      </c>
      <c r="G2250" t="inlineStr">
        <is>
          <t>TROSA</t>
        </is>
      </c>
      <c r="I2250" t="n">
        <v>3.9</v>
      </c>
      <c r="J2250" t="n">
        <v>0</v>
      </c>
      <c r="K2250" t="n">
        <v>0</v>
      </c>
      <c r="L2250" t="n">
        <v>0</v>
      </c>
      <c r="M2250" t="n">
        <v>0</v>
      </c>
      <c r="N2250" t="n">
        <v>0</v>
      </c>
      <c r="O2250" t="n">
        <v>0</v>
      </c>
      <c r="P2250" t="n">
        <v>0</v>
      </c>
      <c r="Q2250" t="n">
        <v>0</v>
      </c>
      <c r="R2250" t="n">
        <v>0</v>
      </c>
      <c r="S2250" t="n">
        <v>0</v>
      </c>
      <c r="T2250" t="n">
        <v>0</v>
      </c>
      <c r="U2250" t="n">
        <v>0</v>
      </c>
      <c r="V2250" s="2" t="inlineStr"/>
    </row>
    <row r="2251" ht="15" customHeight="1">
      <c r="A2251" t="inlineStr">
        <is>
          <t>A 11148-2026</t>
        </is>
      </c>
      <c r="B2251" t="inlineStr">
        <is>
          <t>avverkningsanmälan</t>
        </is>
      </c>
      <c r="C2251" t="inlineStr">
        <is>
          <t>Föryngringsavverkning</t>
        </is>
      </c>
      <c r="D2251" s="1" t="n">
        <v>46080</v>
      </c>
      <c r="E2251" s="1" t="n">
        <v>46313</v>
      </c>
      <c r="F2251" t="inlineStr">
        <is>
          <t>SÖDERMANLANDS LÄN</t>
        </is>
      </c>
      <c r="G2251" t="inlineStr">
        <is>
          <t>FLEN</t>
        </is>
      </c>
      <c r="H2251" t="inlineStr">
        <is>
          <t>Holmen skog AB</t>
        </is>
      </c>
      <c r="I2251" t="n">
        <v>2.5</v>
      </c>
      <c r="J2251" t="n">
        <v>0</v>
      </c>
      <c r="K2251" t="n">
        <v>0</v>
      </c>
      <c r="L2251" t="n">
        <v>0</v>
      </c>
      <c r="M2251" t="n">
        <v>0</v>
      </c>
      <c r="N2251" t="n">
        <v>0</v>
      </c>
      <c r="O2251" t="n">
        <v>0</v>
      </c>
      <c r="P2251" t="n">
        <v>0</v>
      </c>
      <c r="Q2251" t="n">
        <v>0</v>
      </c>
      <c r="R2251" t="n">
        <v>0</v>
      </c>
      <c r="S2251" t="n">
        <v>0</v>
      </c>
      <c r="T2251" t="n">
        <v>0</v>
      </c>
      <c r="U2251" t="n">
        <v>0</v>
      </c>
      <c r="V2251" s="2" t="inlineStr"/>
    </row>
    <row r="2252" ht="15" customHeight="1">
      <c r="A2252" t="inlineStr">
        <is>
          <t>A 13426-2024</t>
        </is>
      </c>
      <c r="B2252" t="inlineStr">
        <is>
          <t>avverkningsanmälan</t>
        </is>
      </c>
      <c r="C2252" t="inlineStr">
        <is>
          <t>Föryngringsavverkning</t>
        </is>
      </c>
      <c r="D2252" s="1" t="n">
        <v>45387</v>
      </c>
      <c r="E2252" s="1" t="n">
        <v>46313</v>
      </c>
      <c r="F2252" t="inlineStr">
        <is>
          <t>SÖDERMANLANDS LÄN</t>
        </is>
      </c>
      <c r="G2252" t="inlineStr">
        <is>
          <t>ESKILSTUNA</t>
        </is>
      </c>
      <c r="I2252" t="n">
        <v>1.7</v>
      </c>
      <c r="J2252" t="n">
        <v>0</v>
      </c>
      <c r="K2252" t="n">
        <v>0</v>
      </c>
      <c r="L2252" t="n">
        <v>0</v>
      </c>
      <c r="M2252" t="n">
        <v>0</v>
      </c>
      <c r="N2252" t="n">
        <v>0</v>
      </c>
      <c r="O2252" t="n">
        <v>0</v>
      </c>
      <c r="P2252" t="n">
        <v>0</v>
      </c>
      <c r="Q2252" t="n">
        <v>0</v>
      </c>
      <c r="R2252" t="n">
        <v>0</v>
      </c>
      <c r="S2252" t="n">
        <v>0</v>
      </c>
      <c r="T2252" t="n">
        <v>0</v>
      </c>
      <c r="U2252" t="n">
        <v>0</v>
      </c>
      <c r="V2252" s="2" t="inlineStr"/>
    </row>
    <row r="2253" ht="15" customHeight="1">
      <c r="A2253" t="inlineStr">
        <is>
          <t>A 51613-2022</t>
        </is>
      </c>
      <c r="B2253" t="inlineStr">
        <is>
          <t>avverkningsanmälan</t>
        </is>
      </c>
      <c r="C2253" t="inlineStr">
        <is>
          <t>Föryngringsavverkning</t>
        </is>
      </c>
      <c r="D2253" s="1" t="n">
        <v>44871</v>
      </c>
      <c r="E2253" s="1" t="n">
        <v>46313</v>
      </c>
      <c r="F2253" t="inlineStr">
        <is>
          <t>SÖDERMANLANDS LÄN</t>
        </is>
      </c>
      <c r="G2253" t="inlineStr">
        <is>
          <t>KATRINEHOLM</t>
        </is>
      </c>
      <c r="I2253" t="n">
        <v>3</v>
      </c>
      <c r="J2253" t="n">
        <v>0</v>
      </c>
      <c r="K2253" t="n">
        <v>0</v>
      </c>
      <c r="L2253" t="n">
        <v>0</v>
      </c>
      <c r="M2253" t="n">
        <v>0</v>
      </c>
      <c r="N2253" t="n">
        <v>0</v>
      </c>
      <c r="O2253" t="n">
        <v>0</v>
      </c>
      <c r="P2253" t="n">
        <v>0</v>
      </c>
      <c r="Q2253" t="n">
        <v>0</v>
      </c>
      <c r="R2253" t="n">
        <v>0</v>
      </c>
      <c r="S2253" t="n">
        <v>0</v>
      </c>
      <c r="T2253" t="n">
        <v>0</v>
      </c>
      <c r="U2253" t="n">
        <v>0</v>
      </c>
      <c r="V2253" s="2" t="inlineStr"/>
    </row>
    <row r="2254" ht="15" customHeight="1">
      <c r="A2254" t="inlineStr">
        <is>
          <t>A 22176-2023</t>
        </is>
      </c>
      <c r="B2254" t="inlineStr">
        <is>
          <t>avverkningsanmälan</t>
        </is>
      </c>
      <c r="C2254" t="inlineStr">
        <is>
          <t>Föryngringsavverkning</t>
        </is>
      </c>
      <c r="D2254" s="1" t="n">
        <v>45069</v>
      </c>
      <c r="E2254" s="1" t="n">
        <v>46313</v>
      </c>
      <c r="F2254" t="inlineStr">
        <is>
          <t>SÖDERMANLANDS LÄN</t>
        </is>
      </c>
      <c r="G2254" t="inlineStr">
        <is>
          <t>NYKÖPING</t>
        </is>
      </c>
      <c r="H2254" t="inlineStr">
        <is>
          <t>Holmen skog AB</t>
        </is>
      </c>
      <c r="I2254" t="n">
        <v>0.7</v>
      </c>
      <c r="J2254" t="n">
        <v>0</v>
      </c>
      <c r="K2254" t="n">
        <v>0</v>
      </c>
      <c r="L2254" t="n">
        <v>0</v>
      </c>
      <c r="M2254" t="n">
        <v>0</v>
      </c>
      <c r="N2254" t="n">
        <v>0</v>
      </c>
      <c r="O2254" t="n">
        <v>0</v>
      </c>
      <c r="P2254" t="n">
        <v>0</v>
      </c>
      <c r="Q2254" t="n">
        <v>0</v>
      </c>
      <c r="R2254" t="n">
        <v>0</v>
      </c>
      <c r="S2254" t="n">
        <v>0</v>
      </c>
      <c r="T2254" t="n">
        <v>0</v>
      </c>
      <c r="U2254" t="n">
        <v>0</v>
      </c>
      <c r="V2254" s="2" t="inlineStr"/>
    </row>
    <row r="2255" ht="15" customHeight="1">
      <c r="A2255" t="inlineStr">
        <is>
          <t>A 52790-2023</t>
        </is>
      </c>
      <c r="B2255" t="inlineStr">
        <is>
          <t>avverkningsanmälan</t>
        </is>
      </c>
      <c r="C2255" t="inlineStr">
        <is>
          <t>Föryngringsavverkning</t>
        </is>
      </c>
      <c r="D2255" s="1" t="n">
        <v>45219</v>
      </c>
      <c r="E2255" s="1" t="n">
        <v>46313</v>
      </c>
      <c r="F2255" t="inlineStr">
        <is>
          <t>SÖDERMANLANDS LÄN</t>
        </is>
      </c>
      <c r="G2255" t="inlineStr">
        <is>
          <t>STRÄNGNÄS</t>
        </is>
      </c>
      <c r="I2255" t="n">
        <v>1</v>
      </c>
      <c r="J2255" t="n">
        <v>0</v>
      </c>
      <c r="K2255" t="n">
        <v>0</v>
      </c>
      <c r="L2255" t="n">
        <v>0</v>
      </c>
      <c r="M2255" t="n">
        <v>0</v>
      </c>
      <c r="N2255" t="n">
        <v>0</v>
      </c>
      <c r="O2255" t="n">
        <v>0</v>
      </c>
      <c r="P2255" t="n">
        <v>0</v>
      </c>
      <c r="Q2255" t="n">
        <v>0</v>
      </c>
      <c r="R2255" t="n">
        <v>0</v>
      </c>
      <c r="S2255" t="n">
        <v>0</v>
      </c>
      <c r="T2255" t="n">
        <v>0</v>
      </c>
      <c r="U2255" t="n">
        <v>0</v>
      </c>
      <c r="V2255" s="2" t="inlineStr"/>
    </row>
    <row r="2256" ht="15" customHeight="1">
      <c r="A2256" t="inlineStr">
        <is>
          <t>A 11180-2026</t>
        </is>
      </c>
      <c r="B2256" t="inlineStr">
        <is>
          <t>avverkningsanmälan</t>
        </is>
      </c>
      <c r="C2256" t="inlineStr">
        <is>
          <t>Föryngringsavverkning</t>
        </is>
      </c>
      <c r="D2256" s="1" t="n">
        <v>46080</v>
      </c>
      <c r="E2256" s="1" t="n">
        <v>46313</v>
      </c>
      <c r="F2256" t="inlineStr">
        <is>
          <t>SÖDERMANLANDS LÄN</t>
        </is>
      </c>
      <c r="G2256" t="inlineStr">
        <is>
          <t>FLEN</t>
        </is>
      </c>
      <c r="H2256" t="inlineStr">
        <is>
          <t>Holmen skog AB</t>
        </is>
      </c>
      <c r="I2256" t="n">
        <v>1.1</v>
      </c>
      <c r="J2256" t="n">
        <v>0</v>
      </c>
      <c r="K2256" t="n">
        <v>0</v>
      </c>
      <c r="L2256" t="n">
        <v>0</v>
      </c>
      <c r="M2256" t="n">
        <v>0</v>
      </c>
      <c r="N2256" t="n">
        <v>0</v>
      </c>
      <c r="O2256" t="n">
        <v>0</v>
      </c>
      <c r="P2256" t="n">
        <v>0</v>
      </c>
      <c r="Q2256" t="n">
        <v>0</v>
      </c>
      <c r="R2256" t="n">
        <v>0</v>
      </c>
      <c r="S2256" t="n">
        <v>0</v>
      </c>
      <c r="T2256" t="n">
        <v>0</v>
      </c>
      <c r="U2256" t="n">
        <v>0</v>
      </c>
      <c r="V2256" s="2" t="inlineStr"/>
    </row>
    <row r="2257" ht="15" customHeight="1">
      <c r="A2257" t="inlineStr">
        <is>
          <t>A 26839-2026</t>
        </is>
      </c>
      <c r="B2257" t="inlineStr">
        <is>
          <t>avverkningsanmälan</t>
        </is>
      </c>
      <c r="C2257" t="inlineStr">
        <is>
          <t>Föryngringsavverkning</t>
        </is>
      </c>
      <c r="D2257" s="1" t="n">
        <v>46185</v>
      </c>
      <c r="E2257" s="1" t="n">
        <v>46313</v>
      </c>
      <c r="F2257" t="inlineStr">
        <is>
          <t>SÖDERMANLANDS LÄN</t>
        </is>
      </c>
      <c r="G2257" t="inlineStr">
        <is>
          <t>NYKÖPING</t>
        </is>
      </c>
      <c r="I2257" t="n">
        <v>2.3</v>
      </c>
      <c r="J2257" t="n">
        <v>0</v>
      </c>
      <c r="K2257" t="n">
        <v>0</v>
      </c>
      <c r="L2257" t="n">
        <v>0</v>
      </c>
      <c r="M2257" t="n">
        <v>0</v>
      </c>
      <c r="N2257" t="n">
        <v>0</v>
      </c>
      <c r="O2257" t="n">
        <v>0</v>
      </c>
      <c r="P2257" t="n">
        <v>0</v>
      </c>
      <c r="Q2257" t="n">
        <v>0</v>
      </c>
      <c r="R2257" t="n">
        <v>0</v>
      </c>
      <c r="S2257" t="n">
        <v>0</v>
      </c>
      <c r="T2257" t="n">
        <v>0</v>
      </c>
      <c r="U2257" t="n">
        <v>0</v>
      </c>
      <c r="V2257" s="2" t="inlineStr"/>
    </row>
    <row r="2258" ht="15" customHeight="1">
      <c r="A2258" t="inlineStr">
        <is>
          <t>A 26841-2026</t>
        </is>
      </c>
      <c r="B2258" t="inlineStr">
        <is>
          <t>avverkningsanmälan</t>
        </is>
      </c>
      <c r="C2258" t="inlineStr">
        <is>
          <t>Föryngringsavverkning</t>
        </is>
      </c>
      <c r="D2258" s="1" t="n">
        <v>46185</v>
      </c>
      <c r="E2258" s="1" t="n">
        <v>46313</v>
      </c>
      <c r="F2258" t="inlineStr">
        <is>
          <t>SÖDERMANLANDS LÄN</t>
        </is>
      </c>
      <c r="G2258" t="inlineStr">
        <is>
          <t>NYKÖPING</t>
        </is>
      </c>
      <c r="I2258" t="n">
        <v>1.2</v>
      </c>
      <c r="J2258" t="n">
        <v>0</v>
      </c>
      <c r="K2258" t="n">
        <v>0</v>
      </c>
      <c r="L2258" t="n">
        <v>0</v>
      </c>
      <c r="M2258" t="n">
        <v>0</v>
      </c>
      <c r="N2258" t="n">
        <v>0</v>
      </c>
      <c r="O2258" t="n">
        <v>0</v>
      </c>
      <c r="P2258" t="n">
        <v>0</v>
      </c>
      <c r="Q2258" t="n">
        <v>0</v>
      </c>
      <c r="R2258" t="n">
        <v>0</v>
      </c>
      <c r="S2258" t="n">
        <v>0</v>
      </c>
      <c r="T2258" t="n">
        <v>0</v>
      </c>
      <c r="U2258" t="n">
        <v>0</v>
      </c>
      <c r="V2258" s="2" t="inlineStr"/>
    </row>
    <row r="2259" ht="15" customHeight="1">
      <c r="A2259" t="inlineStr">
        <is>
          <t>A 11004-2026</t>
        </is>
      </c>
      <c r="B2259" t="inlineStr">
        <is>
          <t>avverkningsanmälan</t>
        </is>
      </c>
      <c r="C2259" t="inlineStr">
        <is>
          <t>Föryngringsavverkning</t>
        </is>
      </c>
      <c r="D2259" s="1" t="n">
        <v>46079</v>
      </c>
      <c r="E2259" s="1" t="n">
        <v>46313</v>
      </c>
      <c r="F2259" t="inlineStr">
        <is>
          <t>SÖDERMANLANDS LÄN</t>
        </is>
      </c>
      <c r="G2259" t="inlineStr">
        <is>
          <t>FLEN</t>
        </is>
      </c>
      <c r="H2259" t="inlineStr">
        <is>
          <t>Holmen skog AB</t>
        </is>
      </c>
      <c r="I2259" t="n">
        <v>5.2</v>
      </c>
      <c r="J2259" t="n">
        <v>0</v>
      </c>
      <c r="K2259" t="n">
        <v>0</v>
      </c>
      <c r="L2259" t="n">
        <v>0</v>
      </c>
      <c r="M2259" t="n">
        <v>0</v>
      </c>
      <c r="N2259" t="n">
        <v>0</v>
      </c>
      <c r="O2259" t="n">
        <v>0</v>
      </c>
      <c r="P2259" t="n">
        <v>0</v>
      </c>
      <c r="Q2259" t="n">
        <v>0</v>
      </c>
      <c r="R2259" t="n">
        <v>0</v>
      </c>
      <c r="S2259" t="n">
        <v>0</v>
      </c>
      <c r="T2259" t="n">
        <v>0</v>
      </c>
      <c r="U2259" t="n">
        <v>0</v>
      </c>
      <c r="V2259" s="2" t="inlineStr"/>
    </row>
    <row r="2260" ht="15" customHeight="1">
      <c r="A2260" t="inlineStr">
        <is>
          <t>A 27328-2026</t>
        </is>
      </c>
      <c r="B2260" t="inlineStr">
        <is>
          <t>avverkningsanmälan</t>
        </is>
      </c>
      <c r="C2260" t="inlineStr">
        <is>
          <t>Föryngringsavverkning</t>
        </is>
      </c>
      <c r="D2260" s="1" t="n">
        <v>46188</v>
      </c>
      <c r="E2260" s="1" t="n">
        <v>46313</v>
      </c>
      <c r="F2260" t="inlineStr">
        <is>
          <t>SÖDERMANLANDS LÄN</t>
        </is>
      </c>
      <c r="G2260" t="inlineStr">
        <is>
          <t>FLEN</t>
        </is>
      </c>
      <c r="I2260" t="n">
        <v>1.3</v>
      </c>
      <c r="J2260" t="n">
        <v>0</v>
      </c>
      <c r="K2260" t="n">
        <v>0</v>
      </c>
      <c r="L2260" t="n">
        <v>0</v>
      </c>
      <c r="M2260" t="n">
        <v>0</v>
      </c>
      <c r="N2260" t="n">
        <v>0</v>
      </c>
      <c r="O2260" t="n">
        <v>0</v>
      </c>
      <c r="P2260" t="n">
        <v>0</v>
      </c>
      <c r="Q2260" t="n">
        <v>0</v>
      </c>
      <c r="R2260" t="n">
        <v>0</v>
      </c>
      <c r="S2260" t="n">
        <v>0</v>
      </c>
      <c r="T2260" t="n">
        <v>0</v>
      </c>
      <c r="U2260" t="n">
        <v>0</v>
      </c>
      <c r="V2260" s="2" t="inlineStr"/>
    </row>
    <row r="2261" ht="15" customHeight="1">
      <c r="A2261" t="inlineStr">
        <is>
          <t>A 11105-2026</t>
        </is>
      </c>
      <c r="B2261" t="inlineStr">
        <is>
          <t>avverkningsanmälan</t>
        </is>
      </c>
      <c r="C2261" t="inlineStr">
        <is>
          <t>Föryngringsavverkning</t>
        </is>
      </c>
      <c r="D2261" s="1" t="n">
        <v>46079</v>
      </c>
      <c r="E2261" s="1" t="n">
        <v>46313</v>
      </c>
      <c r="F2261" t="inlineStr">
        <is>
          <t>SÖDERMANLANDS LÄN</t>
        </is>
      </c>
      <c r="G2261" t="inlineStr">
        <is>
          <t>FLEN</t>
        </is>
      </c>
      <c r="H2261" t="inlineStr">
        <is>
          <t>Holmen skog AB</t>
        </is>
      </c>
      <c r="I2261" t="n">
        <v>2.1</v>
      </c>
      <c r="J2261" t="n">
        <v>0</v>
      </c>
      <c r="K2261" t="n">
        <v>0</v>
      </c>
      <c r="L2261" t="n">
        <v>0</v>
      </c>
      <c r="M2261" t="n">
        <v>0</v>
      </c>
      <c r="N2261" t="n">
        <v>0</v>
      </c>
      <c r="O2261" t="n">
        <v>0</v>
      </c>
      <c r="P2261" t="n">
        <v>0</v>
      </c>
      <c r="Q2261" t="n">
        <v>0</v>
      </c>
      <c r="R2261" t="n">
        <v>0</v>
      </c>
      <c r="S2261" t="n">
        <v>0</v>
      </c>
      <c r="T2261" t="n">
        <v>0</v>
      </c>
      <c r="U2261" t="n">
        <v>0</v>
      </c>
      <c r="V2261" s="2" t="inlineStr"/>
    </row>
    <row r="2262" ht="15" customHeight="1">
      <c r="A2262" t="inlineStr">
        <is>
          <t>A 11083-2026</t>
        </is>
      </c>
      <c r="B2262" t="inlineStr">
        <is>
          <t>avverkningsanmälan</t>
        </is>
      </c>
      <c r="C2262" t="inlineStr">
        <is>
          <t>Avverkning för annat ändamål</t>
        </is>
      </c>
      <c r="D2262" s="1" t="n">
        <v>46079</v>
      </c>
      <c r="E2262" s="1" t="n">
        <v>46313</v>
      </c>
      <c r="F2262" t="inlineStr">
        <is>
          <t>SÖDERMANLANDS LÄN</t>
        </is>
      </c>
      <c r="G2262" t="inlineStr">
        <is>
          <t>TROSA</t>
        </is>
      </c>
      <c r="I2262" t="n">
        <v>1.7</v>
      </c>
      <c r="J2262" t="n">
        <v>0</v>
      </c>
      <c r="K2262" t="n">
        <v>0</v>
      </c>
      <c r="L2262" t="n">
        <v>0</v>
      </c>
      <c r="M2262" t="n">
        <v>0</v>
      </c>
      <c r="N2262" t="n">
        <v>0</v>
      </c>
      <c r="O2262" t="n">
        <v>0</v>
      </c>
      <c r="P2262" t="n">
        <v>0</v>
      </c>
      <c r="Q2262" t="n">
        <v>0</v>
      </c>
      <c r="R2262" t="n">
        <v>0</v>
      </c>
      <c r="S2262" t="n">
        <v>0</v>
      </c>
      <c r="T2262" t="n">
        <v>0</v>
      </c>
      <c r="U2262" t="n">
        <v>0</v>
      </c>
      <c r="V2262" s="2" t="inlineStr"/>
    </row>
    <row r="2263" ht="15" customHeight="1">
      <c r="A2263" t="inlineStr">
        <is>
          <t>A 62967-2023</t>
        </is>
      </c>
      <c r="B2263" t="inlineStr">
        <is>
          <t>avverkningsanmälan</t>
        </is>
      </c>
      <c r="C2263" t="inlineStr">
        <is>
          <t>Föryngringsavverkning</t>
        </is>
      </c>
      <c r="D2263" s="1" t="n">
        <v>45272</v>
      </c>
      <c r="E2263" s="1" t="n">
        <v>46313</v>
      </c>
      <c r="F2263" t="inlineStr">
        <is>
          <t>SÖDERMANLANDS LÄN</t>
        </is>
      </c>
      <c r="G2263" t="inlineStr">
        <is>
          <t>GNESTA</t>
        </is>
      </c>
      <c r="I2263" t="n">
        <v>7.4</v>
      </c>
      <c r="J2263" t="n">
        <v>0</v>
      </c>
      <c r="K2263" t="n">
        <v>0</v>
      </c>
      <c r="L2263" t="n">
        <v>0</v>
      </c>
      <c r="M2263" t="n">
        <v>0</v>
      </c>
      <c r="N2263" t="n">
        <v>0</v>
      </c>
      <c r="O2263" t="n">
        <v>0</v>
      </c>
      <c r="P2263" t="n">
        <v>0</v>
      </c>
      <c r="Q2263" t="n">
        <v>0</v>
      </c>
      <c r="R2263" t="n">
        <v>0</v>
      </c>
      <c r="S2263" t="n">
        <v>0</v>
      </c>
      <c r="T2263" t="n">
        <v>0</v>
      </c>
      <c r="U2263" t="n">
        <v>0</v>
      </c>
      <c r="V2263" s="2" t="inlineStr"/>
    </row>
    <row r="2264" ht="15" customHeight="1">
      <c r="A2264" t="inlineStr">
        <is>
          <t>A 11098-2026</t>
        </is>
      </c>
      <c r="B2264" t="inlineStr">
        <is>
          <t>avverkningsanmälan</t>
        </is>
      </c>
      <c r="C2264" t="inlineStr">
        <is>
          <t>Föryngringsavverkning</t>
        </is>
      </c>
      <c r="D2264" s="1" t="n">
        <v>46079</v>
      </c>
      <c r="E2264" s="1" t="n">
        <v>46313</v>
      </c>
      <c r="F2264" t="inlineStr">
        <is>
          <t>SÖDERMANLANDS LÄN</t>
        </is>
      </c>
      <c r="G2264" t="inlineStr">
        <is>
          <t>FLEN</t>
        </is>
      </c>
      <c r="H2264" t="inlineStr">
        <is>
          <t>Holmen skog AB</t>
        </is>
      </c>
      <c r="I2264" t="n">
        <v>0.9</v>
      </c>
      <c r="J2264" t="n">
        <v>0</v>
      </c>
      <c r="K2264" t="n">
        <v>0</v>
      </c>
      <c r="L2264" t="n">
        <v>0</v>
      </c>
      <c r="M2264" t="n">
        <v>0</v>
      </c>
      <c r="N2264" t="n">
        <v>0</v>
      </c>
      <c r="O2264" t="n">
        <v>0</v>
      </c>
      <c r="P2264" t="n">
        <v>0</v>
      </c>
      <c r="Q2264" t="n">
        <v>0</v>
      </c>
      <c r="R2264" t="n">
        <v>0</v>
      </c>
      <c r="S2264" t="n">
        <v>0</v>
      </c>
      <c r="T2264" t="n">
        <v>0</v>
      </c>
      <c r="U2264" t="n">
        <v>0</v>
      </c>
      <c r="V2264" s="2" t="inlineStr"/>
    </row>
    <row r="2265" ht="15" customHeight="1">
      <c r="A2265" t="inlineStr">
        <is>
          <t>A 27677-2026</t>
        </is>
      </c>
      <c r="B2265" t="inlineStr">
        <is>
          <t>avverkningsanmälan</t>
        </is>
      </c>
      <c r="C2265" t="inlineStr">
        <is>
          <t>Föryngringsavverkning</t>
        </is>
      </c>
      <c r="D2265" s="1" t="n">
        <v>46188</v>
      </c>
      <c r="E2265" s="1" t="n">
        <v>46313</v>
      </c>
      <c r="F2265" t="inlineStr">
        <is>
          <t>SÖDERMANLANDS LÄN</t>
        </is>
      </c>
      <c r="G2265" t="inlineStr">
        <is>
          <t>STRÄNGNÄS</t>
        </is>
      </c>
      <c r="I2265" t="n">
        <v>0.9</v>
      </c>
      <c r="J2265" t="n">
        <v>0</v>
      </c>
      <c r="K2265" t="n">
        <v>0</v>
      </c>
      <c r="L2265" t="n">
        <v>0</v>
      </c>
      <c r="M2265" t="n">
        <v>0</v>
      </c>
      <c r="N2265" t="n">
        <v>0</v>
      </c>
      <c r="O2265" t="n">
        <v>0</v>
      </c>
      <c r="P2265" t="n">
        <v>0</v>
      </c>
      <c r="Q2265" t="n">
        <v>0</v>
      </c>
      <c r="R2265" t="n">
        <v>0</v>
      </c>
      <c r="S2265" t="n">
        <v>0</v>
      </c>
      <c r="T2265" t="n">
        <v>0</v>
      </c>
      <c r="U2265" t="n">
        <v>0</v>
      </c>
      <c r="V2265" s="2" t="inlineStr"/>
    </row>
    <row r="2266" ht="15" customHeight="1">
      <c r="A2266" t="inlineStr">
        <is>
          <t>A 19868-2022</t>
        </is>
      </c>
      <c r="B2266" t="inlineStr">
        <is>
          <t>avverkningsanmälan</t>
        </is>
      </c>
      <c r="C2266" t="inlineStr">
        <is>
          <t>Föryngringsavverkning</t>
        </is>
      </c>
      <c r="D2266" s="1" t="n">
        <v>44696</v>
      </c>
      <c r="E2266" s="1" t="n">
        <v>46313</v>
      </c>
      <c r="F2266" t="inlineStr">
        <is>
          <t>SÖDERMANLANDS LÄN</t>
        </is>
      </c>
      <c r="G2266" t="inlineStr">
        <is>
          <t>KATRINEHOLM</t>
        </is>
      </c>
      <c r="I2266" t="n">
        <v>13</v>
      </c>
      <c r="J2266" t="n">
        <v>0</v>
      </c>
      <c r="K2266" t="n">
        <v>0</v>
      </c>
      <c r="L2266" t="n">
        <v>0</v>
      </c>
      <c r="M2266" t="n">
        <v>0</v>
      </c>
      <c r="N2266" t="n">
        <v>0</v>
      </c>
      <c r="O2266" t="n">
        <v>0</v>
      </c>
      <c r="P2266" t="n">
        <v>0</v>
      </c>
      <c r="Q2266" t="n">
        <v>0</v>
      </c>
      <c r="R2266" t="n">
        <v>0</v>
      </c>
      <c r="S2266" t="n">
        <v>0</v>
      </c>
      <c r="T2266" t="n">
        <v>0</v>
      </c>
      <c r="U2266" t="n">
        <v>0</v>
      </c>
      <c r="V2266" s="2" t="inlineStr"/>
    </row>
    <row r="2267" ht="15" customHeight="1">
      <c r="A2267" t="inlineStr">
        <is>
          <t>A 58651-2023</t>
        </is>
      </c>
      <c r="B2267" t="inlineStr">
        <is>
          <t>avverkningsanmälan</t>
        </is>
      </c>
      <c r="C2267" t="inlineStr">
        <is>
          <t>Föryngringsavverkning</t>
        </is>
      </c>
      <c r="D2267" s="1" t="n">
        <v>45247</v>
      </c>
      <c r="E2267" s="1" t="n">
        <v>46313</v>
      </c>
      <c r="F2267" t="inlineStr">
        <is>
          <t>SÖDERMANLANDS LÄN</t>
        </is>
      </c>
      <c r="G2267" t="inlineStr">
        <is>
          <t>KATRINEHOLM</t>
        </is>
      </c>
      <c r="I2267" t="n">
        <v>2.7</v>
      </c>
      <c r="J2267" t="n">
        <v>0</v>
      </c>
      <c r="K2267" t="n">
        <v>0</v>
      </c>
      <c r="L2267" t="n">
        <v>0</v>
      </c>
      <c r="M2267" t="n">
        <v>0</v>
      </c>
      <c r="N2267" t="n">
        <v>0</v>
      </c>
      <c r="O2267" t="n">
        <v>0</v>
      </c>
      <c r="P2267" t="n">
        <v>0</v>
      </c>
      <c r="Q2267" t="n">
        <v>0</v>
      </c>
      <c r="R2267" t="n">
        <v>0</v>
      </c>
      <c r="S2267" t="n">
        <v>0</v>
      </c>
      <c r="T2267" t="n">
        <v>0</v>
      </c>
      <c r="U2267" t="n">
        <v>0</v>
      </c>
      <c r="V2267" s="2" t="inlineStr"/>
    </row>
    <row r="2268" ht="15" customHeight="1">
      <c r="A2268" t="inlineStr">
        <is>
          <t>A 11039-2026</t>
        </is>
      </c>
      <c r="B2268" t="inlineStr">
        <is>
          <t>avverkningsanmälan</t>
        </is>
      </c>
      <c r="C2268" t="inlineStr">
        <is>
          <t>Avverkning för annat ändamål</t>
        </is>
      </c>
      <c r="D2268" s="1" t="n">
        <v>46079</v>
      </c>
      <c r="E2268" s="1" t="n">
        <v>46313</v>
      </c>
      <c r="F2268" t="inlineStr">
        <is>
          <t>SÖDERMANLANDS LÄN</t>
        </is>
      </c>
      <c r="G2268" t="inlineStr">
        <is>
          <t>TROSA</t>
        </is>
      </c>
      <c r="I2268" t="n">
        <v>5.3</v>
      </c>
      <c r="J2268" t="n">
        <v>0</v>
      </c>
      <c r="K2268" t="n">
        <v>0</v>
      </c>
      <c r="L2268" t="n">
        <v>0</v>
      </c>
      <c r="M2268" t="n">
        <v>0</v>
      </c>
      <c r="N2268" t="n">
        <v>0</v>
      </c>
      <c r="O2268" t="n">
        <v>0</v>
      </c>
      <c r="P2268" t="n">
        <v>0</v>
      </c>
      <c r="Q2268" t="n">
        <v>0</v>
      </c>
      <c r="R2268" t="n">
        <v>0</v>
      </c>
      <c r="S2268" t="n">
        <v>0</v>
      </c>
      <c r="T2268" t="n">
        <v>0</v>
      </c>
      <c r="U2268" t="n">
        <v>0</v>
      </c>
      <c r="V2268" s="2" t="inlineStr"/>
    </row>
    <row r="2269" ht="15" customHeight="1">
      <c r="A2269" t="inlineStr">
        <is>
          <t>A 11069-2026</t>
        </is>
      </c>
      <c r="B2269" t="inlineStr">
        <is>
          <t>avverkningsanmälan</t>
        </is>
      </c>
      <c r="C2269" t="inlineStr">
        <is>
          <t>Avverkning för annat ändamål</t>
        </is>
      </c>
      <c r="D2269" s="1" t="n">
        <v>46079</v>
      </c>
      <c r="E2269" s="1" t="n">
        <v>46313</v>
      </c>
      <c r="F2269" t="inlineStr">
        <is>
          <t>SÖDERMANLANDS LÄN</t>
        </is>
      </c>
      <c r="G2269" t="inlineStr">
        <is>
          <t>TROSA</t>
        </is>
      </c>
      <c r="I2269" t="n">
        <v>5.2</v>
      </c>
      <c r="J2269" t="n">
        <v>0</v>
      </c>
      <c r="K2269" t="n">
        <v>0</v>
      </c>
      <c r="L2269" t="n">
        <v>0</v>
      </c>
      <c r="M2269" t="n">
        <v>0</v>
      </c>
      <c r="N2269" t="n">
        <v>0</v>
      </c>
      <c r="O2269" t="n">
        <v>0</v>
      </c>
      <c r="P2269" t="n">
        <v>0</v>
      </c>
      <c r="Q2269" t="n">
        <v>0</v>
      </c>
      <c r="R2269" t="n">
        <v>0</v>
      </c>
      <c r="S2269" t="n">
        <v>0</v>
      </c>
      <c r="T2269" t="n">
        <v>0</v>
      </c>
      <c r="U2269" t="n">
        <v>0</v>
      </c>
      <c r="V2269" s="2" t="inlineStr"/>
    </row>
    <row r="2270" ht="15" customHeight="1">
      <c r="A2270" t="inlineStr">
        <is>
          <t>A 11187-2026</t>
        </is>
      </c>
      <c r="B2270" t="inlineStr">
        <is>
          <t>avverkningsanmälan</t>
        </is>
      </c>
      <c r="C2270" t="inlineStr">
        <is>
          <t>Föryngringsavverkning</t>
        </is>
      </c>
      <c r="D2270" s="1" t="n">
        <v>46080</v>
      </c>
      <c r="E2270" s="1" t="n">
        <v>46313</v>
      </c>
      <c r="F2270" t="inlineStr">
        <is>
          <t>SÖDERMANLANDS LÄN</t>
        </is>
      </c>
      <c r="G2270" t="inlineStr">
        <is>
          <t>FLEN</t>
        </is>
      </c>
      <c r="H2270" t="inlineStr">
        <is>
          <t>Holmen skog AB</t>
        </is>
      </c>
      <c r="I2270" t="n">
        <v>1.5</v>
      </c>
      <c r="J2270" t="n">
        <v>0</v>
      </c>
      <c r="K2270" t="n">
        <v>0</v>
      </c>
      <c r="L2270" t="n">
        <v>0</v>
      </c>
      <c r="M2270" t="n">
        <v>0</v>
      </c>
      <c r="N2270" t="n">
        <v>0</v>
      </c>
      <c r="O2270" t="n">
        <v>0</v>
      </c>
      <c r="P2270" t="n">
        <v>0</v>
      </c>
      <c r="Q2270" t="n">
        <v>0</v>
      </c>
      <c r="R2270" t="n">
        <v>0</v>
      </c>
      <c r="S2270" t="n">
        <v>0</v>
      </c>
      <c r="T2270" t="n">
        <v>0</v>
      </c>
      <c r="U2270" t="n">
        <v>0</v>
      </c>
      <c r="V2270" s="2" t="inlineStr"/>
    </row>
    <row r="2271" ht="15" customHeight="1">
      <c r="A2271" t="inlineStr">
        <is>
          <t>A 27563-2024</t>
        </is>
      </c>
      <c r="B2271" t="inlineStr">
        <is>
          <t>avverkningsanmälan</t>
        </is>
      </c>
      <c r="C2271" t="inlineStr">
        <is>
          <t>Avverkning för annat ändamål</t>
        </is>
      </c>
      <c r="D2271" s="1" t="n">
        <v>45474</v>
      </c>
      <c r="E2271" s="1" t="n">
        <v>46313</v>
      </c>
      <c r="F2271" t="inlineStr">
        <is>
          <t>SÖDERMANLANDS LÄN</t>
        </is>
      </c>
      <c r="G2271" t="inlineStr">
        <is>
          <t>NYKÖPING</t>
        </is>
      </c>
      <c r="I2271" t="n">
        <v>4.2</v>
      </c>
      <c r="J2271" t="n">
        <v>0</v>
      </c>
      <c r="K2271" t="n">
        <v>0</v>
      </c>
      <c r="L2271" t="n">
        <v>0</v>
      </c>
      <c r="M2271" t="n">
        <v>0</v>
      </c>
      <c r="N2271" t="n">
        <v>0</v>
      </c>
      <c r="O2271" t="n">
        <v>0</v>
      </c>
      <c r="P2271" t="n">
        <v>0</v>
      </c>
      <c r="Q2271" t="n">
        <v>0</v>
      </c>
      <c r="R2271" t="n">
        <v>0</v>
      </c>
      <c r="S2271" t="n">
        <v>0</v>
      </c>
      <c r="T2271" t="n">
        <v>0</v>
      </c>
      <c r="U2271" t="n">
        <v>0</v>
      </c>
      <c r="V2271" s="2" t="inlineStr"/>
    </row>
    <row r="2272" ht="15" customHeight="1">
      <c r="A2272" t="inlineStr">
        <is>
          <t>A 56228-2024</t>
        </is>
      </c>
      <c r="B2272" t="inlineStr">
        <is>
          <t>avverkningsanmälan</t>
        </is>
      </c>
      <c r="C2272" t="inlineStr">
        <is>
          <t>Avverkning för annat ändamål</t>
        </is>
      </c>
      <c r="D2272" s="1" t="n">
        <v>45624</v>
      </c>
      <c r="E2272" s="1" t="n">
        <v>46313</v>
      </c>
      <c r="F2272" t="inlineStr">
        <is>
          <t>SÖDERMANLANDS LÄN</t>
        </is>
      </c>
      <c r="G2272" t="inlineStr">
        <is>
          <t>NYKÖPING</t>
        </is>
      </c>
      <c r="I2272" t="n">
        <v>0.7</v>
      </c>
      <c r="J2272" t="n">
        <v>0</v>
      </c>
      <c r="K2272" t="n">
        <v>0</v>
      </c>
      <c r="L2272" t="n">
        <v>0</v>
      </c>
      <c r="M2272" t="n">
        <v>0</v>
      </c>
      <c r="N2272" t="n">
        <v>0</v>
      </c>
      <c r="O2272" t="n">
        <v>0</v>
      </c>
      <c r="P2272" t="n">
        <v>0</v>
      </c>
      <c r="Q2272" t="n">
        <v>0</v>
      </c>
      <c r="R2272" t="n">
        <v>0</v>
      </c>
      <c r="S2272" t="n">
        <v>0</v>
      </c>
      <c r="T2272" t="n">
        <v>0</v>
      </c>
      <c r="U2272" t="n">
        <v>0</v>
      </c>
      <c r="V2272" s="2" t="inlineStr"/>
    </row>
    <row r="2273" ht="15" customHeight="1">
      <c r="A2273" t="inlineStr">
        <is>
          <t>A 11339-2026</t>
        </is>
      </c>
      <c r="B2273" t="inlineStr">
        <is>
          <t>avverkningsanmälan</t>
        </is>
      </c>
      <c r="C2273" t="inlineStr">
        <is>
          <t>Föryngringsavverkning</t>
        </is>
      </c>
      <c r="D2273" s="1" t="n">
        <v>46082</v>
      </c>
      <c r="E2273" s="1" t="n">
        <v>46313</v>
      </c>
      <c r="F2273" t="inlineStr">
        <is>
          <t>SÖDERMANLANDS LÄN</t>
        </is>
      </c>
      <c r="G2273" t="inlineStr">
        <is>
          <t>FLEN</t>
        </is>
      </c>
      <c r="I2273" t="n">
        <v>7.7</v>
      </c>
      <c r="J2273" t="n">
        <v>0</v>
      </c>
      <c r="K2273" t="n">
        <v>0</v>
      </c>
      <c r="L2273" t="n">
        <v>0</v>
      </c>
      <c r="M2273" t="n">
        <v>0</v>
      </c>
      <c r="N2273" t="n">
        <v>0</v>
      </c>
      <c r="O2273" t="n">
        <v>0</v>
      </c>
      <c r="P2273" t="n">
        <v>0</v>
      </c>
      <c r="Q2273" t="n">
        <v>0</v>
      </c>
      <c r="R2273" t="n">
        <v>0</v>
      </c>
      <c r="S2273" t="n">
        <v>0</v>
      </c>
      <c r="T2273" t="n">
        <v>0</v>
      </c>
      <c r="U2273" t="n">
        <v>0</v>
      </c>
      <c r="V2273" s="2" t="inlineStr"/>
    </row>
    <row r="2274" ht="15" customHeight="1">
      <c r="A2274" t="inlineStr">
        <is>
          <t>A 11413-2026</t>
        </is>
      </c>
      <c r="B2274" t="inlineStr">
        <is>
          <t>avverkningsanmälan</t>
        </is>
      </c>
      <c r="C2274" t="inlineStr">
        <is>
          <t>Föryngringsavverkning</t>
        </is>
      </c>
      <c r="D2274" s="1" t="n">
        <v>46083</v>
      </c>
      <c r="E2274" s="1" t="n">
        <v>46313</v>
      </c>
      <c r="F2274" t="inlineStr">
        <is>
          <t>SÖDERMANLANDS LÄN</t>
        </is>
      </c>
      <c r="G2274" t="inlineStr">
        <is>
          <t>FLEN</t>
        </is>
      </c>
      <c r="H2274" t="inlineStr">
        <is>
          <t>Holmen skog AB</t>
        </is>
      </c>
      <c r="I2274" t="n">
        <v>1.6</v>
      </c>
      <c r="J2274" t="n">
        <v>0</v>
      </c>
      <c r="K2274" t="n">
        <v>0</v>
      </c>
      <c r="L2274" t="n">
        <v>0</v>
      </c>
      <c r="M2274" t="n">
        <v>0</v>
      </c>
      <c r="N2274" t="n">
        <v>0</v>
      </c>
      <c r="O2274" t="n">
        <v>0</v>
      </c>
      <c r="P2274" t="n">
        <v>0</v>
      </c>
      <c r="Q2274" t="n">
        <v>0</v>
      </c>
      <c r="R2274" t="n">
        <v>0</v>
      </c>
      <c r="S2274" t="n">
        <v>0</v>
      </c>
      <c r="T2274" t="n">
        <v>0</v>
      </c>
      <c r="U2274" t="n">
        <v>0</v>
      </c>
      <c r="V2274" s="2" t="inlineStr"/>
    </row>
    <row r="2275" ht="15" customHeight="1">
      <c r="A2275" t="inlineStr">
        <is>
          <t>A 27550-2026</t>
        </is>
      </c>
      <c r="B2275" t="inlineStr">
        <is>
          <t>avverkningsanmälan</t>
        </is>
      </c>
      <c r="C2275" t="inlineStr">
        <is>
          <t>Föryngringsavverkning</t>
        </is>
      </c>
      <c r="D2275" s="1" t="n">
        <v>46190</v>
      </c>
      <c r="E2275" s="1" t="n">
        <v>46313</v>
      </c>
      <c r="F2275" t="inlineStr">
        <is>
          <t>SÖDERMANLANDS LÄN</t>
        </is>
      </c>
      <c r="G2275" t="inlineStr">
        <is>
          <t>ESKILSTUNA</t>
        </is>
      </c>
      <c r="I2275" t="n">
        <v>1.7</v>
      </c>
      <c r="J2275" t="n">
        <v>0</v>
      </c>
      <c r="K2275" t="n">
        <v>0</v>
      </c>
      <c r="L2275" t="n">
        <v>0</v>
      </c>
      <c r="M2275" t="n">
        <v>0</v>
      </c>
      <c r="N2275" t="n">
        <v>0</v>
      </c>
      <c r="O2275" t="n">
        <v>0</v>
      </c>
      <c r="P2275" t="n">
        <v>0</v>
      </c>
      <c r="Q2275" t="n">
        <v>0</v>
      </c>
      <c r="R2275" t="n">
        <v>0</v>
      </c>
      <c r="S2275" t="n">
        <v>0</v>
      </c>
      <c r="T2275" t="n">
        <v>0</v>
      </c>
      <c r="U2275" t="n">
        <v>0</v>
      </c>
      <c r="V2275" s="2" t="inlineStr"/>
    </row>
    <row r="2276" ht="15" customHeight="1">
      <c r="A2276" t="inlineStr">
        <is>
          <t>A 36648-2022</t>
        </is>
      </c>
      <c r="B2276" t="inlineStr">
        <is>
          <t>avverkningsanmälan</t>
        </is>
      </c>
      <c r="C2276" t="inlineStr">
        <is>
          <t>Föryngringsavverkning</t>
        </is>
      </c>
      <c r="D2276" s="1" t="n">
        <v>44804</v>
      </c>
      <c r="E2276" s="1" t="n">
        <v>46313</v>
      </c>
      <c r="F2276" t="inlineStr">
        <is>
          <t>SÖDERMANLANDS LÄN</t>
        </is>
      </c>
      <c r="G2276" t="inlineStr">
        <is>
          <t>ESKILSTUNA</t>
        </is>
      </c>
      <c r="I2276" t="n">
        <v>3.3</v>
      </c>
      <c r="J2276" t="n">
        <v>0</v>
      </c>
      <c r="K2276" t="n">
        <v>0</v>
      </c>
      <c r="L2276" t="n">
        <v>0</v>
      </c>
      <c r="M2276" t="n">
        <v>0</v>
      </c>
      <c r="N2276" t="n">
        <v>0</v>
      </c>
      <c r="O2276" t="n">
        <v>0</v>
      </c>
      <c r="P2276" t="n">
        <v>0</v>
      </c>
      <c r="Q2276" t="n">
        <v>0</v>
      </c>
      <c r="R2276" t="n">
        <v>0</v>
      </c>
      <c r="S2276" t="n">
        <v>0</v>
      </c>
      <c r="T2276" t="n">
        <v>0</v>
      </c>
      <c r="U2276" t="n">
        <v>0</v>
      </c>
      <c r="V2276" s="2" t="inlineStr"/>
    </row>
    <row r="2277" ht="15" customHeight="1">
      <c r="A2277" t="inlineStr">
        <is>
          <t>A 8765-2023</t>
        </is>
      </c>
      <c r="B2277" t="inlineStr">
        <is>
          <t>avverkningsanmälan</t>
        </is>
      </c>
      <c r="C2277" t="inlineStr">
        <is>
          <t>Föryngringsavverkning</t>
        </is>
      </c>
      <c r="D2277" s="1" t="n">
        <v>44978</v>
      </c>
      <c r="E2277" s="1" t="n">
        <v>46313</v>
      </c>
      <c r="F2277" t="inlineStr">
        <is>
          <t>SÖDERMANLANDS LÄN</t>
        </is>
      </c>
      <c r="G2277" t="inlineStr">
        <is>
          <t>KATRINEHOLM</t>
        </is>
      </c>
      <c r="I2277" t="n">
        <v>1.2</v>
      </c>
      <c r="J2277" t="n">
        <v>0</v>
      </c>
      <c r="K2277" t="n">
        <v>0</v>
      </c>
      <c r="L2277" t="n">
        <v>0</v>
      </c>
      <c r="M2277" t="n">
        <v>0</v>
      </c>
      <c r="N2277" t="n">
        <v>0</v>
      </c>
      <c r="O2277" t="n">
        <v>0</v>
      </c>
      <c r="P2277" t="n">
        <v>0</v>
      </c>
      <c r="Q2277" t="n">
        <v>0</v>
      </c>
      <c r="R2277" t="n">
        <v>0</v>
      </c>
      <c r="S2277" t="n">
        <v>0</v>
      </c>
      <c r="T2277" t="n">
        <v>0</v>
      </c>
      <c r="U2277" t="n">
        <v>0</v>
      </c>
      <c r="V2277" s="2" t="inlineStr"/>
    </row>
    <row r="2278" ht="15" customHeight="1">
      <c r="A2278" t="inlineStr">
        <is>
          <t>A 11677-2026</t>
        </is>
      </c>
      <c r="B2278" t="inlineStr">
        <is>
          <t>avverkningsanmälan</t>
        </is>
      </c>
      <c r="C2278" t="inlineStr">
        <is>
          <t>Föryngringsavverkning</t>
        </is>
      </c>
      <c r="D2278" s="1" t="n">
        <v>46084</v>
      </c>
      <c r="E2278" s="1" t="n">
        <v>46313</v>
      </c>
      <c r="F2278" t="inlineStr">
        <is>
          <t>SÖDERMANLANDS LÄN</t>
        </is>
      </c>
      <c r="G2278" t="inlineStr">
        <is>
          <t>KATRINEHOLM</t>
        </is>
      </c>
      <c r="H2278" t="inlineStr">
        <is>
          <t>Holmen skog AB</t>
        </is>
      </c>
      <c r="I2278" t="n">
        <v>0.7</v>
      </c>
      <c r="J2278" t="n">
        <v>0</v>
      </c>
      <c r="K2278" t="n">
        <v>0</v>
      </c>
      <c r="L2278" t="n">
        <v>0</v>
      </c>
      <c r="M2278" t="n">
        <v>0</v>
      </c>
      <c r="N2278" t="n">
        <v>0</v>
      </c>
      <c r="O2278" t="n">
        <v>0</v>
      </c>
      <c r="P2278" t="n">
        <v>0</v>
      </c>
      <c r="Q2278" t="n">
        <v>0</v>
      </c>
      <c r="R2278" t="n">
        <v>0</v>
      </c>
      <c r="S2278" t="n">
        <v>0</v>
      </c>
      <c r="T2278" t="n">
        <v>0</v>
      </c>
      <c r="U2278" t="n">
        <v>0</v>
      </c>
      <c r="V2278" s="2" t="inlineStr"/>
    </row>
    <row r="2279" ht="15" customHeight="1">
      <c r="A2279" t="inlineStr">
        <is>
          <t>A 28992-2024</t>
        </is>
      </c>
      <c r="B2279" t="inlineStr">
        <is>
          <t>avverkningsanmälan</t>
        </is>
      </c>
      <c r="C2279" t="inlineStr">
        <is>
          <t>Föryngringsavverkning</t>
        </is>
      </c>
      <c r="D2279" s="1" t="n">
        <v>45481</v>
      </c>
      <c r="E2279" s="1" t="n">
        <v>46313</v>
      </c>
      <c r="F2279" t="inlineStr">
        <is>
          <t>SÖDERMANLANDS LÄN</t>
        </is>
      </c>
      <c r="G2279" t="inlineStr">
        <is>
          <t>KATRINEHOLM</t>
        </is>
      </c>
      <c r="I2279" t="n">
        <v>2.3</v>
      </c>
      <c r="J2279" t="n">
        <v>0</v>
      </c>
      <c r="K2279" t="n">
        <v>0</v>
      </c>
      <c r="L2279" t="n">
        <v>0</v>
      </c>
      <c r="M2279" t="n">
        <v>0</v>
      </c>
      <c r="N2279" t="n">
        <v>0</v>
      </c>
      <c r="O2279" t="n">
        <v>0</v>
      </c>
      <c r="P2279" t="n">
        <v>0</v>
      </c>
      <c r="Q2279" t="n">
        <v>0</v>
      </c>
      <c r="R2279" t="n">
        <v>0</v>
      </c>
      <c r="S2279" t="n">
        <v>0</v>
      </c>
      <c r="T2279" t="n">
        <v>0</v>
      </c>
      <c r="U2279" t="n">
        <v>0</v>
      </c>
      <c r="V2279" s="2" t="inlineStr"/>
    </row>
    <row r="2280" ht="15" customHeight="1">
      <c r="A2280" t="inlineStr">
        <is>
          <t>A 11666-2026</t>
        </is>
      </c>
      <c r="B2280" t="inlineStr">
        <is>
          <t>avverkningsanmälan</t>
        </is>
      </c>
      <c r="C2280" t="inlineStr">
        <is>
          <t>Föryngringsavverkning</t>
        </is>
      </c>
      <c r="D2280" s="1" t="n">
        <v>46084</v>
      </c>
      <c r="E2280" s="1" t="n">
        <v>46313</v>
      </c>
      <c r="F2280" t="inlineStr">
        <is>
          <t>SÖDERMANLANDS LÄN</t>
        </is>
      </c>
      <c r="G2280" t="inlineStr">
        <is>
          <t>KATRINEHOLM</t>
        </is>
      </c>
      <c r="H2280" t="inlineStr">
        <is>
          <t>Holmen skog AB</t>
        </is>
      </c>
      <c r="I2280" t="n">
        <v>0.5</v>
      </c>
      <c r="J2280" t="n">
        <v>0</v>
      </c>
      <c r="K2280" t="n">
        <v>0</v>
      </c>
      <c r="L2280" t="n">
        <v>0</v>
      </c>
      <c r="M2280" t="n">
        <v>0</v>
      </c>
      <c r="N2280" t="n">
        <v>0</v>
      </c>
      <c r="O2280" t="n">
        <v>0</v>
      </c>
      <c r="P2280" t="n">
        <v>0</v>
      </c>
      <c r="Q2280" t="n">
        <v>0</v>
      </c>
      <c r="R2280" t="n">
        <v>0</v>
      </c>
      <c r="S2280" t="n">
        <v>0</v>
      </c>
      <c r="T2280" t="n">
        <v>0</v>
      </c>
      <c r="U2280" t="n">
        <v>0</v>
      </c>
      <c r="V2280" s="2" t="inlineStr"/>
    </row>
    <row r="2281" ht="15" customHeight="1">
      <c r="A2281" t="inlineStr">
        <is>
          <t>A 27779-2026</t>
        </is>
      </c>
      <c r="B2281" t="inlineStr">
        <is>
          <t>avverkningsanmälan</t>
        </is>
      </c>
      <c r="C2281" t="inlineStr">
        <is>
          <t>Avverkning för annat ändamål</t>
        </is>
      </c>
      <c r="D2281" s="1" t="n">
        <v>46191</v>
      </c>
      <c r="E2281" s="1" t="n">
        <v>46313</v>
      </c>
      <c r="F2281" t="inlineStr">
        <is>
          <t>SÖDERMANLANDS LÄN</t>
        </is>
      </c>
      <c r="G2281" t="inlineStr">
        <is>
          <t>ESKILSTUNA</t>
        </is>
      </c>
      <c r="I2281" t="n">
        <v>2.8</v>
      </c>
      <c r="J2281" t="n">
        <v>0</v>
      </c>
      <c r="K2281" t="n">
        <v>0</v>
      </c>
      <c r="L2281" t="n">
        <v>0</v>
      </c>
      <c r="M2281" t="n">
        <v>0</v>
      </c>
      <c r="N2281" t="n">
        <v>0</v>
      </c>
      <c r="O2281" t="n">
        <v>0</v>
      </c>
      <c r="P2281" t="n">
        <v>0</v>
      </c>
      <c r="Q2281" t="n">
        <v>0</v>
      </c>
      <c r="R2281" t="n">
        <v>0</v>
      </c>
      <c r="S2281" t="n">
        <v>0</v>
      </c>
      <c r="T2281" t="n">
        <v>0</v>
      </c>
      <c r="U2281" t="n">
        <v>0</v>
      </c>
      <c r="V2281" s="2" t="inlineStr"/>
    </row>
    <row r="2282" ht="15" customHeight="1">
      <c r="A2282" t="inlineStr">
        <is>
          <t>A 11621-2026</t>
        </is>
      </c>
      <c r="B2282" t="inlineStr">
        <is>
          <t>avverkningsanmälan</t>
        </is>
      </c>
      <c r="C2282" t="inlineStr">
        <is>
          <t>Föryngringsavverkning</t>
        </is>
      </c>
      <c r="D2282" s="1" t="n">
        <v>46084</v>
      </c>
      <c r="E2282" s="1" t="n">
        <v>46313</v>
      </c>
      <c r="F2282" t="inlineStr">
        <is>
          <t>SÖDERMANLANDS LÄN</t>
        </is>
      </c>
      <c r="G2282" t="inlineStr">
        <is>
          <t>KATRINEHOLM</t>
        </is>
      </c>
      <c r="H2282" t="inlineStr">
        <is>
          <t>Holmen skog AB</t>
        </is>
      </c>
      <c r="I2282" t="n">
        <v>0.5</v>
      </c>
      <c r="J2282" t="n">
        <v>0</v>
      </c>
      <c r="K2282" t="n">
        <v>0</v>
      </c>
      <c r="L2282" t="n">
        <v>0</v>
      </c>
      <c r="M2282" t="n">
        <v>0</v>
      </c>
      <c r="N2282" t="n">
        <v>0</v>
      </c>
      <c r="O2282" t="n">
        <v>0</v>
      </c>
      <c r="P2282" t="n">
        <v>0</v>
      </c>
      <c r="Q2282" t="n">
        <v>0</v>
      </c>
      <c r="R2282" t="n">
        <v>0</v>
      </c>
      <c r="S2282" t="n">
        <v>0</v>
      </c>
      <c r="T2282" t="n">
        <v>0</v>
      </c>
      <c r="U2282" t="n">
        <v>0</v>
      </c>
      <c r="V2282" s="2" t="inlineStr"/>
    </row>
    <row r="2283" ht="15" customHeight="1">
      <c r="A2283" t="inlineStr">
        <is>
          <t>A 11987-2026</t>
        </is>
      </c>
      <c r="B2283" t="inlineStr">
        <is>
          <t>avverkningsanmälan</t>
        </is>
      </c>
      <c r="C2283" t="inlineStr">
        <is>
          <t>Föryngringsavverkning</t>
        </is>
      </c>
      <c r="D2283" s="1" t="n">
        <v>46085</v>
      </c>
      <c r="E2283" s="1" t="n">
        <v>46313</v>
      </c>
      <c r="F2283" t="inlineStr">
        <is>
          <t>SÖDERMANLANDS LÄN</t>
        </is>
      </c>
      <c r="G2283" t="inlineStr">
        <is>
          <t>ESKILSTUNA</t>
        </is>
      </c>
      <c r="I2283" t="n">
        <v>0.8</v>
      </c>
      <c r="J2283" t="n">
        <v>0</v>
      </c>
      <c r="K2283" t="n">
        <v>0</v>
      </c>
      <c r="L2283" t="n">
        <v>0</v>
      </c>
      <c r="M2283" t="n">
        <v>0</v>
      </c>
      <c r="N2283" t="n">
        <v>0</v>
      </c>
      <c r="O2283" t="n">
        <v>0</v>
      </c>
      <c r="P2283" t="n">
        <v>0</v>
      </c>
      <c r="Q2283" t="n">
        <v>0</v>
      </c>
      <c r="R2283" t="n">
        <v>0</v>
      </c>
      <c r="S2283" t="n">
        <v>0</v>
      </c>
      <c r="T2283" t="n">
        <v>0</v>
      </c>
      <c r="U2283" t="n">
        <v>0</v>
      </c>
      <c r="V2283" s="2" t="inlineStr"/>
    </row>
    <row r="2284" ht="15" customHeight="1">
      <c r="A2284" t="inlineStr">
        <is>
          <t>A 11753-2023</t>
        </is>
      </c>
      <c r="B2284" t="inlineStr">
        <is>
          <t>avverkningsanmälan</t>
        </is>
      </c>
      <c r="C2284" t="inlineStr">
        <is>
          <t>Föryngringsavverkning</t>
        </is>
      </c>
      <c r="D2284" s="1" t="n">
        <v>44992</v>
      </c>
      <c r="E2284" s="1" t="n">
        <v>46313</v>
      </c>
      <c r="F2284" t="inlineStr">
        <is>
          <t>SÖDERMANLANDS LÄN</t>
        </is>
      </c>
      <c r="G2284" t="inlineStr">
        <is>
          <t>NYKÖPING</t>
        </is>
      </c>
      <c r="I2284" t="n">
        <v>1.7</v>
      </c>
      <c r="J2284" t="n">
        <v>0</v>
      </c>
      <c r="K2284" t="n">
        <v>0</v>
      </c>
      <c r="L2284" t="n">
        <v>0</v>
      </c>
      <c r="M2284" t="n">
        <v>0</v>
      </c>
      <c r="N2284" t="n">
        <v>0</v>
      </c>
      <c r="O2284" t="n">
        <v>0</v>
      </c>
      <c r="P2284" t="n">
        <v>0</v>
      </c>
      <c r="Q2284" t="n">
        <v>0</v>
      </c>
      <c r="R2284" t="n">
        <v>0</v>
      </c>
      <c r="S2284" t="n">
        <v>0</v>
      </c>
      <c r="T2284" t="n">
        <v>0</v>
      </c>
      <c r="U2284" t="n">
        <v>0</v>
      </c>
      <c r="V2284" s="2" t="inlineStr"/>
    </row>
    <row r="2285" ht="15" customHeight="1">
      <c r="A2285" t="inlineStr">
        <is>
          <t>A 25433-2024</t>
        </is>
      </c>
      <c r="B2285" t="inlineStr">
        <is>
          <t>avverkningsanmälan</t>
        </is>
      </c>
      <c r="C2285" t="inlineStr">
        <is>
          <t>Avverkning för annat ändamål</t>
        </is>
      </c>
      <c r="D2285" s="1" t="n">
        <v>45463</v>
      </c>
      <c r="E2285" s="1" t="n">
        <v>46313</v>
      </c>
      <c r="F2285" t="inlineStr">
        <is>
          <t>SÖDERMANLANDS LÄN</t>
        </is>
      </c>
      <c r="G2285" t="inlineStr">
        <is>
          <t>KATRINEHOLM</t>
        </is>
      </c>
      <c r="I2285" t="n">
        <v>1.1</v>
      </c>
      <c r="J2285" t="n">
        <v>0</v>
      </c>
      <c r="K2285" t="n">
        <v>0</v>
      </c>
      <c r="L2285" t="n">
        <v>0</v>
      </c>
      <c r="M2285" t="n">
        <v>0</v>
      </c>
      <c r="N2285" t="n">
        <v>0</v>
      </c>
      <c r="O2285" t="n">
        <v>0</v>
      </c>
      <c r="P2285" t="n">
        <v>0</v>
      </c>
      <c r="Q2285" t="n">
        <v>0</v>
      </c>
      <c r="R2285" t="n">
        <v>0</v>
      </c>
      <c r="S2285" t="n">
        <v>0</v>
      </c>
      <c r="T2285" t="n">
        <v>0</v>
      </c>
      <c r="U2285" t="n">
        <v>0</v>
      </c>
      <c r="V2285" s="2" t="inlineStr"/>
    </row>
    <row r="2286" ht="15" customHeight="1">
      <c r="A2286" t="inlineStr">
        <is>
          <t>A 61988-2022</t>
        </is>
      </c>
      <c r="B2286" t="inlineStr">
        <is>
          <t>avverkningsanmälan</t>
        </is>
      </c>
      <c r="C2286" t="inlineStr">
        <is>
          <t>Föryngringsavverkning</t>
        </is>
      </c>
      <c r="D2286" s="1" t="n">
        <v>44918</v>
      </c>
      <c r="E2286" s="1" t="n">
        <v>46313</v>
      </c>
      <c r="F2286" t="inlineStr">
        <is>
          <t>SÖDERMANLANDS LÄN</t>
        </is>
      </c>
      <c r="G2286" t="inlineStr">
        <is>
          <t>ESKILSTUNA</t>
        </is>
      </c>
      <c r="I2286" t="n">
        <v>7.1</v>
      </c>
      <c r="J2286" t="n">
        <v>0</v>
      </c>
      <c r="K2286" t="n">
        <v>0</v>
      </c>
      <c r="L2286" t="n">
        <v>0</v>
      </c>
      <c r="M2286" t="n">
        <v>0</v>
      </c>
      <c r="N2286" t="n">
        <v>0</v>
      </c>
      <c r="O2286" t="n">
        <v>0</v>
      </c>
      <c r="P2286" t="n">
        <v>0</v>
      </c>
      <c r="Q2286" t="n">
        <v>0</v>
      </c>
      <c r="R2286" t="n">
        <v>0</v>
      </c>
      <c r="S2286" t="n">
        <v>0</v>
      </c>
      <c r="T2286" t="n">
        <v>0</v>
      </c>
      <c r="U2286" t="n">
        <v>0</v>
      </c>
      <c r="V2286" s="2" t="inlineStr"/>
    </row>
    <row r="2287" ht="15" customHeight="1">
      <c r="A2287" t="inlineStr">
        <is>
          <t>A 29646-2023</t>
        </is>
      </c>
      <c r="B2287" t="inlineStr">
        <is>
          <t>avverkningsanmälan</t>
        </is>
      </c>
      <c r="C2287" t="inlineStr">
        <is>
          <t>Föryngringsavverkning</t>
        </is>
      </c>
      <c r="D2287" s="1" t="n">
        <v>45107</v>
      </c>
      <c r="E2287" s="1" t="n">
        <v>46313</v>
      </c>
      <c r="F2287" t="inlineStr">
        <is>
          <t>SÖDERMANLANDS LÄN</t>
        </is>
      </c>
      <c r="G2287" t="inlineStr">
        <is>
          <t>ESKILSTUNA</t>
        </is>
      </c>
      <c r="H2287" t="inlineStr">
        <is>
          <t>Allmännings- och besparingsskogar</t>
        </is>
      </c>
      <c r="I2287" t="n">
        <v>1</v>
      </c>
      <c r="J2287" t="n">
        <v>0</v>
      </c>
      <c r="K2287" t="n">
        <v>0</v>
      </c>
      <c r="L2287" t="n">
        <v>0</v>
      </c>
      <c r="M2287" t="n">
        <v>0</v>
      </c>
      <c r="N2287" t="n">
        <v>0</v>
      </c>
      <c r="O2287" t="n">
        <v>0</v>
      </c>
      <c r="P2287" t="n">
        <v>0</v>
      </c>
      <c r="Q2287" t="n">
        <v>0</v>
      </c>
      <c r="R2287" t="n">
        <v>0</v>
      </c>
      <c r="S2287" t="n">
        <v>0</v>
      </c>
      <c r="T2287" t="n">
        <v>0</v>
      </c>
      <c r="U2287" t="n">
        <v>0</v>
      </c>
      <c r="V2287" s="2" t="inlineStr"/>
    </row>
    <row r="2288" ht="15" customHeight="1">
      <c r="A2288" t="inlineStr">
        <is>
          <t>A 58493-2025</t>
        </is>
      </c>
      <c r="B2288" t="inlineStr">
        <is>
          <t>avverkningsanmälan</t>
        </is>
      </c>
      <c r="C2288" t="inlineStr">
        <is>
          <t>Föryngringsavverkning</t>
        </is>
      </c>
      <c r="D2288" s="1" t="n">
        <v>45985</v>
      </c>
      <c r="E2288" s="1" t="n">
        <v>46313</v>
      </c>
      <c r="F2288" t="inlineStr">
        <is>
          <t>SÖDERMANLANDS LÄN</t>
        </is>
      </c>
      <c r="G2288" t="inlineStr">
        <is>
          <t>NYKÖPING</t>
        </is>
      </c>
      <c r="I2288" t="n">
        <v>1</v>
      </c>
      <c r="J2288" t="n">
        <v>0</v>
      </c>
      <c r="K2288" t="n">
        <v>0</v>
      </c>
      <c r="L2288" t="n">
        <v>0</v>
      </c>
      <c r="M2288" t="n">
        <v>0</v>
      </c>
      <c r="N2288" t="n">
        <v>0</v>
      </c>
      <c r="O2288" t="n">
        <v>0</v>
      </c>
      <c r="P2288" t="n">
        <v>0</v>
      </c>
      <c r="Q2288" t="n">
        <v>0</v>
      </c>
      <c r="R2288" t="n">
        <v>0</v>
      </c>
      <c r="S2288" t="n">
        <v>0</v>
      </c>
      <c r="T2288" t="n">
        <v>0</v>
      </c>
      <c r="U2288" t="n">
        <v>0</v>
      </c>
      <c r="V2288" s="2" t="inlineStr"/>
    </row>
    <row r="2289" ht="15" customHeight="1">
      <c r="A2289" t="inlineStr">
        <is>
          <t>A 2497-2022</t>
        </is>
      </c>
      <c r="B2289" t="inlineStr">
        <is>
          <t>avverkningsanmälan</t>
        </is>
      </c>
      <c r="C2289" t="inlineStr">
        <is>
          <t>Föryngringsavverkning</t>
        </is>
      </c>
      <c r="D2289" s="1" t="n">
        <v>44579</v>
      </c>
      <c r="E2289" s="1" t="n">
        <v>46313</v>
      </c>
      <c r="F2289" t="inlineStr">
        <is>
          <t>SÖDERMANLANDS LÄN</t>
        </is>
      </c>
      <c r="G2289" t="inlineStr">
        <is>
          <t>STRÄNGNÄS</t>
        </is>
      </c>
      <c r="H2289" t="inlineStr">
        <is>
          <t>Allmännings- och besparingsskogar</t>
        </is>
      </c>
      <c r="I2289" t="n">
        <v>2.3</v>
      </c>
      <c r="J2289" t="n">
        <v>0</v>
      </c>
      <c r="K2289" t="n">
        <v>0</v>
      </c>
      <c r="L2289" t="n">
        <v>0</v>
      </c>
      <c r="M2289" t="n">
        <v>0</v>
      </c>
      <c r="N2289" t="n">
        <v>0</v>
      </c>
      <c r="O2289" t="n">
        <v>0</v>
      </c>
      <c r="P2289" t="n">
        <v>0</v>
      </c>
      <c r="Q2289" t="n">
        <v>0</v>
      </c>
      <c r="R2289" t="n">
        <v>0</v>
      </c>
      <c r="S2289" t="n">
        <v>0</v>
      </c>
      <c r="T2289" t="n">
        <v>0</v>
      </c>
      <c r="U2289" t="n">
        <v>0</v>
      </c>
      <c r="V2289" s="2" t="inlineStr"/>
    </row>
    <row r="2290" ht="15" customHeight="1">
      <c r="A2290" t="inlineStr">
        <is>
          <t>A 12574-2026</t>
        </is>
      </c>
      <c r="B2290" t="inlineStr">
        <is>
          <t>avverkningsanmälan</t>
        </is>
      </c>
      <c r="C2290" t="inlineStr">
        <is>
          <t>Föryngringsavverkning</t>
        </is>
      </c>
      <c r="D2290" s="1" t="n">
        <v>46090</v>
      </c>
      <c r="E2290" s="1" t="n">
        <v>46313</v>
      </c>
      <c r="F2290" t="inlineStr">
        <is>
          <t>SÖDERMANLANDS LÄN</t>
        </is>
      </c>
      <c r="G2290" t="inlineStr">
        <is>
          <t>TROSA</t>
        </is>
      </c>
      <c r="I2290" t="n">
        <v>5.1</v>
      </c>
      <c r="J2290" t="n">
        <v>0</v>
      </c>
      <c r="K2290" t="n">
        <v>0</v>
      </c>
      <c r="L2290" t="n">
        <v>0</v>
      </c>
      <c r="M2290" t="n">
        <v>0</v>
      </c>
      <c r="N2290" t="n">
        <v>0</v>
      </c>
      <c r="O2290" t="n">
        <v>0</v>
      </c>
      <c r="P2290" t="n">
        <v>0</v>
      </c>
      <c r="Q2290" t="n">
        <v>0</v>
      </c>
      <c r="R2290" t="n">
        <v>0</v>
      </c>
      <c r="S2290" t="n">
        <v>0</v>
      </c>
      <c r="T2290" t="n">
        <v>0</v>
      </c>
      <c r="U2290" t="n">
        <v>0</v>
      </c>
      <c r="V2290" s="2" t="inlineStr"/>
    </row>
    <row r="2291" ht="15" customHeight="1">
      <c r="A2291" t="inlineStr">
        <is>
          <t>A 12343-2026</t>
        </is>
      </c>
      <c r="B2291" t="inlineStr">
        <is>
          <t>avverkningsanmälan</t>
        </is>
      </c>
      <c r="C2291" t="inlineStr">
        <is>
          <t>Föryngringsavverkning</t>
        </is>
      </c>
      <c r="D2291" s="1" t="n">
        <v>46087</v>
      </c>
      <c r="E2291" s="1" t="n">
        <v>46313</v>
      </c>
      <c r="F2291" t="inlineStr">
        <is>
          <t>SÖDERMANLANDS LÄN</t>
        </is>
      </c>
      <c r="G2291" t="inlineStr">
        <is>
          <t>STRÄNGNÄS</t>
        </is>
      </c>
      <c r="I2291" t="n">
        <v>3.6</v>
      </c>
      <c r="J2291" t="n">
        <v>0</v>
      </c>
      <c r="K2291" t="n">
        <v>0</v>
      </c>
      <c r="L2291" t="n">
        <v>0</v>
      </c>
      <c r="M2291" t="n">
        <v>0</v>
      </c>
      <c r="N2291" t="n">
        <v>0</v>
      </c>
      <c r="O2291" t="n">
        <v>0</v>
      </c>
      <c r="P2291" t="n">
        <v>0</v>
      </c>
      <c r="Q2291" t="n">
        <v>0</v>
      </c>
      <c r="R2291" t="n">
        <v>0</v>
      </c>
      <c r="S2291" t="n">
        <v>0</v>
      </c>
      <c r="T2291" t="n">
        <v>0</v>
      </c>
      <c r="U2291" t="n">
        <v>0</v>
      </c>
      <c r="V2291" s="2" t="inlineStr"/>
    </row>
    <row r="2292" ht="15" customHeight="1">
      <c r="A2292" t="inlineStr">
        <is>
          <t>A 63-2024</t>
        </is>
      </c>
      <c r="B2292" t="inlineStr">
        <is>
          <t>avverkningsanmälan</t>
        </is>
      </c>
      <c r="C2292" t="inlineStr">
        <is>
          <t>Föryngringsavverkning</t>
        </is>
      </c>
      <c r="D2292" s="1" t="n">
        <v>45293</v>
      </c>
      <c r="E2292" s="1" t="n">
        <v>46313</v>
      </c>
      <c r="F2292" t="inlineStr">
        <is>
          <t>SÖDERMANLANDS LÄN</t>
        </is>
      </c>
      <c r="G2292" t="inlineStr">
        <is>
          <t>GNESTA</t>
        </is>
      </c>
      <c r="I2292" t="n">
        <v>1.1</v>
      </c>
      <c r="J2292" t="n">
        <v>0</v>
      </c>
      <c r="K2292" t="n">
        <v>0</v>
      </c>
      <c r="L2292" t="n">
        <v>0</v>
      </c>
      <c r="M2292" t="n">
        <v>0</v>
      </c>
      <c r="N2292" t="n">
        <v>0</v>
      </c>
      <c r="O2292" t="n">
        <v>0</v>
      </c>
      <c r="P2292" t="n">
        <v>0</v>
      </c>
      <c r="Q2292" t="n">
        <v>0</v>
      </c>
      <c r="R2292" t="n">
        <v>0</v>
      </c>
      <c r="S2292" t="n">
        <v>0</v>
      </c>
      <c r="T2292" t="n">
        <v>0</v>
      </c>
      <c r="U2292" t="n">
        <v>0</v>
      </c>
      <c r="V2292" s="2" t="inlineStr"/>
    </row>
    <row r="2293" ht="15" customHeight="1">
      <c r="A2293" t="inlineStr">
        <is>
          <t>A 24106-2022</t>
        </is>
      </c>
      <c r="B2293" t="inlineStr">
        <is>
          <t>avverkningsanmälan</t>
        </is>
      </c>
      <c r="C2293" t="inlineStr">
        <is>
          <t>Föryngringsavverkning</t>
        </is>
      </c>
      <c r="D2293" s="1" t="n">
        <v>44725</v>
      </c>
      <c r="E2293" s="1" t="n">
        <v>46313</v>
      </c>
      <c r="F2293" t="inlineStr">
        <is>
          <t>SÖDERMANLANDS LÄN</t>
        </is>
      </c>
      <c r="G2293" t="inlineStr">
        <is>
          <t>VINGÅKER</t>
        </is>
      </c>
      <c r="I2293" t="n">
        <v>2.2</v>
      </c>
      <c r="J2293" t="n">
        <v>0</v>
      </c>
      <c r="K2293" t="n">
        <v>0</v>
      </c>
      <c r="L2293" t="n">
        <v>0</v>
      </c>
      <c r="M2293" t="n">
        <v>0</v>
      </c>
      <c r="N2293" t="n">
        <v>0</v>
      </c>
      <c r="O2293" t="n">
        <v>0</v>
      </c>
      <c r="P2293" t="n">
        <v>0</v>
      </c>
      <c r="Q2293" t="n">
        <v>0</v>
      </c>
      <c r="R2293" t="n">
        <v>0</v>
      </c>
      <c r="S2293" t="n">
        <v>0</v>
      </c>
      <c r="T2293" t="n">
        <v>0</v>
      </c>
      <c r="U2293" t="n">
        <v>0</v>
      </c>
      <c r="V2293" s="2" t="inlineStr"/>
    </row>
    <row r="2294" ht="15" customHeight="1">
      <c r="A2294" t="inlineStr">
        <is>
          <t>A 25229-2022</t>
        </is>
      </c>
      <c r="B2294" t="inlineStr">
        <is>
          <t>avverkningsanmälan</t>
        </is>
      </c>
      <c r="C2294" t="inlineStr">
        <is>
          <t>Föryngringsavverkning</t>
        </is>
      </c>
      <c r="D2294" s="1" t="n">
        <v>44729</v>
      </c>
      <c r="E2294" s="1" t="n">
        <v>46313</v>
      </c>
      <c r="F2294" t="inlineStr">
        <is>
          <t>SÖDERMANLANDS LÄN</t>
        </is>
      </c>
      <c r="G2294" t="inlineStr">
        <is>
          <t>ESKILSTUNA</t>
        </is>
      </c>
      <c r="H2294" t="inlineStr">
        <is>
          <t>Allmännings- och besparingsskogar</t>
        </is>
      </c>
      <c r="I2294" t="n">
        <v>1.4</v>
      </c>
      <c r="J2294" t="n">
        <v>0</v>
      </c>
      <c r="K2294" t="n">
        <v>0</v>
      </c>
      <c r="L2294" t="n">
        <v>0</v>
      </c>
      <c r="M2294" t="n">
        <v>0</v>
      </c>
      <c r="N2294" t="n">
        <v>0</v>
      </c>
      <c r="O2294" t="n">
        <v>0</v>
      </c>
      <c r="P2294" t="n">
        <v>0</v>
      </c>
      <c r="Q2294" t="n">
        <v>0</v>
      </c>
      <c r="R2294" t="n">
        <v>0</v>
      </c>
      <c r="S2294" t="n">
        <v>0</v>
      </c>
      <c r="T2294" t="n">
        <v>0</v>
      </c>
      <c r="U2294" t="n">
        <v>0</v>
      </c>
      <c r="V2294" s="2" t="inlineStr"/>
    </row>
    <row r="2295" ht="15" customHeight="1">
      <c r="A2295" t="inlineStr">
        <is>
          <t>A 6124-2022</t>
        </is>
      </c>
      <c r="B2295" t="inlineStr">
        <is>
          <t>avverkningsanmälan</t>
        </is>
      </c>
      <c r="C2295" t="inlineStr">
        <is>
          <t>Föryngringsavverkning</t>
        </is>
      </c>
      <c r="D2295" s="1" t="n">
        <v>44599</v>
      </c>
      <c r="E2295" s="1" t="n">
        <v>46313</v>
      </c>
      <c r="F2295" t="inlineStr">
        <is>
          <t>SÖDERMANLANDS LÄN</t>
        </is>
      </c>
      <c r="G2295" t="inlineStr">
        <is>
          <t>TROSA</t>
        </is>
      </c>
      <c r="H2295" t="inlineStr">
        <is>
          <t>Holmen skog AB</t>
        </is>
      </c>
      <c r="I2295" t="n">
        <v>0.7</v>
      </c>
      <c r="J2295" t="n">
        <v>0</v>
      </c>
      <c r="K2295" t="n">
        <v>0</v>
      </c>
      <c r="L2295" t="n">
        <v>0</v>
      </c>
      <c r="M2295" t="n">
        <v>0</v>
      </c>
      <c r="N2295" t="n">
        <v>0</v>
      </c>
      <c r="O2295" t="n">
        <v>0</v>
      </c>
      <c r="P2295" t="n">
        <v>0</v>
      </c>
      <c r="Q2295" t="n">
        <v>0</v>
      </c>
      <c r="R2295" t="n">
        <v>0</v>
      </c>
      <c r="S2295" t="n">
        <v>0</v>
      </c>
      <c r="T2295" t="n">
        <v>0</v>
      </c>
      <c r="U2295" t="n">
        <v>0</v>
      </c>
      <c r="V2295" s="2" t="inlineStr"/>
    </row>
    <row r="2296" ht="15" customHeight="1">
      <c r="A2296" t="inlineStr">
        <is>
          <t>A 62473-2022</t>
        </is>
      </c>
      <c r="B2296" t="inlineStr">
        <is>
          <t>avverkningsanmälan</t>
        </is>
      </c>
      <c r="C2296" t="inlineStr">
        <is>
          <t>Föryngringsavverkning</t>
        </is>
      </c>
      <c r="D2296" s="1" t="n">
        <v>44916</v>
      </c>
      <c r="E2296" s="1" t="n">
        <v>46313</v>
      </c>
      <c r="F2296" t="inlineStr">
        <is>
          <t>SÖDERMANLANDS LÄN</t>
        </is>
      </c>
      <c r="G2296" t="inlineStr">
        <is>
          <t>TROSA</t>
        </is>
      </c>
      <c r="H2296" t="inlineStr">
        <is>
          <t>Övriga Aktiebolag</t>
        </is>
      </c>
      <c r="I2296" t="n">
        <v>1.2</v>
      </c>
      <c r="J2296" t="n">
        <v>0</v>
      </c>
      <c r="K2296" t="n">
        <v>0</v>
      </c>
      <c r="L2296" t="n">
        <v>0</v>
      </c>
      <c r="M2296" t="n">
        <v>0</v>
      </c>
      <c r="N2296" t="n">
        <v>0</v>
      </c>
      <c r="O2296" t="n">
        <v>0</v>
      </c>
      <c r="P2296" t="n">
        <v>0</v>
      </c>
      <c r="Q2296" t="n">
        <v>0</v>
      </c>
      <c r="R2296" t="n">
        <v>0</v>
      </c>
      <c r="S2296" t="n">
        <v>0</v>
      </c>
      <c r="T2296" t="n">
        <v>0</v>
      </c>
      <c r="U2296" t="n">
        <v>0</v>
      </c>
      <c r="V2296" s="2" t="inlineStr"/>
    </row>
    <row r="2297" ht="15" customHeight="1">
      <c r="A2297" t="inlineStr">
        <is>
          <t>A 34159-2022</t>
        </is>
      </c>
      <c r="B2297" t="inlineStr">
        <is>
          <t>avverkningsanmälan</t>
        </is>
      </c>
      <c r="C2297" t="inlineStr">
        <is>
          <t>Föryngringsavverkning</t>
        </is>
      </c>
      <c r="D2297" s="1" t="n">
        <v>44791</v>
      </c>
      <c r="E2297" s="1" t="n">
        <v>46313</v>
      </c>
      <c r="F2297" t="inlineStr">
        <is>
          <t>SÖDERMANLANDS LÄN</t>
        </is>
      </c>
      <c r="G2297" t="inlineStr">
        <is>
          <t>VINGÅKER</t>
        </is>
      </c>
      <c r="I2297" t="n">
        <v>8.800000000000001</v>
      </c>
      <c r="J2297" t="n">
        <v>0</v>
      </c>
      <c r="K2297" t="n">
        <v>0</v>
      </c>
      <c r="L2297" t="n">
        <v>0</v>
      </c>
      <c r="M2297" t="n">
        <v>0</v>
      </c>
      <c r="N2297" t="n">
        <v>0</v>
      </c>
      <c r="O2297" t="n">
        <v>0</v>
      </c>
      <c r="P2297" t="n">
        <v>0</v>
      </c>
      <c r="Q2297" t="n">
        <v>0</v>
      </c>
      <c r="R2297" t="n">
        <v>0</v>
      </c>
      <c r="S2297" t="n">
        <v>0</v>
      </c>
      <c r="T2297" t="n">
        <v>0</v>
      </c>
      <c r="U2297" t="n">
        <v>0</v>
      </c>
      <c r="V2297" s="2" t="inlineStr"/>
    </row>
    <row r="2298" ht="15" customHeight="1">
      <c r="A2298" t="inlineStr">
        <is>
          <t>A 56393-2022</t>
        </is>
      </c>
      <c r="B2298" t="inlineStr">
        <is>
          <t>avverkningsanmälan</t>
        </is>
      </c>
      <c r="C2298" t="inlineStr">
        <is>
          <t>Föryngringsavverkning</t>
        </is>
      </c>
      <c r="D2298" s="1" t="n">
        <v>44887</v>
      </c>
      <c r="E2298" s="1" t="n">
        <v>46313</v>
      </c>
      <c r="F2298" t="inlineStr">
        <is>
          <t>SÖDERMANLANDS LÄN</t>
        </is>
      </c>
      <c r="G2298" t="inlineStr">
        <is>
          <t>FLEN</t>
        </is>
      </c>
      <c r="I2298" t="n">
        <v>11.3</v>
      </c>
      <c r="J2298" t="n">
        <v>0</v>
      </c>
      <c r="K2298" t="n">
        <v>0</v>
      </c>
      <c r="L2298" t="n">
        <v>0</v>
      </c>
      <c r="M2298" t="n">
        <v>0</v>
      </c>
      <c r="N2298" t="n">
        <v>0</v>
      </c>
      <c r="O2298" t="n">
        <v>0</v>
      </c>
      <c r="P2298" t="n">
        <v>0</v>
      </c>
      <c r="Q2298" t="n">
        <v>0</v>
      </c>
      <c r="R2298" t="n">
        <v>0</v>
      </c>
      <c r="S2298" t="n">
        <v>0</v>
      </c>
      <c r="T2298" t="n">
        <v>0</v>
      </c>
      <c r="U2298" t="n">
        <v>0</v>
      </c>
      <c r="V2298" s="2" t="inlineStr"/>
    </row>
    <row r="2299" ht="15" customHeight="1">
      <c r="A2299" t="inlineStr">
        <is>
          <t>A 8997-2026</t>
        </is>
      </c>
      <c r="B2299" t="inlineStr">
        <is>
          <t>avverkningsanmälan</t>
        </is>
      </c>
      <c r="C2299" t="inlineStr">
        <is>
          <t>Avverkning för att bevara och utveckla /försöksver</t>
        </is>
      </c>
      <c r="D2299" s="1" t="n">
        <v>46069</v>
      </c>
      <c r="E2299" s="1" t="n">
        <v>46313</v>
      </c>
      <c r="F2299" t="inlineStr">
        <is>
          <t>SÖDERMANLANDS LÄN</t>
        </is>
      </c>
      <c r="G2299" t="inlineStr">
        <is>
          <t>VINGÅKER</t>
        </is>
      </c>
      <c r="I2299" t="n">
        <v>5.4</v>
      </c>
      <c r="J2299" t="n">
        <v>0</v>
      </c>
      <c r="K2299" t="n">
        <v>0</v>
      </c>
      <c r="L2299" t="n">
        <v>0</v>
      </c>
      <c r="M2299" t="n">
        <v>0</v>
      </c>
      <c r="N2299" t="n">
        <v>0</v>
      </c>
      <c r="O2299" t="n">
        <v>0</v>
      </c>
      <c r="P2299" t="n">
        <v>0</v>
      </c>
      <c r="Q2299" t="n">
        <v>0</v>
      </c>
      <c r="R2299" t="n">
        <v>0</v>
      </c>
      <c r="S2299" t="n">
        <v>0</v>
      </c>
      <c r="T2299" t="n">
        <v>0</v>
      </c>
      <c r="U2299" t="n">
        <v>0</v>
      </c>
      <c r="V2299" s="2" t="inlineStr"/>
    </row>
    <row r="2300" ht="15" customHeight="1">
      <c r="A2300" t="inlineStr">
        <is>
          <t>A 10010-2024</t>
        </is>
      </c>
      <c r="B2300" t="inlineStr">
        <is>
          <t>avverkningsanmälan</t>
        </is>
      </c>
      <c r="C2300" t="inlineStr">
        <is>
          <t>Föryngringsavverkning</t>
        </is>
      </c>
      <c r="D2300" s="1" t="n">
        <v>45363</v>
      </c>
      <c r="E2300" s="1" t="n">
        <v>46313</v>
      </c>
      <c r="F2300" t="inlineStr">
        <is>
          <t>SÖDERMANLANDS LÄN</t>
        </is>
      </c>
      <c r="G2300" t="inlineStr">
        <is>
          <t>ESKILSTUNA</t>
        </is>
      </c>
      <c r="H2300" t="inlineStr">
        <is>
          <t>Allmännings- och besparingsskogar</t>
        </is>
      </c>
      <c r="I2300" t="n">
        <v>1.4</v>
      </c>
      <c r="J2300" t="n">
        <v>0</v>
      </c>
      <c r="K2300" t="n">
        <v>0</v>
      </c>
      <c r="L2300" t="n">
        <v>0</v>
      </c>
      <c r="M2300" t="n">
        <v>0</v>
      </c>
      <c r="N2300" t="n">
        <v>0</v>
      </c>
      <c r="O2300" t="n">
        <v>0</v>
      </c>
      <c r="P2300" t="n">
        <v>0</v>
      </c>
      <c r="Q2300" t="n">
        <v>0</v>
      </c>
      <c r="R2300" t="n">
        <v>0</v>
      </c>
      <c r="S2300" t="n">
        <v>0</v>
      </c>
      <c r="T2300" t="n">
        <v>0</v>
      </c>
      <c r="U2300" t="n">
        <v>0</v>
      </c>
      <c r="V2300" s="2" t="inlineStr"/>
    </row>
    <row r="2301" ht="15" customHeight="1">
      <c r="A2301" t="inlineStr">
        <is>
          <t>A 2270-2023</t>
        </is>
      </c>
      <c r="B2301" t="inlineStr">
        <is>
          <t>avverkningsanmälan</t>
        </is>
      </c>
      <c r="C2301" t="inlineStr">
        <is>
          <t>Föryngringsavverkning</t>
        </is>
      </c>
      <c r="D2301" s="1" t="n">
        <v>44942</v>
      </c>
      <c r="E2301" s="1" t="n">
        <v>46313</v>
      </c>
      <c r="F2301" t="inlineStr">
        <is>
          <t>SÖDERMANLANDS LÄN</t>
        </is>
      </c>
      <c r="G2301" t="inlineStr">
        <is>
          <t>VINGÅKER</t>
        </is>
      </c>
      <c r="I2301" t="n">
        <v>9.1</v>
      </c>
      <c r="J2301" t="n">
        <v>0</v>
      </c>
      <c r="K2301" t="n">
        <v>0</v>
      </c>
      <c r="L2301" t="n">
        <v>0</v>
      </c>
      <c r="M2301" t="n">
        <v>0</v>
      </c>
      <c r="N2301" t="n">
        <v>0</v>
      </c>
      <c r="O2301" t="n">
        <v>0</v>
      </c>
      <c r="P2301" t="n">
        <v>0</v>
      </c>
      <c r="Q2301" t="n">
        <v>0</v>
      </c>
      <c r="R2301" t="n">
        <v>0</v>
      </c>
      <c r="S2301" t="n">
        <v>0</v>
      </c>
      <c r="T2301" t="n">
        <v>0</v>
      </c>
      <c r="U2301" t="n">
        <v>0</v>
      </c>
      <c r="V2301" s="2" t="inlineStr"/>
    </row>
    <row r="2302" ht="15" customHeight="1">
      <c r="A2302" t="inlineStr">
        <is>
          <t>A 35252-2022</t>
        </is>
      </c>
      <c r="B2302" t="inlineStr">
        <is>
          <t>avverkningsanmälan</t>
        </is>
      </c>
      <c r="C2302" t="inlineStr">
        <is>
          <t>Föryngringsavverkning</t>
        </is>
      </c>
      <c r="D2302" s="1" t="n">
        <v>44798</v>
      </c>
      <c r="E2302" s="1" t="n">
        <v>46313</v>
      </c>
      <c r="F2302" t="inlineStr">
        <is>
          <t>SÖDERMANLANDS LÄN</t>
        </is>
      </c>
      <c r="G2302" t="inlineStr">
        <is>
          <t>NYKÖPING</t>
        </is>
      </c>
      <c r="I2302" t="n">
        <v>5.8</v>
      </c>
      <c r="J2302" t="n">
        <v>0</v>
      </c>
      <c r="K2302" t="n">
        <v>0</v>
      </c>
      <c r="L2302" t="n">
        <v>0</v>
      </c>
      <c r="M2302" t="n">
        <v>0</v>
      </c>
      <c r="N2302" t="n">
        <v>0</v>
      </c>
      <c r="O2302" t="n">
        <v>0</v>
      </c>
      <c r="P2302" t="n">
        <v>0</v>
      </c>
      <c r="Q2302" t="n">
        <v>0</v>
      </c>
      <c r="R2302" t="n">
        <v>0</v>
      </c>
      <c r="S2302" t="n">
        <v>0</v>
      </c>
      <c r="T2302" t="n">
        <v>0</v>
      </c>
      <c r="U2302" t="n">
        <v>0</v>
      </c>
      <c r="V2302" s="2" t="inlineStr"/>
    </row>
    <row r="2303" ht="15" customHeight="1">
      <c r="A2303" t="inlineStr">
        <is>
          <t>A 24798-2022</t>
        </is>
      </c>
      <c r="B2303" t="inlineStr">
        <is>
          <t>avverkningsanmälan</t>
        </is>
      </c>
      <c r="C2303" t="inlineStr">
        <is>
          <t>Föryngringsavverkning</t>
        </is>
      </c>
      <c r="D2303" s="1" t="n">
        <v>44728</v>
      </c>
      <c r="E2303" s="1" t="n">
        <v>46313</v>
      </c>
      <c r="F2303" t="inlineStr">
        <is>
          <t>SÖDERMANLANDS LÄN</t>
        </is>
      </c>
      <c r="G2303" t="inlineStr">
        <is>
          <t>NYKÖPING</t>
        </is>
      </c>
      <c r="I2303" t="n">
        <v>1.8</v>
      </c>
      <c r="J2303" t="n">
        <v>0</v>
      </c>
      <c r="K2303" t="n">
        <v>0</v>
      </c>
      <c r="L2303" t="n">
        <v>0</v>
      </c>
      <c r="M2303" t="n">
        <v>0</v>
      </c>
      <c r="N2303" t="n">
        <v>0</v>
      </c>
      <c r="O2303" t="n">
        <v>0</v>
      </c>
      <c r="P2303" t="n">
        <v>0</v>
      </c>
      <c r="Q2303" t="n">
        <v>0</v>
      </c>
      <c r="R2303" t="n">
        <v>0</v>
      </c>
      <c r="S2303" t="n">
        <v>0</v>
      </c>
      <c r="T2303" t="n">
        <v>0</v>
      </c>
      <c r="U2303" t="n">
        <v>0</v>
      </c>
      <c r="V2303" s="2" t="inlineStr"/>
    </row>
    <row r="2304" ht="15" customHeight="1">
      <c r="A2304" t="inlineStr">
        <is>
          <t>A 42111-2022</t>
        </is>
      </c>
      <c r="B2304" t="inlineStr">
        <is>
          <t>avverkningsanmälan</t>
        </is>
      </c>
      <c r="C2304" t="inlineStr">
        <is>
          <t>Föryngringsavverkning</t>
        </is>
      </c>
      <c r="D2304" s="1" t="n">
        <v>44830</v>
      </c>
      <c r="E2304" s="1" t="n">
        <v>46313</v>
      </c>
      <c r="F2304" t="inlineStr">
        <is>
          <t>SÖDERMANLANDS LÄN</t>
        </is>
      </c>
      <c r="G2304" t="inlineStr">
        <is>
          <t>KATRINEHOLM</t>
        </is>
      </c>
      <c r="I2304" t="n">
        <v>2.5</v>
      </c>
      <c r="J2304" t="n">
        <v>0</v>
      </c>
      <c r="K2304" t="n">
        <v>0</v>
      </c>
      <c r="L2304" t="n">
        <v>0</v>
      </c>
      <c r="M2304" t="n">
        <v>0</v>
      </c>
      <c r="N2304" t="n">
        <v>0</v>
      </c>
      <c r="O2304" t="n">
        <v>0</v>
      </c>
      <c r="P2304" t="n">
        <v>0</v>
      </c>
      <c r="Q2304" t="n">
        <v>0</v>
      </c>
      <c r="R2304" t="n">
        <v>0</v>
      </c>
      <c r="S2304" t="n">
        <v>0</v>
      </c>
      <c r="T2304" t="n">
        <v>0</v>
      </c>
      <c r="U2304" t="n">
        <v>0</v>
      </c>
      <c r="V2304" s="2" t="inlineStr"/>
    </row>
    <row r="2305" ht="15" customHeight="1">
      <c r="A2305" t="inlineStr">
        <is>
          <t>A 39827-2024</t>
        </is>
      </c>
      <c r="B2305" t="inlineStr">
        <is>
          <t>avverkningsanmälan</t>
        </is>
      </c>
      <c r="C2305" t="inlineStr">
        <is>
          <t>Föryngringsavverkning</t>
        </is>
      </c>
      <c r="D2305" s="1" t="n">
        <v>45553</v>
      </c>
      <c r="E2305" s="1" t="n">
        <v>46313</v>
      </c>
      <c r="F2305" t="inlineStr">
        <is>
          <t>SÖDERMANLANDS LÄN</t>
        </is>
      </c>
      <c r="G2305" t="inlineStr">
        <is>
          <t>TROSA</t>
        </is>
      </c>
      <c r="I2305" t="n">
        <v>5</v>
      </c>
      <c r="J2305" t="n">
        <v>0</v>
      </c>
      <c r="K2305" t="n">
        <v>0</v>
      </c>
      <c r="L2305" t="n">
        <v>0</v>
      </c>
      <c r="M2305" t="n">
        <v>0</v>
      </c>
      <c r="N2305" t="n">
        <v>0</v>
      </c>
      <c r="O2305" t="n">
        <v>0</v>
      </c>
      <c r="P2305" t="n">
        <v>0</v>
      </c>
      <c r="Q2305" t="n">
        <v>0</v>
      </c>
      <c r="R2305" t="n">
        <v>0</v>
      </c>
      <c r="S2305" t="n">
        <v>0</v>
      </c>
      <c r="T2305" t="n">
        <v>0</v>
      </c>
      <c r="U2305" t="n">
        <v>0</v>
      </c>
      <c r="V2305" s="2" t="inlineStr"/>
    </row>
    <row r="2306" ht="15" customHeight="1">
      <c r="A2306" t="inlineStr">
        <is>
          <t>A 4422-2026</t>
        </is>
      </c>
      <c r="B2306" t="inlineStr">
        <is>
          <t>avverkningsanmälan</t>
        </is>
      </c>
      <c r="C2306" t="inlineStr">
        <is>
          <t>Föryngringsavverkning</t>
        </is>
      </c>
      <c r="D2306" s="1" t="n">
        <v>46044</v>
      </c>
      <c r="E2306" s="1" t="n">
        <v>46313</v>
      </c>
      <c r="F2306" t="inlineStr">
        <is>
          <t>SÖDERMANLANDS LÄN</t>
        </is>
      </c>
      <c r="G2306" t="inlineStr">
        <is>
          <t>ESKILSTUNA</t>
        </is>
      </c>
      <c r="I2306" t="n">
        <v>2.4</v>
      </c>
      <c r="J2306" t="n">
        <v>0</v>
      </c>
      <c r="K2306" t="n">
        <v>0</v>
      </c>
      <c r="L2306" t="n">
        <v>0</v>
      </c>
      <c r="M2306" t="n">
        <v>0</v>
      </c>
      <c r="N2306" t="n">
        <v>0</v>
      </c>
      <c r="O2306" t="n">
        <v>0</v>
      </c>
      <c r="P2306" t="n">
        <v>0</v>
      </c>
      <c r="Q2306" t="n">
        <v>0</v>
      </c>
      <c r="R2306" t="n">
        <v>0</v>
      </c>
      <c r="S2306" t="n">
        <v>0</v>
      </c>
      <c r="T2306" t="n">
        <v>0</v>
      </c>
      <c r="U2306" t="n">
        <v>0</v>
      </c>
      <c r="V2306" s="2" t="inlineStr"/>
    </row>
    <row r="2307" ht="15" customHeight="1">
      <c r="A2307" t="inlineStr">
        <is>
          <t>A 2598-2025</t>
        </is>
      </c>
      <c r="B2307" t="inlineStr">
        <is>
          <t>avverkningsanmälan</t>
        </is>
      </c>
      <c r="C2307" t="inlineStr">
        <is>
          <t>Avverkning för annat ändamål</t>
        </is>
      </c>
      <c r="D2307" s="1" t="n">
        <v>45674</v>
      </c>
      <c r="E2307" s="1" t="n">
        <v>46313</v>
      </c>
      <c r="F2307" t="inlineStr">
        <is>
          <t>SÖDERMANLANDS LÄN</t>
        </is>
      </c>
      <c r="G2307" t="inlineStr">
        <is>
          <t>NYKÖPING</t>
        </is>
      </c>
      <c r="I2307" t="n">
        <v>0.8</v>
      </c>
      <c r="J2307" t="n">
        <v>0</v>
      </c>
      <c r="K2307" t="n">
        <v>0</v>
      </c>
      <c r="L2307" t="n">
        <v>0</v>
      </c>
      <c r="M2307" t="n">
        <v>0</v>
      </c>
      <c r="N2307" t="n">
        <v>0</v>
      </c>
      <c r="O2307" t="n">
        <v>0</v>
      </c>
      <c r="P2307" t="n">
        <v>0</v>
      </c>
      <c r="Q2307" t="n">
        <v>0</v>
      </c>
      <c r="R2307" t="n">
        <v>0</v>
      </c>
      <c r="S2307" t="n">
        <v>0</v>
      </c>
      <c r="T2307" t="n">
        <v>0</v>
      </c>
      <c r="U2307" t="n">
        <v>0</v>
      </c>
      <c r="V2307" s="2" t="inlineStr"/>
    </row>
    <row r="2308" ht="15" customHeight="1">
      <c r="A2308" t="inlineStr">
        <is>
          <t>A 35532-2022</t>
        </is>
      </c>
      <c r="B2308" t="inlineStr">
        <is>
          <t>avverkningsanmälan</t>
        </is>
      </c>
      <c r="C2308" t="inlineStr">
        <is>
          <t>Föryngringsavverkning</t>
        </is>
      </c>
      <c r="D2308" s="1" t="n">
        <v>44799</v>
      </c>
      <c r="E2308" s="1" t="n">
        <v>46313</v>
      </c>
      <c r="F2308" t="inlineStr">
        <is>
          <t>SÖDERMANLANDS LÄN</t>
        </is>
      </c>
      <c r="G2308" t="inlineStr">
        <is>
          <t>NYKÖPING</t>
        </is>
      </c>
      <c r="I2308" t="n">
        <v>3.8</v>
      </c>
      <c r="J2308" t="n">
        <v>0</v>
      </c>
      <c r="K2308" t="n">
        <v>0</v>
      </c>
      <c r="L2308" t="n">
        <v>0</v>
      </c>
      <c r="M2308" t="n">
        <v>0</v>
      </c>
      <c r="N2308" t="n">
        <v>0</v>
      </c>
      <c r="O2308" t="n">
        <v>0</v>
      </c>
      <c r="P2308" t="n">
        <v>0</v>
      </c>
      <c r="Q2308" t="n">
        <v>0</v>
      </c>
      <c r="R2308" t="n">
        <v>0</v>
      </c>
      <c r="S2308" t="n">
        <v>0</v>
      </c>
      <c r="T2308" t="n">
        <v>0</v>
      </c>
      <c r="U2308" t="n">
        <v>0</v>
      </c>
      <c r="V2308" s="2" t="inlineStr"/>
    </row>
    <row r="2309" ht="15" customHeight="1">
      <c r="A2309" t="inlineStr">
        <is>
          <t>A 4434-2026</t>
        </is>
      </c>
      <c r="B2309" t="inlineStr">
        <is>
          <t>avverkningsanmälan</t>
        </is>
      </c>
      <c r="C2309" t="inlineStr">
        <is>
          <t>Föryngringsavverkning</t>
        </is>
      </c>
      <c r="D2309" s="1" t="n">
        <v>46044</v>
      </c>
      <c r="E2309" s="1" t="n">
        <v>46313</v>
      </c>
      <c r="F2309" t="inlineStr">
        <is>
          <t>SÖDERMANLANDS LÄN</t>
        </is>
      </c>
      <c r="G2309" t="inlineStr">
        <is>
          <t>ESKILSTUNA</t>
        </is>
      </c>
      <c r="I2309" t="n">
        <v>3.5</v>
      </c>
      <c r="J2309" t="n">
        <v>0</v>
      </c>
      <c r="K2309" t="n">
        <v>0</v>
      </c>
      <c r="L2309" t="n">
        <v>0</v>
      </c>
      <c r="M2309" t="n">
        <v>0</v>
      </c>
      <c r="N2309" t="n">
        <v>0</v>
      </c>
      <c r="O2309" t="n">
        <v>0</v>
      </c>
      <c r="P2309" t="n">
        <v>0</v>
      </c>
      <c r="Q2309" t="n">
        <v>0</v>
      </c>
      <c r="R2309" t="n">
        <v>0</v>
      </c>
      <c r="S2309" t="n">
        <v>0</v>
      </c>
      <c r="T2309" t="n">
        <v>0</v>
      </c>
      <c r="U2309" t="n">
        <v>0</v>
      </c>
      <c r="V2309" s="2" t="inlineStr"/>
    </row>
    <row r="2310" ht="15" customHeight="1">
      <c r="A2310" t="inlineStr">
        <is>
          <t>A 24405-2023</t>
        </is>
      </c>
      <c r="B2310" t="inlineStr">
        <is>
          <t>avverkningsanmälan</t>
        </is>
      </c>
      <c r="C2310" t="inlineStr">
        <is>
          <t>Föryngringsavverkning</t>
        </is>
      </c>
      <c r="D2310" s="1" t="n">
        <v>45076</v>
      </c>
      <c r="E2310" s="1" t="n">
        <v>46313</v>
      </c>
      <c r="F2310" t="inlineStr">
        <is>
          <t>SÖDERMANLANDS LÄN</t>
        </is>
      </c>
      <c r="G2310" t="inlineStr">
        <is>
          <t>VINGÅKER</t>
        </is>
      </c>
      <c r="I2310" t="n">
        <v>1.3</v>
      </c>
      <c r="J2310" t="n">
        <v>0</v>
      </c>
      <c r="K2310" t="n">
        <v>0</v>
      </c>
      <c r="L2310" t="n">
        <v>0</v>
      </c>
      <c r="M2310" t="n">
        <v>0</v>
      </c>
      <c r="N2310" t="n">
        <v>0</v>
      </c>
      <c r="O2310" t="n">
        <v>0</v>
      </c>
      <c r="P2310" t="n">
        <v>0</v>
      </c>
      <c r="Q2310" t="n">
        <v>0</v>
      </c>
      <c r="R2310" t="n">
        <v>0</v>
      </c>
      <c r="S2310" t="n">
        <v>0</v>
      </c>
      <c r="T2310" t="n">
        <v>0</v>
      </c>
      <c r="U2310" t="n">
        <v>0</v>
      </c>
      <c r="V2310" s="2" t="inlineStr"/>
    </row>
    <row r="2311" ht="15" customHeight="1">
      <c r="A2311" t="inlineStr">
        <is>
          <t>A 12831-2026</t>
        </is>
      </c>
      <c r="B2311" t="inlineStr">
        <is>
          <t>avverkningsanmälan</t>
        </is>
      </c>
      <c r="C2311" t="inlineStr">
        <is>
          <t>Föryngringsavverkning</t>
        </is>
      </c>
      <c r="D2311" s="1" t="n">
        <v>46092</v>
      </c>
      <c r="E2311" s="1" t="n">
        <v>46313</v>
      </c>
      <c r="F2311" t="inlineStr">
        <is>
          <t>SÖDERMANLANDS LÄN</t>
        </is>
      </c>
      <c r="G2311" t="inlineStr">
        <is>
          <t>KATRINEHOLM</t>
        </is>
      </c>
      <c r="I2311" t="n">
        <v>1.2</v>
      </c>
      <c r="J2311" t="n">
        <v>0</v>
      </c>
      <c r="K2311" t="n">
        <v>0</v>
      </c>
      <c r="L2311" t="n">
        <v>0</v>
      </c>
      <c r="M2311" t="n">
        <v>0</v>
      </c>
      <c r="N2311" t="n">
        <v>0</v>
      </c>
      <c r="O2311" t="n">
        <v>0</v>
      </c>
      <c r="P2311" t="n">
        <v>0</v>
      </c>
      <c r="Q2311" t="n">
        <v>0</v>
      </c>
      <c r="R2311" t="n">
        <v>0</v>
      </c>
      <c r="S2311" t="n">
        <v>0</v>
      </c>
      <c r="T2311" t="n">
        <v>0</v>
      </c>
      <c r="U2311" t="n">
        <v>0</v>
      </c>
      <c r="V2311" s="2" t="inlineStr"/>
    </row>
    <row r="2312" ht="15" customHeight="1">
      <c r="A2312" t="inlineStr">
        <is>
          <t>A 54024-2022</t>
        </is>
      </c>
      <c r="B2312" t="inlineStr">
        <is>
          <t>avverkningsanmälan</t>
        </is>
      </c>
      <c r="C2312" t="inlineStr">
        <is>
          <t>Föryngringsavverkning</t>
        </is>
      </c>
      <c r="D2312" s="1" t="n">
        <v>44881</v>
      </c>
      <c r="E2312" s="1" t="n">
        <v>46313</v>
      </c>
      <c r="F2312" t="inlineStr">
        <is>
          <t>SÖDERMANLANDS LÄN</t>
        </is>
      </c>
      <c r="G2312" t="inlineStr">
        <is>
          <t>NYKÖPING</t>
        </is>
      </c>
      <c r="I2312" t="n">
        <v>16.2</v>
      </c>
      <c r="J2312" t="n">
        <v>0</v>
      </c>
      <c r="K2312" t="n">
        <v>0</v>
      </c>
      <c r="L2312" t="n">
        <v>0</v>
      </c>
      <c r="M2312" t="n">
        <v>0</v>
      </c>
      <c r="N2312" t="n">
        <v>0</v>
      </c>
      <c r="O2312" t="n">
        <v>0</v>
      </c>
      <c r="P2312" t="n">
        <v>0</v>
      </c>
      <c r="Q2312" t="n">
        <v>0</v>
      </c>
      <c r="R2312" t="n">
        <v>0</v>
      </c>
      <c r="S2312" t="n">
        <v>0</v>
      </c>
      <c r="T2312" t="n">
        <v>0</v>
      </c>
      <c r="U2312" t="n">
        <v>0</v>
      </c>
      <c r="V2312" s="2" t="inlineStr"/>
    </row>
    <row r="2313" ht="15" customHeight="1">
      <c r="A2313" t="inlineStr">
        <is>
          <t>A 52998-2025</t>
        </is>
      </c>
      <c r="B2313" t="inlineStr">
        <is>
          <t>avverkningsanmälan</t>
        </is>
      </c>
      <c r="C2313" t="inlineStr">
        <is>
          <t>Föryngringsavverkning</t>
        </is>
      </c>
      <c r="D2313" s="1" t="n">
        <v>45957</v>
      </c>
      <c r="E2313" s="1" t="n">
        <v>46313</v>
      </c>
      <c r="F2313" t="inlineStr">
        <is>
          <t>SÖDERMANLANDS LÄN</t>
        </is>
      </c>
      <c r="G2313" t="inlineStr">
        <is>
          <t>STRÄNGNÄS</t>
        </is>
      </c>
      <c r="I2313" t="n">
        <v>1.3</v>
      </c>
      <c r="J2313" t="n">
        <v>0</v>
      </c>
      <c r="K2313" t="n">
        <v>0</v>
      </c>
      <c r="L2313" t="n">
        <v>0</v>
      </c>
      <c r="M2313" t="n">
        <v>0</v>
      </c>
      <c r="N2313" t="n">
        <v>0</v>
      </c>
      <c r="O2313" t="n">
        <v>0</v>
      </c>
      <c r="P2313" t="n">
        <v>0</v>
      </c>
      <c r="Q2313" t="n">
        <v>0</v>
      </c>
      <c r="R2313" t="n">
        <v>0</v>
      </c>
      <c r="S2313" t="n">
        <v>0</v>
      </c>
      <c r="T2313" t="n">
        <v>0</v>
      </c>
      <c r="U2313" t="n">
        <v>0</v>
      </c>
      <c r="V2313" s="2" t="inlineStr"/>
    </row>
    <row r="2314" ht="15" customHeight="1">
      <c r="A2314" t="inlineStr">
        <is>
          <t>A 27884-2026</t>
        </is>
      </c>
      <c r="B2314" t="inlineStr">
        <is>
          <t>avverkningsanmälan</t>
        </is>
      </c>
      <c r="C2314" t="inlineStr">
        <is>
          <t>Föryngringsavverkning</t>
        </is>
      </c>
      <c r="D2314" s="1" t="n">
        <v>46191</v>
      </c>
      <c r="E2314" s="1" t="n">
        <v>46313</v>
      </c>
      <c r="F2314" t="inlineStr">
        <is>
          <t>SÖDERMANLANDS LÄN</t>
        </is>
      </c>
      <c r="G2314" t="inlineStr">
        <is>
          <t>ESKILSTUNA</t>
        </is>
      </c>
      <c r="I2314" t="n">
        <v>0.7</v>
      </c>
      <c r="J2314" t="n">
        <v>0</v>
      </c>
      <c r="K2314" t="n">
        <v>0</v>
      </c>
      <c r="L2314" t="n">
        <v>0</v>
      </c>
      <c r="M2314" t="n">
        <v>0</v>
      </c>
      <c r="N2314" t="n">
        <v>0</v>
      </c>
      <c r="O2314" t="n">
        <v>0</v>
      </c>
      <c r="P2314" t="n">
        <v>0</v>
      </c>
      <c r="Q2314" t="n">
        <v>0</v>
      </c>
      <c r="R2314" t="n">
        <v>0</v>
      </c>
      <c r="S2314" t="n">
        <v>0</v>
      </c>
      <c r="T2314" t="n">
        <v>0</v>
      </c>
      <c r="U2314" t="n">
        <v>0</v>
      </c>
      <c r="V2314" s="2" t="inlineStr"/>
    </row>
    <row r="2315" ht="15" customHeight="1">
      <c r="A2315" t="inlineStr">
        <is>
          <t>A 28102-2026</t>
        </is>
      </c>
      <c r="B2315" t="inlineStr">
        <is>
          <t>avverkningsanmälan</t>
        </is>
      </c>
      <c r="C2315" t="inlineStr">
        <is>
          <t>Avverkning för annat ändamål</t>
        </is>
      </c>
      <c r="D2315" s="1" t="n">
        <v>46195</v>
      </c>
      <c r="E2315" s="1" t="n">
        <v>46313</v>
      </c>
      <c r="F2315" t="inlineStr">
        <is>
          <t>SÖDERMANLANDS LÄN</t>
        </is>
      </c>
      <c r="G2315" t="inlineStr">
        <is>
          <t>STRÄNGNÄS</t>
        </is>
      </c>
      <c r="H2315" t="inlineStr">
        <is>
          <t>Övriga Aktiebolag</t>
        </is>
      </c>
      <c r="I2315" t="n">
        <v>0.2</v>
      </c>
      <c r="J2315" t="n">
        <v>0</v>
      </c>
      <c r="K2315" t="n">
        <v>0</v>
      </c>
      <c r="L2315" t="n">
        <v>0</v>
      </c>
      <c r="M2315" t="n">
        <v>0</v>
      </c>
      <c r="N2315" t="n">
        <v>0</v>
      </c>
      <c r="O2315" t="n">
        <v>0</v>
      </c>
      <c r="P2315" t="n">
        <v>0</v>
      </c>
      <c r="Q2315" t="n">
        <v>0</v>
      </c>
      <c r="R2315" t="n">
        <v>0</v>
      </c>
      <c r="S2315" t="n">
        <v>0</v>
      </c>
      <c r="T2315" t="n">
        <v>0</v>
      </c>
      <c r="U2315" t="n">
        <v>0</v>
      </c>
      <c r="V2315" s="2" t="inlineStr"/>
    </row>
    <row r="2316" ht="15" customHeight="1">
      <c r="A2316" t="inlineStr">
        <is>
          <t>A 36015-2023</t>
        </is>
      </c>
      <c r="B2316" t="inlineStr">
        <is>
          <t>avverkningsanmälan</t>
        </is>
      </c>
      <c r="C2316" t="inlineStr">
        <is>
          <t>Föryngringsavverkning</t>
        </is>
      </c>
      <c r="D2316" s="1" t="n">
        <v>45148</v>
      </c>
      <c r="E2316" s="1" t="n">
        <v>46313</v>
      </c>
      <c r="F2316" t="inlineStr">
        <is>
          <t>SÖDERMANLANDS LÄN</t>
        </is>
      </c>
      <c r="G2316" t="inlineStr">
        <is>
          <t>NYKÖPING</t>
        </is>
      </c>
      <c r="I2316" t="n">
        <v>2.1</v>
      </c>
      <c r="J2316" t="n">
        <v>0</v>
      </c>
      <c r="K2316" t="n">
        <v>0</v>
      </c>
      <c r="L2316" t="n">
        <v>0</v>
      </c>
      <c r="M2316" t="n">
        <v>0</v>
      </c>
      <c r="N2316" t="n">
        <v>0</v>
      </c>
      <c r="O2316" t="n">
        <v>0</v>
      </c>
      <c r="P2316" t="n">
        <v>0</v>
      </c>
      <c r="Q2316" t="n">
        <v>0</v>
      </c>
      <c r="R2316" t="n">
        <v>0</v>
      </c>
      <c r="S2316" t="n">
        <v>0</v>
      </c>
      <c r="T2316" t="n">
        <v>0</v>
      </c>
      <c r="U2316" t="n">
        <v>0</v>
      </c>
      <c r="V2316" s="2" t="inlineStr"/>
    </row>
    <row r="2317" ht="15" customHeight="1">
      <c r="A2317" t="inlineStr">
        <is>
          <t>A 36021-2023</t>
        </is>
      </c>
      <c r="B2317" t="inlineStr">
        <is>
          <t>avverkningsanmälan</t>
        </is>
      </c>
      <c r="C2317" t="inlineStr">
        <is>
          <t>Föryngringsavverkning</t>
        </is>
      </c>
      <c r="D2317" s="1" t="n">
        <v>45148</v>
      </c>
      <c r="E2317" s="1" t="n">
        <v>46313</v>
      </c>
      <c r="F2317" t="inlineStr">
        <is>
          <t>SÖDERMANLANDS LÄN</t>
        </is>
      </c>
      <c r="G2317" t="inlineStr">
        <is>
          <t>KATRINEHOLM</t>
        </is>
      </c>
      <c r="I2317" t="n">
        <v>1.8</v>
      </c>
      <c r="J2317" t="n">
        <v>0</v>
      </c>
      <c r="K2317" t="n">
        <v>0</v>
      </c>
      <c r="L2317" t="n">
        <v>0</v>
      </c>
      <c r="M2317" t="n">
        <v>0</v>
      </c>
      <c r="N2317" t="n">
        <v>0</v>
      </c>
      <c r="O2317" t="n">
        <v>0</v>
      </c>
      <c r="P2317" t="n">
        <v>0</v>
      </c>
      <c r="Q2317" t="n">
        <v>0</v>
      </c>
      <c r="R2317" t="n">
        <v>0</v>
      </c>
      <c r="S2317" t="n">
        <v>0</v>
      </c>
      <c r="T2317" t="n">
        <v>0</v>
      </c>
      <c r="U2317" t="n">
        <v>0</v>
      </c>
      <c r="V2317" s="2" t="inlineStr"/>
    </row>
    <row r="2318" ht="15" customHeight="1">
      <c r="A2318" t="inlineStr">
        <is>
          <t>A 38331-2023</t>
        </is>
      </c>
      <c r="B2318" t="inlineStr">
        <is>
          <t>avverkningsanmälan</t>
        </is>
      </c>
      <c r="C2318" t="inlineStr">
        <is>
          <t>Föryngringsavverkning</t>
        </is>
      </c>
      <c r="D2318" s="1" t="n">
        <v>45161</v>
      </c>
      <c r="E2318" s="1" t="n">
        <v>46313</v>
      </c>
      <c r="F2318" t="inlineStr">
        <is>
          <t>SÖDERMANLANDS LÄN</t>
        </is>
      </c>
      <c r="G2318" t="inlineStr">
        <is>
          <t>FLEN</t>
        </is>
      </c>
      <c r="I2318" t="n">
        <v>0.7</v>
      </c>
      <c r="J2318" t="n">
        <v>0</v>
      </c>
      <c r="K2318" t="n">
        <v>0</v>
      </c>
      <c r="L2318" t="n">
        <v>0</v>
      </c>
      <c r="M2318" t="n">
        <v>0</v>
      </c>
      <c r="N2318" t="n">
        <v>0</v>
      </c>
      <c r="O2318" t="n">
        <v>0</v>
      </c>
      <c r="P2318" t="n">
        <v>0</v>
      </c>
      <c r="Q2318" t="n">
        <v>0</v>
      </c>
      <c r="R2318" t="n">
        <v>0</v>
      </c>
      <c r="S2318" t="n">
        <v>0</v>
      </c>
      <c r="T2318" t="n">
        <v>0</v>
      </c>
      <c r="U2318" t="n">
        <v>0</v>
      </c>
      <c r="V2318" s="2" t="inlineStr"/>
    </row>
    <row r="2319" ht="15" customHeight="1">
      <c r="A2319" t="inlineStr">
        <is>
          <t>A 545-2025</t>
        </is>
      </c>
      <c r="B2319" t="inlineStr">
        <is>
          <t>avverkningsanmälan</t>
        </is>
      </c>
      <c r="C2319" t="inlineStr">
        <is>
          <t>Föryngringsavverkning</t>
        </is>
      </c>
      <c r="D2319" s="1" t="n">
        <v>45664</v>
      </c>
      <c r="E2319" s="1" t="n">
        <v>46313</v>
      </c>
      <c r="F2319" t="inlineStr">
        <is>
          <t>SÖDERMANLANDS LÄN</t>
        </is>
      </c>
      <c r="G2319" t="inlineStr">
        <is>
          <t>ESKILSTUNA</t>
        </is>
      </c>
      <c r="H2319" t="inlineStr">
        <is>
          <t>Allmännings- och besparingsskogar</t>
        </is>
      </c>
      <c r="I2319" t="n">
        <v>1.2</v>
      </c>
      <c r="J2319" t="n">
        <v>0</v>
      </c>
      <c r="K2319" t="n">
        <v>0</v>
      </c>
      <c r="L2319" t="n">
        <v>0</v>
      </c>
      <c r="M2319" t="n">
        <v>0</v>
      </c>
      <c r="N2319" t="n">
        <v>0</v>
      </c>
      <c r="O2319" t="n">
        <v>0</v>
      </c>
      <c r="P2319" t="n">
        <v>0</v>
      </c>
      <c r="Q2319" t="n">
        <v>0</v>
      </c>
      <c r="R2319" t="n">
        <v>0</v>
      </c>
      <c r="S2319" t="n">
        <v>0</v>
      </c>
      <c r="T2319" t="n">
        <v>0</v>
      </c>
      <c r="U2319" t="n">
        <v>0</v>
      </c>
      <c r="V2319" s="2" t="inlineStr"/>
    </row>
    <row r="2320" ht="15" customHeight="1">
      <c r="A2320" t="inlineStr">
        <is>
          <t>A 13260-2026</t>
        </is>
      </c>
      <c r="B2320" t="inlineStr">
        <is>
          <t>avverkningsanmälan</t>
        </is>
      </c>
      <c r="C2320" t="inlineStr">
        <is>
          <t>Föryngringsavverkning</t>
        </is>
      </c>
      <c r="D2320" s="1" t="n">
        <v>46093</v>
      </c>
      <c r="E2320" s="1" t="n">
        <v>46313</v>
      </c>
      <c r="F2320" t="inlineStr">
        <is>
          <t>SÖDERMANLANDS LÄN</t>
        </is>
      </c>
      <c r="G2320" t="inlineStr">
        <is>
          <t>NYKÖPING</t>
        </is>
      </c>
      <c r="I2320" t="n">
        <v>1.5</v>
      </c>
      <c r="J2320" t="n">
        <v>0</v>
      </c>
      <c r="K2320" t="n">
        <v>0</v>
      </c>
      <c r="L2320" t="n">
        <v>0</v>
      </c>
      <c r="M2320" t="n">
        <v>0</v>
      </c>
      <c r="N2320" t="n">
        <v>0</v>
      </c>
      <c r="O2320" t="n">
        <v>0</v>
      </c>
      <c r="P2320" t="n">
        <v>0</v>
      </c>
      <c r="Q2320" t="n">
        <v>0</v>
      </c>
      <c r="R2320" t="n">
        <v>0</v>
      </c>
      <c r="S2320" t="n">
        <v>0</v>
      </c>
      <c r="T2320" t="n">
        <v>0</v>
      </c>
      <c r="U2320" t="n">
        <v>0</v>
      </c>
      <c r="V2320" s="2" t="inlineStr"/>
    </row>
    <row r="2321" ht="15" customHeight="1">
      <c r="A2321" t="inlineStr">
        <is>
          <t>A 26871-2023</t>
        </is>
      </c>
      <c r="B2321" t="inlineStr">
        <is>
          <t>avverkningsanmälan</t>
        </is>
      </c>
      <c r="C2321" t="inlineStr">
        <is>
          <t>Föryngringsavverkning</t>
        </is>
      </c>
      <c r="D2321" s="1" t="n">
        <v>45093</v>
      </c>
      <c r="E2321" s="1" t="n">
        <v>46313</v>
      </c>
      <c r="F2321" t="inlineStr">
        <is>
          <t>SÖDERMANLANDS LÄN</t>
        </is>
      </c>
      <c r="G2321" t="inlineStr">
        <is>
          <t>ESKILSTUNA</t>
        </is>
      </c>
      <c r="I2321" t="n">
        <v>5</v>
      </c>
      <c r="J2321" t="n">
        <v>0</v>
      </c>
      <c r="K2321" t="n">
        <v>0</v>
      </c>
      <c r="L2321" t="n">
        <v>0</v>
      </c>
      <c r="M2321" t="n">
        <v>0</v>
      </c>
      <c r="N2321" t="n">
        <v>0</v>
      </c>
      <c r="O2321" t="n">
        <v>0</v>
      </c>
      <c r="P2321" t="n">
        <v>0</v>
      </c>
      <c r="Q2321" t="n">
        <v>0</v>
      </c>
      <c r="R2321" t="n">
        <v>0</v>
      </c>
      <c r="S2321" t="n">
        <v>0</v>
      </c>
      <c r="T2321" t="n">
        <v>0</v>
      </c>
      <c r="U2321" t="n">
        <v>0</v>
      </c>
      <c r="V2321" s="2" t="inlineStr"/>
    </row>
    <row r="2322" ht="15" customHeight="1">
      <c r="A2322" t="inlineStr">
        <is>
          <t>A 13254-2026</t>
        </is>
      </c>
      <c r="B2322" t="inlineStr">
        <is>
          <t>avverkningsanmälan</t>
        </is>
      </c>
      <c r="C2322" t="inlineStr">
        <is>
          <t>Föryngringsavverkning</t>
        </is>
      </c>
      <c r="D2322" s="1" t="n">
        <v>46093</v>
      </c>
      <c r="E2322" s="1" t="n">
        <v>46313</v>
      </c>
      <c r="F2322" t="inlineStr">
        <is>
          <t>SÖDERMANLANDS LÄN</t>
        </is>
      </c>
      <c r="G2322" t="inlineStr">
        <is>
          <t>NYKÖPING</t>
        </is>
      </c>
      <c r="I2322" t="n">
        <v>2.7</v>
      </c>
      <c r="J2322" t="n">
        <v>0</v>
      </c>
      <c r="K2322" t="n">
        <v>0</v>
      </c>
      <c r="L2322" t="n">
        <v>0</v>
      </c>
      <c r="M2322" t="n">
        <v>0</v>
      </c>
      <c r="N2322" t="n">
        <v>0</v>
      </c>
      <c r="O2322" t="n">
        <v>0</v>
      </c>
      <c r="P2322" t="n">
        <v>0</v>
      </c>
      <c r="Q2322" t="n">
        <v>0</v>
      </c>
      <c r="R2322" t="n">
        <v>0</v>
      </c>
      <c r="S2322" t="n">
        <v>0</v>
      </c>
      <c r="T2322" t="n">
        <v>0</v>
      </c>
      <c r="U2322" t="n">
        <v>0</v>
      </c>
      <c r="V2322" s="2" t="inlineStr"/>
    </row>
    <row r="2323" ht="15" customHeight="1">
      <c r="A2323" t="inlineStr">
        <is>
          <t>A 24497-2025</t>
        </is>
      </c>
      <c r="B2323" t="inlineStr">
        <is>
          <t>avverkningsanmälan</t>
        </is>
      </c>
      <c r="C2323" t="inlineStr">
        <is>
          <t>Föryngringsavverkning</t>
        </is>
      </c>
      <c r="D2323" s="1" t="n">
        <v>45798</v>
      </c>
      <c r="E2323" s="1" t="n">
        <v>46313</v>
      </c>
      <c r="F2323" t="inlineStr">
        <is>
          <t>SÖDERMANLANDS LÄN</t>
        </is>
      </c>
      <c r="G2323" t="inlineStr">
        <is>
          <t>NYKÖPING</t>
        </is>
      </c>
      <c r="H2323" t="inlineStr">
        <is>
          <t>Holmen skog AB</t>
        </is>
      </c>
      <c r="I2323" t="n">
        <v>2</v>
      </c>
      <c r="J2323" t="n">
        <v>0</v>
      </c>
      <c r="K2323" t="n">
        <v>0</v>
      </c>
      <c r="L2323" t="n">
        <v>0</v>
      </c>
      <c r="M2323" t="n">
        <v>0</v>
      </c>
      <c r="N2323" t="n">
        <v>0</v>
      </c>
      <c r="O2323" t="n">
        <v>0</v>
      </c>
      <c r="P2323" t="n">
        <v>0</v>
      </c>
      <c r="Q2323" t="n">
        <v>0</v>
      </c>
      <c r="R2323" t="n">
        <v>0</v>
      </c>
      <c r="S2323" t="n">
        <v>0</v>
      </c>
      <c r="T2323" t="n">
        <v>0</v>
      </c>
      <c r="U2323" t="n">
        <v>0</v>
      </c>
      <c r="V2323" s="2" t="inlineStr"/>
    </row>
    <row r="2324" ht="15" customHeight="1">
      <c r="A2324" t="inlineStr">
        <is>
          <t>A 3672-2026</t>
        </is>
      </c>
      <c r="B2324" t="inlineStr">
        <is>
          <t>avverkningsanmälan</t>
        </is>
      </c>
      <c r="C2324" t="inlineStr">
        <is>
          <t>Föryngringsavverkning</t>
        </is>
      </c>
      <c r="D2324" s="1" t="n">
        <v>46043</v>
      </c>
      <c r="E2324" s="1" t="n">
        <v>46313</v>
      </c>
      <c r="F2324" t="inlineStr">
        <is>
          <t>SÖDERMANLANDS LÄN</t>
        </is>
      </c>
      <c r="G2324" t="inlineStr">
        <is>
          <t>ESKILSTUNA</t>
        </is>
      </c>
      <c r="I2324" t="n">
        <v>1.1</v>
      </c>
      <c r="J2324" t="n">
        <v>0</v>
      </c>
      <c r="K2324" t="n">
        <v>0</v>
      </c>
      <c r="L2324" t="n">
        <v>0</v>
      </c>
      <c r="M2324" t="n">
        <v>0</v>
      </c>
      <c r="N2324" t="n">
        <v>0</v>
      </c>
      <c r="O2324" t="n">
        <v>0</v>
      </c>
      <c r="P2324" t="n">
        <v>0</v>
      </c>
      <c r="Q2324" t="n">
        <v>0</v>
      </c>
      <c r="R2324" t="n">
        <v>0</v>
      </c>
      <c r="S2324" t="n">
        <v>0</v>
      </c>
      <c r="T2324" t="n">
        <v>0</v>
      </c>
      <c r="U2324" t="n">
        <v>0</v>
      </c>
      <c r="V2324" s="2" t="inlineStr"/>
    </row>
    <row r="2325" ht="15" customHeight="1">
      <c r="A2325" t="inlineStr">
        <is>
          <t>A 60609-2022</t>
        </is>
      </c>
      <c r="B2325" t="inlineStr">
        <is>
          <t>avverkningsanmälan</t>
        </is>
      </c>
      <c r="C2325" t="inlineStr">
        <is>
          <t>Föryngringsavverkning</t>
        </is>
      </c>
      <c r="D2325" s="1" t="n">
        <v>44911</v>
      </c>
      <c r="E2325" s="1" t="n">
        <v>46313</v>
      </c>
      <c r="F2325" t="inlineStr">
        <is>
          <t>SÖDERMANLANDS LÄN</t>
        </is>
      </c>
      <c r="G2325" t="inlineStr">
        <is>
          <t>FLEN</t>
        </is>
      </c>
      <c r="H2325" t="inlineStr">
        <is>
          <t>Holmen skog AB</t>
        </is>
      </c>
      <c r="I2325" t="n">
        <v>0.7</v>
      </c>
      <c r="J2325" t="n">
        <v>0</v>
      </c>
      <c r="K2325" t="n">
        <v>0</v>
      </c>
      <c r="L2325" t="n">
        <v>0</v>
      </c>
      <c r="M2325" t="n">
        <v>0</v>
      </c>
      <c r="N2325" t="n">
        <v>0</v>
      </c>
      <c r="O2325" t="n">
        <v>0</v>
      </c>
      <c r="P2325" t="n">
        <v>0</v>
      </c>
      <c r="Q2325" t="n">
        <v>0</v>
      </c>
      <c r="R2325" t="n">
        <v>0</v>
      </c>
      <c r="S2325" t="n">
        <v>0</v>
      </c>
      <c r="T2325" t="n">
        <v>0</v>
      </c>
      <c r="U2325" t="n">
        <v>0</v>
      </c>
      <c r="V2325" s="2" t="inlineStr"/>
    </row>
    <row r="2326" ht="15" customHeight="1">
      <c r="A2326" t="inlineStr">
        <is>
          <t>A 13841-2026</t>
        </is>
      </c>
      <c r="B2326" t="inlineStr">
        <is>
          <t>avverkningsanmälan</t>
        </is>
      </c>
      <c r="C2326" t="inlineStr">
        <is>
          <t>Föryngringsavverkning</t>
        </is>
      </c>
      <c r="D2326" s="1" t="n">
        <v>46098</v>
      </c>
      <c r="E2326" s="1" t="n">
        <v>46313</v>
      </c>
      <c r="F2326" t="inlineStr">
        <is>
          <t>SÖDERMANLANDS LÄN</t>
        </is>
      </c>
      <c r="G2326" t="inlineStr">
        <is>
          <t>KATRINEHOLM</t>
        </is>
      </c>
      <c r="I2326" t="n">
        <v>0.7</v>
      </c>
      <c r="J2326" t="n">
        <v>0</v>
      </c>
      <c r="K2326" t="n">
        <v>0</v>
      </c>
      <c r="L2326" t="n">
        <v>0</v>
      </c>
      <c r="M2326" t="n">
        <v>0</v>
      </c>
      <c r="N2326" t="n">
        <v>0</v>
      </c>
      <c r="O2326" t="n">
        <v>0</v>
      </c>
      <c r="P2326" t="n">
        <v>0</v>
      </c>
      <c r="Q2326" t="n">
        <v>0</v>
      </c>
      <c r="R2326" t="n">
        <v>0</v>
      </c>
      <c r="S2326" t="n">
        <v>0</v>
      </c>
      <c r="T2326" t="n">
        <v>0</v>
      </c>
      <c r="U2326" t="n">
        <v>0</v>
      </c>
      <c r="V2326" s="2" t="inlineStr"/>
    </row>
    <row r="2327" ht="15" customHeight="1">
      <c r="A2327" t="inlineStr">
        <is>
          <t>A 68024-2021</t>
        </is>
      </c>
      <c r="B2327" t="inlineStr">
        <is>
          <t>avverkningsanmälan</t>
        </is>
      </c>
      <c r="C2327" t="inlineStr">
        <is>
          <t>Föryngringsavverkning</t>
        </is>
      </c>
      <c r="D2327" s="1" t="n">
        <v>44525</v>
      </c>
      <c r="E2327" s="1" t="n">
        <v>46313</v>
      </c>
      <c r="F2327" t="inlineStr">
        <is>
          <t>SÖDERMANLANDS LÄN</t>
        </is>
      </c>
      <c r="G2327" t="inlineStr">
        <is>
          <t>NYKÖPING</t>
        </is>
      </c>
      <c r="I2327" t="n">
        <v>0.8</v>
      </c>
      <c r="J2327" t="n">
        <v>0</v>
      </c>
      <c r="K2327" t="n">
        <v>0</v>
      </c>
      <c r="L2327" t="n">
        <v>0</v>
      </c>
      <c r="M2327" t="n">
        <v>0</v>
      </c>
      <c r="N2327" t="n">
        <v>0</v>
      </c>
      <c r="O2327" t="n">
        <v>0</v>
      </c>
      <c r="P2327" t="n">
        <v>0</v>
      </c>
      <c r="Q2327" t="n">
        <v>0</v>
      </c>
      <c r="R2327" t="n">
        <v>0</v>
      </c>
      <c r="S2327" t="n">
        <v>0</v>
      </c>
      <c r="T2327" t="n">
        <v>0</v>
      </c>
      <c r="U2327" t="n">
        <v>0</v>
      </c>
      <c r="V2327" s="2" t="inlineStr"/>
    </row>
    <row r="2328" ht="15" customHeight="1">
      <c r="A2328" t="inlineStr">
        <is>
          <t>A 68030-2021</t>
        </is>
      </c>
      <c r="B2328" t="inlineStr">
        <is>
          <t>avverkningsanmälan</t>
        </is>
      </c>
      <c r="C2328" t="inlineStr">
        <is>
          <t>Föryngringsavverkning</t>
        </is>
      </c>
      <c r="D2328" s="1" t="n">
        <v>44525</v>
      </c>
      <c r="E2328" s="1" t="n">
        <v>46313</v>
      </c>
      <c r="F2328" t="inlineStr">
        <is>
          <t>SÖDERMANLANDS LÄN</t>
        </is>
      </c>
      <c r="G2328" t="inlineStr">
        <is>
          <t>NYKÖPING</t>
        </is>
      </c>
      <c r="I2328" t="n">
        <v>3.7</v>
      </c>
      <c r="J2328" t="n">
        <v>0</v>
      </c>
      <c r="K2328" t="n">
        <v>0</v>
      </c>
      <c r="L2328" t="n">
        <v>0</v>
      </c>
      <c r="M2328" t="n">
        <v>0</v>
      </c>
      <c r="N2328" t="n">
        <v>0</v>
      </c>
      <c r="O2328" t="n">
        <v>0</v>
      </c>
      <c r="P2328" t="n">
        <v>0</v>
      </c>
      <c r="Q2328" t="n">
        <v>0</v>
      </c>
      <c r="R2328" t="n">
        <v>0</v>
      </c>
      <c r="S2328" t="n">
        <v>0</v>
      </c>
      <c r="T2328" t="n">
        <v>0</v>
      </c>
      <c r="U2328" t="n">
        <v>0</v>
      </c>
      <c r="V2328" s="2" t="inlineStr"/>
    </row>
    <row r="2329" ht="15" customHeight="1">
      <c r="A2329" t="inlineStr">
        <is>
          <t>A 32316-2023</t>
        </is>
      </c>
      <c r="B2329" t="inlineStr">
        <is>
          <t>avverkningsanmälan</t>
        </is>
      </c>
      <c r="C2329" t="inlineStr">
        <is>
          <t>Föryngringsavverkning</t>
        </is>
      </c>
      <c r="D2329" s="1" t="n">
        <v>45120</v>
      </c>
      <c r="E2329" s="1" t="n">
        <v>46313</v>
      </c>
      <c r="F2329" t="inlineStr">
        <is>
          <t>SÖDERMANLANDS LÄN</t>
        </is>
      </c>
      <c r="G2329" t="inlineStr">
        <is>
          <t>VINGÅKER</t>
        </is>
      </c>
      <c r="H2329" t="inlineStr">
        <is>
          <t>Sveaskog</t>
        </is>
      </c>
      <c r="I2329" t="n">
        <v>1.4</v>
      </c>
      <c r="J2329" t="n">
        <v>0</v>
      </c>
      <c r="K2329" t="n">
        <v>0</v>
      </c>
      <c r="L2329" t="n">
        <v>0</v>
      </c>
      <c r="M2329" t="n">
        <v>0</v>
      </c>
      <c r="N2329" t="n">
        <v>0</v>
      </c>
      <c r="O2329" t="n">
        <v>0</v>
      </c>
      <c r="P2329" t="n">
        <v>0</v>
      </c>
      <c r="Q2329" t="n">
        <v>0</v>
      </c>
      <c r="R2329" t="n">
        <v>0</v>
      </c>
      <c r="S2329" t="n">
        <v>0</v>
      </c>
      <c r="T2329" t="n">
        <v>0</v>
      </c>
      <c r="U2329" t="n">
        <v>0</v>
      </c>
      <c r="V2329" s="2" t="inlineStr"/>
    </row>
    <row r="2330" ht="15" customHeight="1">
      <c r="A2330" t="inlineStr">
        <is>
          <t>A 28108-2026</t>
        </is>
      </c>
      <c r="B2330" t="inlineStr">
        <is>
          <t>avverkningsanmälan</t>
        </is>
      </c>
      <c r="C2330" t="inlineStr">
        <is>
          <t>Avverkning för annat ändamål</t>
        </is>
      </c>
      <c r="D2330" s="1" t="n">
        <v>46195</v>
      </c>
      <c r="E2330" s="1" t="n">
        <v>46313</v>
      </c>
      <c r="F2330" t="inlineStr">
        <is>
          <t>SÖDERMANLANDS LÄN</t>
        </is>
      </c>
      <c r="G2330" t="inlineStr">
        <is>
          <t>STRÄNGNÄS</t>
        </is>
      </c>
      <c r="H2330" t="inlineStr">
        <is>
          <t>Övriga Aktiebolag</t>
        </is>
      </c>
      <c r="I2330" t="n">
        <v>0.3</v>
      </c>
      <c r="J2330" t="n">
        <v>0</v>
      </c>
      <c r="K2330" t="n">
        <v>0</v>
      </c>
      <c r="L2330" t="n">
        <v>0</v>
      </c>
      <c r="M2330" t="n">
        <v>0</v>
      </c>
      <c r="N2330" t="n">
        <v>0</v>
      </c>
      <c r="O2330" t="n">
        <v>0</v>
      </c>
      <c r="P2330" t="n">
        <v>0</v>
      </c>
      <c r="Q2330" t="n">
        <v>0</v>
      </c>
      <c r="R2330" t="n">
        <v>0</v>
      </c>
      <c r="S2330" t="n">
        <v>0</v>
      </c>
      <c r="T2330" t="n">
        <v>0</v>
      </c>
      <c r="U2330" t="n">
        <v>0</v>
      </c>
      <c r="V2330" s="2" t="inlineStr"/>
    </row>
    <row r="2331" ht="15" customHeight="1">
      <c r="A2331" t="inlineStr">
        <is>
          <t>A 45926-2022</t>
        </is>
      </c>
      <c r="B2331" t="inlineStr">
        <is>
          <t>avverkningsanmälan</t>
        </is>
      </c>
      <c r="C2331" t="inlineStr">
        <is>
          <t>Föryngringsavverkning</t>
        </is>
      </c>
      <c r="D2331" s="1" t="n">
        <v>44846</v>
      </c>
      <c r="E2331" s="1" t="n">
        <v>46313</v>
      </c>
      <c r="F2331" t="inlineStr">
        <is>
          <t>SÖDERMANLANDS LÄN</t>
        </is>
      </c>
      <c r="G2331" t="inlineStr">
        <is>
          <t>NYKÖPING</t>
        </is>
      </c>
      <c r="I2331" t="n">
        <v>0.5</v>
      </c>
      <c r="J2331" t="n">
        <v>0</v>
      </c>
      <c r="K2331" t="n">
        <v>0</v>
      </c>
      <c r="L2331" t="n">
        <v>0</v>
      </c>
      <c r="M2331" t="n">
        <v>0</v>
      </c>
      <c r="N2331" t="n">
        <v>0</v>
      </c>
      <c r="O2331" t="n">
        <v>0</v>
      </c>
      <c r="P2331" t="n">
        <v>0</v>
      </c>
      <c r="Q2331" t="n">
        <v>0</v>
      </c>
      <c r="R2331" t="n">
        <v>0</v>
      </c>
      <c r="S2331" t="n">
        <v>0</v>
      </c>
      <c r="T2331" t="n">
        <v>0</v>
      </c>
      <c r="U2331" t="n">
        <v>0</v>
      </c>
      <c r="V2331" s="2" t="inlineStr"/>
    </row>
    <row r="2332" ht="15" customHeight="1">
      <c r="A2332" t="inlineStr">
        <is>
          <t>A 43387-2022</t>
        </is>
      </c>
      <c r="B2332" t="inlineStr">
        <is>
          <t>avverkningsanmälan</t>
        </is>
      </c>
      <c r="C2332" t="inlineStr">
        <is>
          <t>Föryngringsavverkning</t>
        </is>
      </c>
      <c r="D2332" s="1" t="n">
        <v>44834</v>
      </c>
      <c r="E2332" s="1" t="n">
        <v>46313</v>
      </c>
      <c r="F2332" t="inlineStr">
        <is>
          <t>SÖDERMANLANDS LÄN</t>
        </is>
      </c>
      <c r="G2332" t="inlineStr">
        <is>
          <t>STRÄNGNÄS</t>
        </is>
      </c>
      <c r="I2332" t="n">
        <v>3.3</v>
      </c>
      <c r="J2332" t="n">
        <v>0</v>
      </c>
      <c r="K2332" t="n">
        <v>0</v>
      </c>
      <c r="L2332" t="n">
        <v>0</v>
      </c>
      <c r="M2332" t="n">
        <v>0</v>
      </c>
      <c r="N2332" t="n">
        <v>0</v>
      </c>
      <c r="O2332" t="n">
        <v>0</v>
      </c>
      <c r="P2332" t="n">
        <v>0</v>
      </c>
      <c r="Q2332" t="n">
        <v>0</v>
      </c>
      <c r="R2332" t="n">
        <v>0</v>
      </c>
      <c r="S2332" t="n">
        <v>0</v>
      </c>
      <c r="T2332" t="n">
        <v>0</v>
      </c>
      <c r="U2332" t="n">
        <v>0</v>
      </c>
      <c r="V2332" s="2" t="inlineStr"/>
    </row>
    <row r="2333" ht="15" customHeight="1">
      <c r="A2333" t="inlineStr">
        <is>
          <t>A 13632-2026</t>
        </is>
      </c>
      <c r="B2333" t="inlineStr">
        <is>
          <t>avverkningsanmälan</t>
        </is>
      </c>
      <c r="C2333" t="inlineStr">
        <is>
          <t>Föryngringsavverkning</t>
        </is>
      </c>
      <c r="D2333" s="1" t="n">
        <v>46097</v>
      </c>
      <c r="E2333" s="1" t="n">
        <v>46313</v>
      </c>
      <c r="F2333" t="inlineStr">
        <is>
          <t>SÖDERMANLANDS LÄN</t>
        </is>
      </c>
      <c r="G2333" t="inlineStr">
        <is>
          <t>KATRINEHOLM</t>
        </is>
      </c>
      <c r="I2333" t="n">
        <v>0.8</v>
      </c>
      <c r="J2333" t="n">
        <v>0</v>
      </c>
      <c r="K2333" t="n">
        <v>0</v>
      </c>
      <c r="L2333" t="n">
        <v>0</v>
      </c>
      <c r="M2333" t="n">
        <v>0</v>
      </c>
      <c r="N2333" t="n">
        <v>0</v>
      </c>
      <c r="O2333" t="n">
        <v>0</v>
      </c>
      <c r="P2333" t="n">
        <v>0</v>
      </c>
      <c r="Q2333" t="n">
        <v>0</v>
      </c>
      <c r="R2333" t="n">
        <v>0</v>
      </c>
      <c r="S2333" t="n">
        <v>0</v>
      </c>
      <c r="T2333" t="n">
        <v>0</v>
      </c>
      <c r="U2333" t="n">
        <v>0</v>
      </c>
      <c r="V2333" s="2" t="inlineStr"/>
    </row>
    <row r="2334" ht="15" customHeight="1">
      <c r="A2334" t="inlineStr">
        <is>
          <t>A 13655-2026</t>
        </is>
      </c>
      <c r="B2334" t="inlineStr">
        <is>
          <t>avverkningsanmälan</t>
        </is>
      </c>
      <c r="C2334" t="inlineStr">
        <is>
          <t>Avverkning för att bevara och utveckla /försöksver</t>
        </is>
      </c>
      <c r="D2334" s="1" t="n">
        <v>46097</v>
      </c>
      <c r="E2334" s="1" t="n">
        <v>46313</v>
      </c>
      <c r="F2334" t="inlineStr">
        <is>
          <t>SÖDERMANLANDS LÄN</t>
        </is>
      </c>
      <c r="G2334" t="inlineStr">
        <is>
          <t>KATRINEHOLM</t>
        </is>
      </c>
      <c r="I2334" t="n">
        <v>0.6</v>
      </c>
      <c r="J2334" t="n">
        <v>0</v>
      </c>
      <c r="K2334" t="n">
        <v>0</v>
      </c>
      <c r="L2334" t="n">
        <v>0</v>
      </c>
      <c r="M2334" t="n">
        <v>0</v>
      </c>
      <c r="N2334" t="n">
        <v>0</v>
      </c>
      <c r="O2334" t="n">
        <v>0</v>
      </c>
      <c r="P2334" t="n">
        <v>0</v>
      </c>
      <c r="Q2334" t="n">
        <v>0</v>
      </c>
      <c r="R2334" t="n">
        <v>0</v>
      </c>
      <c r="S2334" t="n">
        <v>0</v>
      </c>
      <c r="T2334" t="n">
        <v>0</v>
      </c>
      <c r="U2334" t="n">
        <v>0</v>
      </c>
      <c r="V2334" s="2" t="inlineStr"/>
    </row>
    <row r="2335" ht="15" customHeight="1">
      <c r="A2335" t="inlineStr">
        <is>
          <t>A 2225-2025</t>
        </is>
      </c>
      <c r="B2335" t="inlineStr">
        <is>
          <t>avverkningsanmälan</t>
        </is>
      </c>
      <c r="C2335" t="inlineStr">
        <is>
          <t>Föryngringsavverkning</t>
        </is>
      </c>
      <c r="D2335" s="1" t="n">
        <v>45673</v>
      </c>
      <c r="E2335" s="1" t="n">
        <v>46313</v>
      </c>
      <c r="F2335" t="inlineStr">
        <is>
          <t>SÖDERMANLANDS LÄN</t>
        </is>
      </c>
      <c r="G2335" t="inlineStr">
        <is>
          <t>GNESTA</t>
        </is>
      </c>
      <c r="I2335" t="n">
        <v>1.4</v>
      </c>
      <c r="J2335" t="n">
        <v>0</v>
      </c>
      <c r="K2335" t="n">
        <v>0</v>
      </c>
      <c r="L2335" t="n">
        <v>0</v>
      </c>
      <c r="M2335" t="n">
        <v>0</v>
      </c>
      <c r="N2335" t="n">
        <v>0</v>
      </c>
      <c r="O2335" t="n">
        <v>0</v>
      </c>
      <c r="P2335" t="n">
        <v>0</v>
      </c>
      <c r="Q2335" t="n">
        <v>0</v>
      </c>
      <c r="R2335" t="n">
        <v>0</v>
      </c>
      <c r="S2335" t="n">
        <v>0</v>
      </c>
      <c r="T2335" t="n">
        <v>0</v>
      </c>
      <c r="U2335" t="n">
        <v>0</v>
      </c>
      <c r="V2335" s="2" t="inlineStr"/>
    </row>
    <row r="2336" ht="15" customHeight="1">
      <c r="A2336" t="inlineStr">
        <is>
          <t>A 6739-2023</t>
        </is>
      </c>
      <c r="B2336" t="inlineStr">
        <is>
          <t>avverkningsanmälan</t>
        </is>
      </c>
      <c r="C2336" t="inlineStr">
        <is>
          <t>Föryngringsavverkning</t>
        </is>
      </c>
      <c r="D2336" s="1" t="n">
        <v>44966</v>
      </c>
      <c r="E2336" s="1" t="n">
        <v>46313</v>
      </c>
      <c r="F2336" t="inlineStr">
        <is>
          <t>SÖDERMANLANDS LÄN</t>
        </is>
      </c>
      <c r="G2336" t="inlineStr">
        <is>
          <t>ESKILSTUNA</t>
        </is>
      </c>
      <c r="I2336" t="n">
        <v>2</v>
      </c>
      <c r="J2336" t="n">
        <v>0</v>
      </c>
      <c r="K2336" t="n">
        <v>0</v>
      </c>
      <c r="L2336" t="n">
        <v>0</v>
      </c>
      <c r="M2336" t="n">
        <v>0</v>
      </c>
      <c r="N2336" t="n">
        <v>0</v>
      </c>
      <c r="O2336" t="n">
        <v>0</v>
      </c>
      <c r="P2336" t="n">
        <v>0</v>
      </c>
      <c r="Q2336" t="n">
        <v>0</v>
      </c>
      <c r="R2336" t="n">
        <v>0</v>
      </c>
      <c r="S2336" t="n">
        <v>0</v>
      </c>
      <c r="T2336" t="n">
        <v>0</v>
      </c>
      <c r="U2336" t="n">
        <v>0</v>
      </c>
      <c r="V2336" s="2" t="inlineStr"/>
    </row>
    <row r="2337" ht="15" customHeight="1">
      <c r="A2337" t="inlineStr">
        <is>
          <t>A 47581-2024</t>
        </is>
      </c>
      <c r="B2337" t="inlineStr">
        <is>
          <t>avverkningsanmälan</t>
        </is>
      </c>
      <c r="C2337" t="inlineStr">
        <is>
          <t>Föryngringsavverkning</t>
        </is>
      </c>
      <c r="D2337" s="1" t="n">
        <v>45587</v>
      </c>
      <c r="E2337" s="1" t="n">
        <v>46313</v>
      </c>
      <c r="F2337" t="inlineStr">
        <is>
          <t>SÖDERMANLANDS LÄN</t>
        </is>
      </c>
      <c r="G2337" t="inlineStr">
        <is>
          <t>ESKILSTUNA</t>
        </is>
      </c>
      <c r="I2337" t="n">
        <v>3.2</v>
      </c>
      <c r="J2337" t="n">
        <v>0</v>
      </c>
      <c r="K2337" t="n">
        <v>0</v>
      </c>
      <c r="L2337" t="n">
        <v>0</v>
      </c>
      <c r="M2337" t="n">
        <v>0</v>
      </c>
      <c r="N2337" t="n">
        <v>0</v>
      </c>
      <c r="O2337" t="n">
        <v>0</v>
      </c>
      <c r="P2337" t="n">
        <v>0</v>
      </c>
      <c r="Q2337" t="n">
        <v>0</v>
      </c>
      <c r="R2337" t="n">
        <v>0</v>
      </c>
      <c r="S2337" t="n">
        <v>0</v>
      </c>
      <c r="T2337" t="n">
        <v>0</v>
      </c>
      <c r="U2337" t="n">
        <v>0</v>
      </c>
      <c r="V2337" s="2" t="inlineStr"/>
    </row>
    <row r="2338" ht="15" customHeight="1">
      <c r="A2338" t="inlineStr">
        <is>
          <t>A 14402-2026</t>
        </is>
      </c>
      <c r="B2338" t="inlineStr">
        <is>
          <t>avverkningsanmälan</t>
        </is>
      </c>
      <c r="C2338" t="inlineStr">
        <is>
          <t>Föryngringsavverkning</t>
        </is>
      </c>
      <c r="D2338" s="1" t="n">
        <v>46100</v>
      </c>
      <c r="E2338" s="1" t="n">
        <v>46313</v>
      </c>
      <c r="F2338" t="inlineStr">
        <is>
          <t>SÖDERMANLANDS LÄN</t>
        </is>
      </c>
      <c r="G2338" t="inlineStr">
        <is>
          <t>NYKÖPING</t>
        </is>
      </c>
      <c r="I2338" t="n">
        <v>1.9</v>
      </c>
      <c r="J2338" t="n">
        <v>0</v>
      </c>
      <c r="K2338" t="n">
        <v>0</v>
      </c>
      <c r="L2338" t="n">
        <v>0</v>
      </c>
      <c r="M2338" t="n">
        <v>0</v>
      </c>
      <c r="N2338" t="n">
        <v>0</v>
      </c>
      <c r="O2338" t="n">
        <v>0</v>
      </c>
      <c r="P2338" t="n">
        <v>0</v>
      </c>
      <c r="Q2338" t="n">
        <v>0</v>
      </c>
      <c r="R2338" t="n">
        <v>0</v>
      </c>
      <c r="S2338" t="n">
        <v>0</v>
      </c>
      <c r="T2338" t="n">
        <v>0</v>
      </c>
      <c r="U2338" t="n">
        <v>0</v>
      </c>
      <c r="V2338" s="2" t="inlineStr"/>
    </row>
    <row r="2339" ht="15" customHeight="1">
      <c r="A2339" t="inlineStr">
        <is>
          <t>A 51699-2023</t>
        </is>
      </c>
      <c r="B2339" t="inlineStr">
        <is>
          <t>avverkningsanmälan</t>
        </is>
      </c>
      <c r="C2339" t="inlineStr">
        <is>
          <t>Föryngringsavverkning</t>
        </is>
      </c>
      <c r="D2339" s="1" t="n">
        <v>45222</v>
      </c>
      <c r="E2339" s="1" t="n">
        <v>46313</v>
      </c>
      <c r="F2339" t="inlineStr">
        <is>
          <t>SÖDERMANLANDS LÄN</t>
        </is>
      </c>
      <c r="G2339" t="inlineStr">
        <is>
          <t>NYKÖPING</t>
        </is>
      </c>
      <c r="H2339" t="inlineStr">
        <is>
          <t>Holmen skog AB</t>
        </is>
      </c>
      <c r="I2339" t="n">
        <v>0.9</v>
      </c>
      <c r="J2339" t="n">
        <v>0</v>
      </c>
      <c r="K2339" t="n">
        <v>0</v>
      </c>
      <c r="L2339" t="n">
        <v>0</v>
      </c>
      <c r="M2339" t="n">
        <v>0</v>
      </c>
      <c r="N2339" t="n">
        <v>0</v>
      </c>
      <c r="O2339" t="n">
        <v>0</v>
      </c>
      <c r="P2339" t="n">
        <v>0</v>
      </c>
      <c r="Q2339" t="n">
        <v>0</v>
      </c>
      <c r="R2339" t="n">
        <v>0</v>
      </c>
      <c r="S2339" t="n">
        <v>0</v>
      </c>
      <c r="T2339" t="n">
        <v>0</v>
      </c>
      <c r="U2339" t="n">
        <v>0</v>
      </c>
      <c r="V2339" s="2" t="inlineStr"/>
    </row>
    <row r="2340" ht="15" customHeight="1">
      <c r="A2340" t="inlineStr">
        <is>
          <t>A 31214-2023</t>
        </is>
      </c>
      <c r="B2340" t="inlineStr">
        <is>
          <t>avverkningsanmälan</t>
        </is>
      </c>
      <c r="C2340" t="inlineStr">
        <is>
          <t>Föryngringsavverkning</t>
        </is>
      </c>
      <c r="D2340" s="1" t="n">
        <v>45114</v>
      </c>
      <c r="E2340" s="1" t="n">
        <v>46313</v>
      </c>
      <c r="F2340" t="inlineStr">
        <is>
          <t>SÖDERMANLANDS LÄN</t>
        </is>
      </c>
      <c r="G2340" t="inlineStr">
        <is>
          <t>FLEN</t>
        </is>
      </c>
      <c r="I2340" t="n">
        <v>4.2</v>
      </c>
      <c r="J2340" t="n">
        <v>0</v>
      </c>
      <c r="K2340" t="n">
        <v>0</v>
      </c>
      <c r="L2340" t="n">
        <v>0</v>
      </c>
      <c r="M2340" t="n">
        <v>0</v>
      </c>
      <c r="N2340" t="n">
        <v>0</v>
      </c>
      <c r="O2340" t="n">
        <v>0</v>
      </c>
      <c r="P2340" t="n">
        <v>0</v>
      </c>
      <c r="Q2340" t="n">
        <v>0</v>
      </c>
      <c r="R2340" t="n">
        <v>0</v>
      </c>
      <c r="S2340" t="n">
        <v>0</v>
      </c>
      <c r="T2340" t="n">
        <v>0</v>
      </c>
      <c r="U2340" t="n">
        <v>0</v>
      </c>
      <c r="V2340" s="2" t="inlineStr"/>
    </row>
    <row r="2341" ht="15" customHeight="1">
      <c r="A2341" t="inlineStr">
        <is>
          <t>A 40402-2022</t>
        </is>
      </c>
      <c r="B2341" t="inlineStr">
        <is>
          <t>avverkningsanmälan</t>
        </is>
      </c>
      <c r="C2341" t="inlineStr">
        <is>
          <t>Föryngringsavverkning</t>
        </is>
      </c>
      <c r="D2341" s="1" t="n">
        <v>44823</v>
      </c>
      <c r="E2341" s="1" t="n">
        <v>46313</v>
      </c>
      <c r="F2341" t="inlineStr">
        <is>
          <t>SÖDERMANLANDS LÄN</t>
        </is>
      </c>
      <c r="G2341" t="inlineStr">
        <is>
          <t>KATRINEHOLM</t>
        </is>
      </c>
      <c r="I2341" t="n">
        <v>1.6</v>
      </c>
      <c r="J2341" t="n">
        <v>0</v>
      </c>
      <c r="K2341" t="n">
        <v>0</v>
      </c>
      <c r="L2341" t="n">
        <v>0</v>
      </c>
      <c r="M2341" t="n">
        <v>0</v>
      </c>
      <c r="N2341" t="n">
        <v>0</v>
      </c>
      <c r="O2341" t="n">
        <v>0</v>
      </c>
      <c r="P2341" t="n">
        <v>0</v>
      </c>
      <c r="Q2341" t="n">
        <v>0</v>
      </c>
      <c r="R2341" t="n">
        <v>0</v>
      </c>
      <c r="S2341" t="n">
        <v>0</v>
      </c>
      <c r="T2341" t="n">
        <v>0</v>
      </c>
      <c r="U2341" t="n">
        <v>0</v>
      </c>
      <c r="V2341" s="2" t="inlineStr"/>
    </row>
    <row r="2342" ht="15" customHeight="1">
      <c r="A2342" t="inlineStr">
        <is>
          <t>A 5485-2023</t>
        </is>
      </c>
      <c r="B2342" t="inlineStr">
        <is>
          <t>avverkningsanmälan</t>
        </is>
      </c>
      <c r="C2342" t="inlineStr">
        <is>
          <t>Föryngringsavverkning</t>
        </is>
      </c>
      <c r="D2342" s="1" t="n">
        <v>44960</v>
      </c>
      <c r="E2342" s="1" t="n">
        <v>46313</v>
      </c>
      <c r="F2342" t="inlineStr">
        <is>
          <t>SÖDERMANLANDS LÄN</t>
        </is>
      </c>
      <c r="G2342" t="inlineStr">
        <is>
          <t>NYKÖPING</t>
        </is>
      </c>
      <c r="I2342" t="n">
        <v>0.9</v>
      </c>
      <c r="J2342" t="n">
        <v>0</v>
      </c>
      <c r="K2342" t="n">
        <v>0</v>
      </c>
      <c r="L2342" t="n">
        <v>0</v>
      </c>
      <c r="M2342" t="n">
        <v>0</v>
      </c>
      <c r="N2342" t="n">
        <v>0</v>
      </c>
      <c r="O2342" t="n">
        <v>0</v>
      </c>
      <c r="P2342" t="n">
        <v>0</v>
      </c>
      <c r="Q2342" t="n">
        <v>0</v>
      </c>
      <c r="R2342" t="n">
        <v>0</v>
      </c>
      <c r="S2342" t="n">
        <v>0</v>
      </c>
      <c r="T2342" t="n">
        <v>0</v>
      </c>
      <c r="U2342" t="n">
        <v>0</v>
      </c>
      <c r="V2342" s="2" t="inlineStr"/>
    </row>
    <row r="2343" ht="15" customHeight="1">
      <c r="A2343" t="inlineStr">
        <is>
          <t>A 5526-2023</t>
        </is>
      </c>
      <c r="B2343" t="inlineStr">
        <is>
          <t>avverkningsanmälan</t>
        </is>
      </c>
      <c r="C2343" t="inlineStr">
        <is>
          <t>Föryngringsavverkning</t>
        </is>
      </c>
      <c r="D2343" s="1" t="n">
        <v>44960</v>
      </c>
      <c r="E2343" s="1" t="n">
        <v>46313</v>
      </c>
      <c r="F2343" t="inlineStr">
        <is>
          <t>SÖDERMANLANDS LÄN</t>
        </is>
      </c>
      <c r="G2343" t="inlineStr">
        <is>
          <t>NYKÖPING</t>
        </is>
      </c>
      <c r="I2343" t="n">
        <v>1.7</v>
      </c>
      <c r="J2343" t="n">
        <v>0</v>
      </c>
      <c r="K2343" t="n">
        <v>0</v>
      </c>
      <c r="L2343" t="n">
        <v>0</v>
      </c>
      <c r="M2343" t="n">
        <v>0</v>
      </c>
      <c r="N2343" t="n">
        <v>0</v>
      </c>
      <c r="O2343" t="n">
        <v>0</v>
      </c>
      <c r="P2343" t="n">
        <v>0</v>
      </c>
      <c r="Q2343" t="n">
        <v>0</v>
      </c>
      <c r="R2343" t="n">
        <v>0</v>
      </c>
      <c r="S2343" t="n">
        <v>0</v>
      </c>
      <c r="T2343" t="n">
        <v>0</v>
      </c>
      <c r="U2343" t="n">
        <v>0</v>
      </c>
      <c r="V2343" s="2" t="inlineStr"/>
    </row>
    <row r="2344" ht="15" customHeight="1">
      <c r="A2344" t="inlineStr">
        <is>
          <t>A 25525-2024</t>
        </is>
      </c>
      <c r="B2344" t="inlineStr">
        <is>
          <t>avverkningsanmälan</t>
        </is>
      </c>
      <c r="C2344" t="inlineStr">
        <is>
          <t>Avverkning för annat ändamål</t>
        </is>
      </c>
      <c r="D2344" s="1" t="n">
        <v>45463</v>
      </c>
      <c r="E2344" s="1" t="n">
        <v>46313</v>
      </c>
      <c r="F2344" t="inlineStr">
        <is>
          <t>SÖDERMANLANDS LÄN</t>
        </is>
      </c>
      <c r="G2344" t="inlineStr">
        <is>
          <t>GNESTA</t>
        </is>
      </c>
      <c r="I2344" t="n">
        <v>4.8</v>
      </c>
      <c r="J2344" t="n">
        <v>0</v>
      </c>
      <c r="K2344" t="n">
        <v>0</v>
      </c>
      <c r="L2344" t="n">
        <v>0</v>
      </c>
      <c r="M2344" t="n">
        <v>0</v>
      </c>
      <c r="N2344" t="n">
        <v>0</v>
      </c>
      <c r="O2344" t="n">
        <v>0</v>
      </c>
      <c r="P2344" t="n">
        <v>0</v>
      </c>
      <c r="Q2344" t="n">
        <v>0</v>
      </c>
      <c r="R2344" t="n">
        <v>0</v>
      </c>
      <c r="S2344" t="n">
        <v>0</v>
      </c>
      <c r="T2344" t="n">
        <v>0</v>
      </c>
      <c r="U2344" t="n">
        <v>0</v>
      </c>
      <c r="V2344" s="2" t="inlineStr"/>
    </row>
    <row r="2345" ht="15" customHeight="1">
      <c r="A2345" t="inlineStr">
        <is>
          <t>A 1912-2022</t>
        </is>
      </c>
      <c r="B2345" t="inlineStr">
        <is>
          <t>avverkningsanmälan</t>
        </is>
      </c>
      <c r="C2345" t="inlineStr">
        <is>
          <t>Föryngringsavverkning</t>
        </is>
      </c>
      <c r="D2345" s="1" t="n">
        <v>44575</v>
      </c>
      <c r="E2345" s="1" t="n">
        <v>46313</v>
      </c>
      <c r="F2345" t="inlineStr">
        <is>
          <t>SÖDERMANLANDS LÄN</t>
        </is>
      </c>
      <c r="G2345" t="inlineStr">
        <is>
          <t>NYKÖPING</t>
        </is>
      </c>
      <c r="I2345" t="n">
        <v>3.3</v>
      </c>
      <c r="J2345" t="n">
        <v>0</v>
      </c>
      <c r="K2345" t="n">
        <v>0</v>
      </c>
      <c r="L2345" t="n">
        <v>0</v>
      </c>
      <c r="M2345" t="n">
        <v>0</v>
      </c>
      <c r="N2345" t="n">
        <v>0</v>
      </c>
      <c r="O2345" t="n">
        <v>0</v>
      </c>
      <c r="P2345" t="n">
        <v>0</v>
      </c>
      <c r="Q2345" t="n">
        <v>0</v>
      </c>
      <c r="R2345" t="n">
        <v>0</v>
      </c>
      <c r="S2345" t="n">
        <v>0</v>
      </c>
      <c r="T2345" t="n">
        <v>0</v>
      </c>
      <c r="U2345" t="n">
        <v>0</v>
      </c>
      <c r="V2345" s="2" t="inlineStr"/>
    </row>
    <row r="2346" ht="15" customHeight="1">
      <c r="A2346" t="inlineStr">
        <is>
          <t>A 1589-2023</t>
        </is>
      </c>
      <c r="B2346" t="inlineStr">
        <is>
          <t>avverkningsanmälan</t>
        </is>
      </c>
      <c r="C2346" t="inlineStr">
        <is>
          <t>Föryngringsavverkning</t>
        </is>
      </c>
      <c r="D2346" s="1" t="n">
        <v>44937</v>
      </c>
      <c r="E2346" s="1" t="n">
        <v>46313</v>
      </c>
      <c r="F2346" t="inlineStr">
        <is>
          <t>SÖDERMANLANDS LÄN</t>
        </is>
      </c>
      <c r="G2346" t="inlineStr">
        <is>
          <t>TROSA</t>
        </is>
      </c>
      <c r="I2346" t="n">
        <v>7.1</v>
      </c>
      <c r="J2346" t="n">
        <v>0</v>
      </c>
      <c r="K2346" t="n">
        <v>0</v>
      </c>
      <c r="L2346" t="n">
        <v>0</v>
      </c>
      <c r="M2346" t="n">
        <v>0</v>
      </c>
      <c r="N2346" t="n">
        <v>0</v>
      </c>
      <c r="O2346" t="n">
        <v>0</v>
      </c>
      <c r="P2346" t="n">
        <v>0</v>
      </c>
      <c r="Q2346" t="n">
        <v>0</v>
      </c>
      <c r="R2346" t="n">
        <v>0</v>
      </c>
      <c r="S2346" t="n">
        <v>0</v>
      </c>
      <c r="T2346" t="n">
        <v>0</v>
      </c>
      <c r="U2346" t="n">
        <v>0</v>
      </c>
      <c r="V2346" s="2" t="inlineStr"/>
    </row>
    <row r="2347" ht="15" customHeight="1">
      <c r="A2347" t="inlineStr">
        <is>
          <t>A 27334-2023</t>
        </is>
      </c>
      <c r="B2347" t="inlineStr">
        <is>
          <t>avverkningsanmälan</t>
        </is>
      </c>
      <c r="C2347" t="inlineStr">
        <is>
          <t>Föryngringsavverkning</t>
        </is>
      </c>
      <c r="D2347" s="1" t="n">
        <v>45096</v>
      </c>
      <c r="E2347" s="1" t="n">
        <v>46313</v>
      </c>
      <c r="F2347" t="inlineStr">
        <is>
          <t>SÖDERMANLANDS LÄN</t>
        </is>
      </c>
      <c r="G2347" t="inlineStr">
        <is>
          <t>KATRINEHOLM</t>
        </is>
      </c>
      <c r="I2347" t="n">
        <v>1.6</v>
      </c>
      <c r="J2347" t="n">
        <v>0</v>
      </c>
      <c r="K2347" t="n">
        <v>0</v>
      </c>
      <c r="L2347" t="n">
        <v>0</v>
      </c>
      <c r="M2347" t="n">
        <v>0</v>
      </c>
      <c r="N2347" t="n">
        <v>0</v>
      </c>
      <c r="O2347" t="n">
        <v>0</v>
      </c>
      <c r="P2347" t="n">
        <v>0</v>
      </c>
      <c r="Q2347" t="n">
        <v>0</v>
      </c>
      <c r="R2347" t="n">
        <v>0</v>
      </c>
      <c r="S2347" t="n">
        <v>0</v>
      </c>
      <c r="T2347" t="n">
        <v>0</v>
      </c>
      <c r="U2347" t="n">
        <v>0</v>
      </c>
      <c r="V2347" s="2" t="inlineStr"/>
    </row>
    <row r="2348" ht="15" customHeight="1">
      <c r="A2348" t="inlineStr">
        <is>
          <t>A 34615-2023</t>
        </is>
      </c>
      <c r="B2348" t="inlineStr">
        <is>
          <t>avverkningsanmälan</t>
        </is>
      </c>
      <c r="C2348" t="inlineStr">
        <is>
          <t>Föryngringsavverkning</t>
        </is>
      </c>
      <c r="D2348" s="1" t="n">
        <v>45140</v>
      </c>
      <c r="E2348" s="1" t="n">
        <v>46313</v>
      </c>
      <c r="F2348" t="inlineStr">
        <is>
          <t>SÖDERMANLANDS LÄN</t>
        </is>
      </c>
      <c r="G2348" t="inlineStr">
        <is>
          <t>GNESTA</t>
        </is>
      </c>
      <c r="I2348" t="n">
        <v>1.2</v>
      </c>
      <c r="J2348" t="n">
        <v>0</v>
      </c>
      <c r="K2348" t="n">
        <v>0</v>
      </c>
      <c r="L2348" t="n">
        <v>0</v>
      </c>
      <c r="M2348" t="n">
        <v>0</v>
      </c>
      <c r="N2348" t="n">
        <v>0</v>
      </c>
      <c r="O2348" t="n">
        <v>0</v>
      </c>
      <c r="P2348" t="n">
        <v>0</v>
      </c>
      <c r="Q2348" t="n">
        <v>0</v>
      </c>
      <c r="R2348" t="n">
        <v>0</v>
      </c>
      <c r="S2348" t="n">
        <v>0</v>
      </c>
      <c r="T2348" t="n">
        <v>0</v>
      </c>
      <c r="U2348" t="n">
        <v>0</v>
      </c>
      <c r="V2348" s="2" t="inlineStr"/>
    </row>
    <row r="2349" ht="15" customHeight="1">
      <c r="A2349" t="inlineStr">
        <is>
          <t>A 28316-2026</t>
        </is>
      </c>
      <c r="B2349" t="inlineStr">
        <is>
          <t>avverkningsanmälan</t>
        </is>
      </c>
      <c r="C2349" t="inlineStr">
        <is>
          <t>Föryngringsavverkning</t>
        </is>
      </c>
      <c r="D2349" s="1" t="n">
        <v>46196</v>
      </c>
      <c r="E2349" s="1" t="n">
        <v>46313</v>
      </c>
      <c r="F2349" t="inlineStr">
        <is>
          <t>SÖDERMANLANDS LÄN</t>
        </is>
      </c>
      <c r="G2349" t="inlineStr">
        <is>
          <t>FLEN</t>
        </is>
      </c>
      <c r="I2349" t="n">
        <v>3.8</v>
      </c>
      <c r="J2349" t="n">
        <v>0</v>
      </c>
      <c r="K2349" t="n">
        <v>0</v>
      </c>
      <c r="L2349" t="n">
        <v>0</v>
      </c>
      <c r="M2349" t="n">
        <v>0</v>
      </c>
      <c r="N2349" t="n">
        <v>0</v>
      </c>
      <c r="O2349" t="n">
        <v>0</v>
      </c>
      <c r="P2349" t="n">
        <v>0</v>
      </c>
      <c r="Q2349" t="n">
        <v>0</v>
      </c>
      <c r="R2349" t="n">
        <v>0</v>
      </c>
      <c r="S2349" t="n">
        <v>0</v>
      </c>
      <c r="T2349" t="n">
        <v>0</v>
      </c>
      <c r="U2349" t="n">
        <v>0</v>
      </c>
      <c r="V2349" s="2" t="inlineStr"/>
    </row>
    <row r="2350" ht="15" customHeight="1">
      <c r="A2350" t="inlineStr">
        <is>
          <t>A 8442-2023</t>
        </is>
      </c>
      <c r="B2350" t="inlineStr">
        <is>
          <t>avverkningsanmälan</t>
        </is>
      </c>
      <c r="C2350" t="inlineStr">
        <is>
          <t>Föryngringsavverkning</t>
        </is>
      </c>
      <c r="D2350" s="1" t="n">
        <v>44977</v>
      </c>
      <c r="E2350" s="1" t="n">
        <v>46313</v>
      </c>
      <c r="F2350" t="inlineStr">
        <is>
          <t>SÖDERMANLANDS LÄN</t>
        </is>
      </c>
      <c r="G2350" t="inlineStr">
        <is>
          <t>VINGÅKER</t>
        </is>
      </c>
      <c r="I2350" t="n">
        <v>2.4</v>
      </c>
      <c r="J2350" t="n">
        <v>0</v>
      </c>
      <c r="K2350" t="n">
        <v>0</v>
      </c>
      <c r="L2350" t="n">
        <v>0</v>
      </c>
      <c r="M2350" t="n">
        <v>0</v>
      </c>
      <c r="N2350" t="n">
        <v>0</v>
      </c>
      <c r="O2350" t="n">
        <v>0</v>
      </c>
      <c r="P2350" t="n">
        <v>0</v>
      </c>
      <c r="Q2350" t="n">
        <v>0</v>
      </c>
      <c r="R2350" t="n">
        <v>0</v>
      </c>
      <c r="S2350" t="n">
        <v>0</v>
      </c>
      <c r="T2350" t="n">
        <v>0</v>
      </c>
      <c r="U2350" t="n">
        <v>0</v>
      </c>
      <c r="V2350" s="2" t="inlineStr"/>
    </row>
    <row r="2351" ht="15" customHeight="1">
      <c r="A2351" t="inlineStr">
        <is>
          <t>A 27207-2023</t>
        </is>
      </c>
      <c r="B2351" t="inlineStr">
        <is>
          <t>avverkningsanmälan</t>
        </is>
      </c>
      <c r="C2351" t="inlineStr">
        <is>
          <t>Föryngringsavverkning</t>
        </is>
      </c>
      <c r="D2351" s="1" t="n">
        <v>45096</v>
      </c>
      <c r="E2351" s="1" t="n">
        <v>46313</v>
      </c>
      <c r="F2351" t="inlineStr">
        <is>
          <t>SÖDERMANLANDS LÄN</t>
        </is>
      </c>
      <c r="G2351" t="inlineStr">
        <is>
          <t>VINGÅKER</t>
        </is>
      </c>
      <c r="H2351" t="inlineStr">
        <is>
          <t>Sveaskog</t>
        </is>
      </c>
      <c r="I2351" t="n">
        <v>1.5</v>
      </c>
      <c r="J2351" t="n">
        <v>0</v>
      </c>
      <c r="K2351" t="n">
        <v>0</v>
      </c>
      <c r="L2351" t="n">
        <v>0</v>
      </c>
      <c r="M2351" t="n">
        <v>0</v>
      </c>
      <c r="N2351" t="n">
        <v>0</v>
      </c>
      <c r="O2351" t="n">
        <v>0</v>
      </c>
      <c r="P2351" t="n">
        <v>0</v>
      </c>
      <c r="Q2351" t="n">
        <v>0</v>
      </c>
      <c r="R2351" t="n">
        <v>0</v>
      </c>
      <c r="S2351" t="n">
        <v>0</v>
      </c>
      <c r="T2351" t="n">
        <v>0</v>
      </c>
      <c r="U2351" t="n">
        <v>0</v>
      </c>
      <c r="V2351" s="2" t="inlineStr"/>
    </row>
    <row r="2352" ht="15" customHeight="1">
      <c r="A2352" t="inlineStr">
        <is>
          <t>A 32279-2023</t>
        </is>
      </c>
      <c r="B2352" t="inlineStr">
        <is>
          <t>avverkningsanmälan</t>
        </is>
      </c>
      <c r="C2352" t="inlineStr">
        <is>
          <t>Föryngringsavverkning</t>
        </is>
      </c>
      <c r="D2352" s="1" t="n">
        <v>45109</v>
      </c>
      <c r="E2352" s="1" t="n">
        <v>46313</v>
      </c>
      <c r="F2352" t="inlineStr">
        <is>
          <t>SÖDERMANLANDS LÄN</t>
        </is>
      </c>
      <c r="G2352" t="inlineStr">
        <is>
          <t>VINGÅKER</t>
        </is>
      </c>
      <c r="I2352" t="n">
        <v>11.8</v>
      </c>
      <c r="J2352" t="n">
        <v>0</v>
      </c>
      <c r="K2352" t="n">
        <v>0</v>
      </c>
      <c r="L2352" t="n">
        <v>0</v>
      </c>
      <c r="M2352" t="n">
        <v>0</v>
      </c>
      <c r="N2352" t="n">
        <v>0</v>
      </c>
      <c r="O2352" t="n">
        <v>0</v>
      </c>
      <c r="P2352" t="n">
        <v>0</v>
      </c>
      <c r="Q2352" t="n">
        <v>0</v>
      </c>
      <c r="R2352" t="n">
        <v>0</v>
      </c>
      <c r="S2352" t="n">
        <v>0</v>
      </c>
      <c r="T2352" t="n">
        <v>0</v>
      </c>
      <c r="U2352" t="n">
        <v>0</v>
      </c>
      <c r="V2352" s="2" t="inlineStr"/>
    </row>
    <row r="2353" ht="15" customHeight="1">
      <c r="A2353" t="inlineStr">
        <is>
          <t>A 7204-2024</t>
        </is>
      </c>
      <c r="B2353" t="inlineStr">
        <is>
          <t>avverkningsanmälan</t>
        </is>
      </c>
      <c r="C2353" t="inlineStr">
        <is>
          <t>Föryngringsavverkning</t>
        </is>
      </c>
      <c r="D2353" s="1" t="n">
        <v>45344</v>
      </c>
      <c r="E2353" s="1" t="n">
        <v>46313</v>
      </c>
      <c r="F2353" t="inlineStr">
        <is>
          <t>SÖDERMANLANDS LÄN</t>
        </is>
      </c>
      <c r="G2353" t="inlineStr">
        <is>
          <t>TROSA</t>
        </is>
      </c>
      <c r="I2353" t="n">
        <v>0.9</v>
      </c>
      <c r="J2353" t="n">
        <v>0</v>
      </c>
      <c r="K2353" t="n">
        <v>0</v>
      </c>
      <c r="L2353" t="n">
        <v>0</v>
      </c>
      <c r="M2353" t="n">
        <v>0</v>
      </c>
      <c r="N2353" t="n">
        <v>0</v>
      </c>
      <c r="O2353" t="n">
        <v>0</v>
      </c>
      <c r="P2353" t="n">
        <v>0</v>
      </c>
      <c r="Q2353" t="n">
        <v>0</v>
      </c>
      <c r="R2353" t="n">
        <v>0</v>
      </c>
      <c r="S2353" t="n">
        <v>0</v>
      </c>
      <c r="T2353" t="n">
        <v>0</v>
      </c>
      <c r="U2353" t="n">
        <v>0</v>
      </c>
      <c r="V2353" s="2" t="inlineStr"/>
    </row>
    <row r="2354" ht="15" customHeight="1">
      <c r="A2354" t="inlineStr">
        <is>
          <t>A 38394-2024</t>
        </is>
      </c>
      <c r="B2354" t="inlineStr">
        <is>
          <t>avverkningsanmälan</t>
        </is>
      </c>
      <c r="C2354" t="inlineStr">
        <is>
          <t>Föryngringsavverkning</t>
        </is>
      </c>
      <c r="D2354" s="1" t="n">
        <v>45546</v>
      </c>
      <c r="E2354" s="1" t="n">
        <v>46313</v>
      </c>
      <c r="F2354" t="inlineStr">
        <is>
          <t>SÖDERMANLANDS LÄN</t>
        </is>
      </c>
      <c r="G2354" t="inlineStr">
        <is>
          <t>NYKÖPING</t>
        </is>
      </c>
      <c r="H2354" t="inlineStr">
        <is>
          <t>Holmen skog AB</t>
        </is>
      </c>
      <c r="I2354" t="n">
        <v>0.8</v>
      </c>
      <c r="J2354" t="n">
        <v>0</v>
      </c>
      <c r="K2354" t="n">
        <v>0</v>
      </c>
      <c r="L2354" t="n">
        <v>0</v>
      </c>
      <c r="M2354" t="n">
        <v>0</v>
      </c>
      <c r="N2354" t="n">
        <v>0</v>
      </c>
      <c r="O2354" t="n">
        <v>0</v>
      </c>
      <c r="P2354" t="n">
        <v>0</v>
      </c>
      <c r="Q2354" t="n">
        <v>0</v>
      </c>
      <c r="R2354" t="n">
        <v>0</v>
      </c>
      <c r="S2354" t="n">
        <v>0</v>
      </c>
      <c r="T2354" t="n">
        <v>0</v>
      </c>
      <c r="U2354" t="n">
        <v>0</v>
      </c>
      <c r="V2354" s="2" t="inlineStr"/>
    </row>
    <row r="2355" ht="15" customHeight="1">
      <c r="A2355" t="inlineStr">
        <is>
          <t>A 15397-2023</t>
        </is>
      </c>
      <c r="B2355" t="inlineStr">
        <is>
          <t>avverkningsanmälan</t>
        </is>
      </c>
      <c r="C2355" t="inlineStr">
        <is>
          <t>Föryngringsavverkning</t>
        </is>
      </c>
      <c r="D2355" s="1" t="n">
        <v>45019</v>
      </c>
      <c r="E2355" s="1" t="n">
        <v>46313</v>
      </c>
      <c r="F2355" t="inlineStr">
        <is>
          <t>SÖDERMANLANDS LÄN</t>
        </is>
      </c>
      <c r="G2355" t="inlineStr">
        <is>
          <t>NYKÖPING</t>
        </is>
      </c>
      <c r="I2355" t="n">
        <v>2.7</v>
      </c>
      <c r="J2355" t="n">
        <v>0</v>
      </c>
      <c r="K2355" t="n">
        <v>0</v>
      </c>
      <c r="L2355" t="n">
        <v>0</v>
      </c>
      <c r="M2355" t="n">
        <v>0</v>
      </c>
      <c r="N2355" t="n">
        <v>0</v>
      </c>
      <c r="O2355" t="n">
        <v>0</v>
      </c>
      <c r="P2355" t="n">
        <v>0</v>
      </c>
      <c r="Q2355" t="n">
        <v>0</v>
      </c>
      <c r="R2355" t="n">
        <v>0</v>
      </c>
      <c r="S2355" t="n">
        <v>0</v>
      </c>
      <c r="T2355" t="n">
        <v>0</v>
      </c>
      <c r="U2355" t="n">
        <v>0</v>
      </c>
      <c r="V2355" s="2" t="inlineStr"/>
    </row>
    <row r="2356" ht="15" customHeight="1">
      <c r="A2356" t="inlineStr">
        <is>
          <t>A 7704-2023</t>
        </is>
      </c>
      <c r="B2356" t="inlineStr">
        <is>
          <t>avverkningsanmälan</t>
        </is>
      </c>
      <c r="C2356" t="inlineStr">
        <is>
          <t>Föryngringsavverkning</t>
        </is>
      </c>
      <c r="D2356" s="1" t="n">
        <v>44968</v>
      </c>
      <c r="E2356" s="1" t="n">
        <v>46313</v>
      </c>
      <c r="F2356" t="inlineStr">
        <is>
          <t>SÖDERMANLANDS LÄN</t>
        </is>
      </c>
      <c r="G2356" t="inlineStr">
        <is>
          <t>KATRINEHOLM</t>
        </is>
      </c>
      <c r="I2356" t="n">
        <v>7.3</v>
      </c>
      <c r="J2356" t="n">
        <v>0</v>
      </c>
      <c r="K2356" t="n">
        <v>0</v>
      </c>
      <c r="L2356" t="n">
        <v>0</v>
      </c>
      <c r="M2356" t="n">
        <v>0</v>
      </c>
      <c r="N2356" t="n">
        <v>0</v>
      </c>
      <c r="O2356" t="n">
        <v>0</v>
      </c>
      <c r="P2356" t="n">
        <v>0</v>
      </c>
      <c r="Q2356" t="n">
        <v>0</v>
      </c>
      <c r="R2356" t="n">
        <v>0</v>
      </c>
      <c r="S2356" t="n">
        <v>0</v>
      </c>
      <c r="T2356" t="n">
        <v>0</v>
      </c>
      <c r="U2356" t="n">
        <v>0</v>
      </c>
      <c r="V2356" s="2" t="inlineStr"/>
    </row>
    <row r="2357" ht="15" customHeight="1">
      <c r="A2357" t="inlineStr">
        <is>
          <t>A 14751-2026</t>
        </is>
      </c>
      <c r="B2357" t="inlineStr">
        <is>
          <t>avverkningsanmälan</t>
        </is>
      </c>
      <c r="C2357" t="inlineStr">
        <is>
          <t>Avverkning för att bevara och utveckla /försöksver</t>
        </is>
      </c>
      <c r="D2357" s="1" t="n">
        <v>46101</v>
      </c>
      <c r="E2357" s="1" t="n">
        <v>46313</v>
      </c>
      <c r="F2357" t="inlineStr">
        <is>
          <t>SÖDERMANLANDS LÄN</t>
        </is>
      </c>
      <c r="G2357" t="inlineStr">
        <is>
          <t>KATRINEHOLM</t>
        </is>
      </c>
      <c r="I2357" t="n">
        <v>2.1</v>
      </c>
      <c r="J2357" t="n">
        <v>0</v>
      </c>
      <c r="K2357" t="n">
        <v>0</v>
      </c>
      <c r="L2357" t="n">
        <v>0</v>
      </c>
      <c r="M2357" t="n">
        <v>0</v>
      </c>
      <c r="N2357" t="n">
        <v>0</v>
      </c>
      <c r="O2357" t="n">
        <v>0</v>
      </c>
      <c r="P2357" t="n">
        <v>0</v>
      </c>
      <c r="Q2357" t="n">
        <v>0</v>
      </c>
      <c r="R2357" t="n">
        <v>0</v>
      </c>
      <c r="S2357" t="n">
        <v>0</v>
      </c>
      <c r="T2357" t="n">
        <v>0</v>
      </c>
      <c r="U2357" t="n">
        <v>0</v>
      </c>
      <c r="V2357" s="2" t="inlineStr"/>
    </row>
    <row r="2358" ht="15" customHeight="1">
      <c r="A2358" t="inlineStr">
        <is>
          <t>A 4335-2023</t>
        </is>
      </c>
      <c r="B2358" t="inlineStr">
        <is>
          <t>avverkningsanmälan</t>
        </is>
      </c>
      <c r="C2358" t="inlineStr">
        <is>
          <t>Föryngringsavverkning</t>
        </is>
      </c>
      <c r="D2358" s="1" t="n">
        <v>44953</v>
      </c>
      <c r="E2358" s="1" t="n">
        <v>46313</v>
      </c>
      <c r="F2358" t="inlineStr">
        <is>
          <t>SÖDERMANLANDS LÄN</t>
        </is>
      </c>
      <c r="G2358" t="inlineStr">
        <is>
          <t>STRÄNGNÄS</t>
        </is>
      </c>
      <c r="H2358" t="inlineStr">
        <is>
          <t>Allmännings- och besparingsskogar</t>
        </is>
      </c>
      <c r="I2358" t="n">
        <v>1</v>
      </c>
      <c r="J2358" t="n">
        <v>0</v>
      </c>
      <c r="K2358" t="n">
        <v>0</v>
      </c>
      <c r="L2358" t="n">
        <v>0</v>
      </c>
      <c r="M2358" t="n">
        <v>0</v>
      </c>
      <c r="N2358" t="n">
        <v>0</v>
      </c>
      <c r="O2358" t="n">
        <v>0</v>
      </c>
      <c r="P2358" t="n">
        <v>0</v>
      </c>
      <c r="Q2358" t="n">
        <v>0</v>
      </c>
      <c r="R2358" t="n">
        <v>0</v>
      </c>
      <c r="S2358" t="n">
        <v>0</v>
      </c>
      <c r="T2358" t="n">
        <v>0</v>
      </c>
      <c r="U2358" t="n">
        <v>0</v>
      </c>
      <c r="V2358" s="2" t="inlineStr"/>
    </row>
    <row r="2359" ht="15" customHeight="1">
      <c r="A2359" t="inlineStr">
        <is>
          <t>A 33758-2022</t>
        </is>
      </c>
      <c r="B2359" t="inlineStr">
        <is>
          <t>avverkningsanmälan</t>
        </is>
      </c>
      <c r="C2359" t="inlineStr">
        <is>
          <t>Föryngringsavverkning</t>
        </is>
      </c>
      <c r="D2359" s="1" t="n">
        <v>44790</v>
      </c>
      <c r="E2359" s="1" t="n">
        <v>46313</v>
      </c>
      <c r="F2359" t="inlineStr">
        <is>
          <t>SÖDERMANLANDS LÄN</t>
        </is>
      </c>
      <c r="G2359" t="inlineStr">
        <is>
          <t>GNESTA</t>
        </is>
      </c>
      <c r="I2359" t="n">
        <v>2.3</v>
      </c>
      <c r="J2359" t="n">
        <v>0</v>
      </c>
      <c r="K2359" t="n">
        <v>0</v>
      </c>
      <c r="L2359" t="n">
        <v>0</v>
      </c>
      <c r="M2359" t="n">
        <v>0</v>
      </c>
      <c r="N2359" t="n">
        <v>0</v>
      </c>
      <c r="O2359" t="n">
        <v>0</v>
      </c>
      <c r="P2359" t="n">
        <v>0</v>
      </c>
      <c r="Q2359" t="n">
        <v>0</v>
      </c>
      <c r="R2359" t="n">
        <v>0</v>
      </c>
      <c r="S2359" t="n">
        <v>0</v>
      </c>
      <c r="T2359" t="n">
        <v>0</v>
      </c>
      <c r="U2359" t="n">
        <v>0</v>
      </c>
      <c r="V2359" s="2" t="inlineStr"/>
    </row>
    <row r="2360" ht="15" customHeight="1">
      <c r="A2360" t="inlineStr">
        <is>
          <t>A 38217-2023</t>
        </is>
      </c>
      <c r="B2360" t="inlineStr">
        <is>
          <t>avverkningsanmälan</t>
        </is>
      </c>
      <c r="C2360" t="inlineStr">
        <is>
          <t>Föryngringsavverkning</t>
        </is>
      </c>
      <c r="D2360" s="1" t="n">
        <v>45161</v>
      </c>
      <c r="E2360" s="1" t="n">
        <v>46313</v>
      </c>
      <c r="F2360" t="inlineStr">
        <is>
          <t>SÖDERMANLANDS LÄN</t>
        </is>
      </c>
      <c r="G2360" t="inlineStr">
        <is>
          <t>FLEN</t>
        </is>
      </c>
      <c r="I2360" t="n">
        <v>4.4</v>
      </c>
      <c r="J2360" t="n">
        <v>0</v>
      </c>
      <c r="K2360" t="n">
        <v>0</v>
      </c>
      <c r="L2360" t="n">
        <v>0</v>
      </c>
      <c r="M2360" t="n">
        <v>0</v>
      </c>
      <c r="N2360" t="n">
        <v>0</v>
      </c>
      <c r="O2360" t="n">
        <v>0</v>
      </c>
      <c r="P2360" t="n">
        <v>0</v>
      </c>
      <c r="Q2360" t="n">
        <v>0</v>
      </c>
      <c r="R2360" t="n">
        <v>0</v>
      </c>
      <c r="S2360" t="n">
        <v>0</v>
      </c>
      <c r="T2360" t="n">
        <v>0</v>
      </c>
      <c r="U2360" t="n">
        <v>0</v>
      </c>
      <c r="V2360" s="2" t="inlineStr"/>
    </row>
    <row r="2361" ht="15" customHeight="1">
      <c r="A2361" t="inlineStr">
        <is>
          <t>A 55640-2022</t>
        </is>
      </c>
      <c r="B2361" t="inlineStr">
        <is>
          <t>avverkningsanmälan</t>
        </is>
      </c>
      <c r="C2361" t="inlineStr">
        <is>
          <t>Föryngringsavverkning</t>
        </is>
      </c>
      <c r="D2361" s="1" t="n">
        <v>44888</v>
      </c>
      <c r="E2361" s="1" t="n">
        <v>46313</v>
      </c>
      <c r="F2361" t="inlineStr">
        <is>
          <t>SÖDERMANLANDS LÄN</t>
        </is>
      </c>
      <c r="G2361" t="inlineStr">
        <is>
          <t>VINGÅKER</t>
        </is>
      </c>
      <c r="I2361" t="n">
        <v>0.5</v>
      </c>
      <c r="J2361" t="n">
        <v>0</v>
      </c>
      <c r="K2361" t="n">
        <v>0</v>
      </c>
      <c r="L2361" t="n">
        <v>0</v>
      </c>
      <c r="M2361" t="n">
        <v>0</v>
      </c>
      <c r="N2361" t="n">
        <v>0</v>
      </c>
      <c r="O2361" t="n">
        <v>0</v>
      </c>
      <c r="P2361" t="n">
        <v>0</v>
      </c>
      <c r="Q2361" t="n">
        <v>0</v>
      </c>
      <c r="R2361" t="n">
        <v>0</v>
      </c>
      <c r="S2361" t="n">
        <v>0</v>
      </c>
      <c r="T2361" t="n">
        <v>0</v>
      </c>
      <c r="U2361" t="n">
        <v>0</v>
      </c>
      <c r="V2361" s="2" t="inlineStr"/>
    </row>
    <row r="2362" ht="15" customHeight="1">
      <c r="A2362" t="inlineStr">
        <is>
          <t>A 45984-2022</t>
        </is>
      </c>
      <c r="B2362" t="inlineStr">
        <is>
          <t>avverkningsanmälan</t>
        </is>
      </c>
      <c r="C2362" t="inlineStr">
        <is>
          <t>Föryngringsavverkning</t>
        </is>
      </c>
      <c r="D2362" s="1" t="n">
        <v>44846</v>
      </c>
      <c r="E2362" s="1" t="n">
        <v>46313</v>
      </c>
      <c r="F2362" t="inlineStr">
        <is>
          <t>SÖDERMANLANDS LÄN</t>
        </is>
      </c>
      <c r="G2362" t="inlineStr">
        <is>
          <t>STRÄNGNÄS</t>
        </is>
      </c>
      <c r="I2362" t="n">
        <v>5.4</v>
      </c>
      <c r="J2362" t="n">
        <v>0</v>
      </c>
      <c r="K2362" t="n">
        <v>0</v>
      </c>
      <c r="L2362" t="n">
        <v>0</v>
      </c>
      <c r="M2362" t="n">
        <v>0</v>
      </c>
      <c r="N2362" t="n">
        <v>0</v>
      </c>
      <c r="O2362" t="n">
        <v>0</v>
      </c>
      <c r="P2362" t="n">
        <v>0</v>
      </c>
      <c r="Q2362" t="n">
        <v>0</v>
      </c>
      <c r="R2362" t="n">
        <v>0</v>
      </c>
      <c r="S2362" t="n">
        <v>0</v>
      </c>
      <c r="T2362" t="n">
        <v>0</v>
      </c>
      <c r="U2362" t="n">
        <v>0</v>
      </c>
      <c r="V2362" s="2" t="inlineStr"/>
    </row>
    <row r="2363" ht="15" customHeight="1">
      <c r="A2363" t="inlineStr">
        <is>
          <t>A 19763-2023</t>
        </is>
      </c>
      <c r="B2363" t="inlineStr">
        <is>
          <t>avverkningsanmälan</t>
        </is>
      </c>
      <c r="C2363" t="inlineStr">
        <is>
          <t>Föryngringsavverkning</t>
        </is>
      </c>
      <c r="D2363" s="1" t="n">
        <v>45051</v>
      </c>
      <c r="E2363" s="1" t="n">
        <v>46313</v>
      </c>
      <c r="F2363" t="inlineStr">
        <is>
          <t>SÖDERMANLANDS LÄN</t>
        </is>
      </c>
      <c r="G2363" t="inlineStr">
        <is>
          <t>NYKÖPING</t>
        </is>
      </c>
      <c r="H2363" t="inlineStr">
        <is>
          <t>Holmen skog AB</t>
        </is>
      </c>
      <c r="I2363" t="n">
        <v>1.1</v>
      </c>
      <c r="J2363" t="n">
        <v>0</v>
      </c>
      <c r="K2363" t="n">
        <v>0</v>
      </c>
      <c r="L2363" t="n">
        <v>0</v>
      </c>
      <c r="M2363" t="n">
        <v>0</v>
      </c>
      <c r="N2363" t="n">
        <v>0</v>
      </c>
      <c r="O2363" t="n">
        <v>0</v>
      </c>
      <c r="P2363" t="n">
        <v>0</v>
      </c>
      <c r="Q2363" t="n">
        <v>0</v>
      </c>
      <c r="R2363" t="n">
        <v>0</v>
      </c>
      <c r="S2363" t="n">
        <v>0</v>
      </c>
      <c r="T2363" t="n">
        <v>0</v>
      </c>
      <c r="U2363" t="n">
        <v>0</v>
      </c>
      <c r="V2363" s="2" t="inlineStr"/>
    </row>
    <row r="2364" ht="15" customHeight="1">
      <c r="A2364" t="inlineStr">
        <is>
          <t>A 15701-2026</t>
        </is>
      </c>
      <c r="B2364" t="inlineStr">
        <is>
          <t>avverkningsanmälan</t>
        </is>
      </c>
      <c r="C2364" t="inlineStr">
        <is>
          <t>Föryngringsavverkning</t>
        </is>
      </c>
      <c r="D2364" s="1" t="n">
        <v>46106</v>
      </c>
      <c r="E2364" s="1" t="n">
        <v>46313</v>
      </c>
      <c r="F2364" t="inlineStr">
        <is>
          <t>SÖDERMANLANDS LÄN</t>
        </is>
      </c>
      <c r="G2364" t="inlineStr">
        <is>
          <t>KATRINEHOLM</t>
        </is>
      </c>
      <c r="I2364" t="n">
        <v>2.2</v>
      </c>
      <c r="J2364" t="n">
        <v>0</v>
      </c>
      <c r="K2364" t="n">
        <v>0</v>
      </c>
      <c r="L2364" t="n">
        <v>0</v>
      </c>
      <c r="M2364" t="n">
        <v>0</v>
      </c>
      <c r="N2364" t="n">
        <v>0</v>
      </c>
      <c r="O2364" t="n">
        <v>0</v>
      </c>
      <c r="P2364" t="n">
        <v>0</v>
      </c>
      <c r="Q2364" t="n">
        <v>0</v>
      </c>
      <c r="R2364" t="n">
        <v>0</v>
      </c>
      <c r="S2364" t="n">
        <v>0</v>
      </c>
      <c r="T2364" t="n">
        <v>0</v>
      </c>
      <c r="U2364" t="n">
        <v>0</v>
      </c>
      <c r="V2364" s="2" t="inlineStr"/>
    </row>
    <row r="2365" ht="15" customHeight="1">
      <c r="A2365" t="inlineStr">
        <is>
          <t>A 28137-2026</t>
        </is>
      </c>
      <c r="B2365" t="inlineStr">
        <is>
          <t>avverkningsanmälan</t>
        </is>
      </c>
      <c r="C2365" t="inlineStr">
        <is>
          <t>Föryngringsavverkning</t>
        </is>
      </c>
      <c r="D2365" s="1" t="n">
        <v>46195</v>
      </c>
      <c r="E2365" s="1" t="n">
        <v>46313</v>
      </c>
      <c r="F2365" t="inlineStr">
        <is>
          <t>SÖDERMANLANDS LÄN</t>
        </is>
      </c>
      <c r="G2365" t="inlineStr">
        <is>
          <t>NYKÖPING</t>
        </is>
      </c>
      <c r="I2365" t="n">
        <v>1.7</v>
      </c>
      <c r="J2365" t="n">
        <v>0</v>
      </c>
      <c r="K2365" t="n">
        <v>0</v>
      </c>
      <c r="L2365" t="n">
        <v>0</v>
      </c>
      <c r="M2365" t="n">
        <v>0</v>
      </c>
      <c r="N2365" t="n">
        <v>0</v>
      </c>
      <c r="O2365" t="n">
        <v>0</v>
      </c>
      <c r="P2365" t="n">
        <v>0</v>
      </c>
      <c r="Q2365" t="n">
        <v>0</v>
      </c>
      <c r="R2365" t="n">
        <v>0</v>
      </c>
      <c r="S2365" t="n">
        <v>0</v>
      </c>
      <c r="T2365" t="n">
        <v>0</v>
      </c>
      <c r="U2365" t="n">
        <v>0</v>
      </c>
      <c r="V2365" s="2" t="inlineStr"/>
    </row>
    <row r="2366" ht="15" customHeight="1">
      <c r="A2366" t="inlineStr">
        <is>
          <t>A 12114-2023</t>
        </is>
      </c>
      <c r="B2366" t="inlineStr">
        <is>
          <t>avverkningsanmälan</t>
        </is>
      </c>
      <c r="C2366" t="inlineStr">
        <is>
          <t>Föryngringsavverkning</t>
        </is>
      </c>
      <c r="D2366" s="1" t="n">
        <v>44998</v>
      </c>
      <c r="E2366" s="1" t="n">
        <v>46313</v>
      </c>
      <c r="F2366" t="inlineStr">
        <is>
          <t>SÖDERMANLANDS LÄN</t>
        </is>
      </c>
      <c r="G2366" t="inlineStr">
        <is>
          <t>STRÄNGNÄS</t>
        </is>
      </c>
      <c r="I2366" t="n">
        <v>7</v>
      </c>
      <c r="J2366" t="n">
        <v>0</v>
      </c>
      <c r="K2366" t="n">
        <v>0</v>
      </c>
      <c r="L2366" t="n">
        <v>0</v>
      </c>
      <c r="M2366" t="n">
        <v>0</v>
      </c>
      <c r="N2366" t="n">
        <v>0</v>
      </c>
      <c r="O2366" t="n">
        <v>0</v>
      </c>
      <c r="P2366" t="n">
        <v>0</v>
      </c>
      <c r="Q2366" t="n">
        <v>0</v>
      </c>
      <c r="R2366" t="n">
        <v>0</v>
      </c>
      <c r="S2366" t="n">
        <v>0</v>
      </c>
      <c r="T2366" t="n">
        <v>0</v>
      </c>
      <c r="U2366" t="n">
        <v>0</v>
      </c>
      <c r="V2366" s="2" t="inlineStr"/>
    </row>
    <row r="2367" ht="15" customHeight="1">
      <c r="A2367" t="inlineStr">
        <is>
          <t>A 14478-2023</t>
        </is>
      </c>
      <c r="B2367" t="inlineStr">
        <is>
          <t>avverkningsanmälan</t>
        </is>
      </c>
      <c r="C2367" t="inlineStr">
        <is>
          <t>Föryngringsavverkning</t>
        </is>
      </c>
      <c r="D2367" s="1" t="n">
        <v>45012</v>
      </c>
      <c r="E2367" s="1" t="n">
        <v>46313</v>
      </c>
      <c r="F2367" t="inlineStr">
        <is>
          <t>SÖDERMANLANDS LÄN</t>
        </is>
      </c>
      <c r="G2367" t="inlineStr">
        <is>
          <t>KATRINEHOLM</t>
        </is>
      </c>
      <c r="I2367" t="n">
        <v>3.9</v>
      </c>
      <c r="J2367" t="n">
        <v>0</v>
      </c>
      <c r="K2367" t="n">
        <v>0</v>
      </c>
      <c r="L2367" t="n">
        <v>0</v>
      </c>
      <c r="M2367" t="n">
        <v>0</v>
      </c>
      <c r="N2367" t="n">
        <v>0</v>
      </c>
      <c r="O2367" t="n">
        <v>0</v>
      </c>
      <c r="P2367" t="n">
        <v>0</v>
      </c>
      <c r="Q2367" t="n">
        <v>0</v>
      </c>
      <c r="R2367" t="n">
        <v>0</v>
      </c>
      <c r="S2367" t="n">
        <v>0</v>
      </c>
      <c r="T2367" t="n">
        <v>0</v>
      </c>
      <c r="U2367" t="n">
        <v>0</v>
      </c>
      <c r="V2367" s="2" t="inlineStr"/>
    </row>
    <row r="2368" ht="15" customHeight="1">
      <c r="A2368" t="inlineStr">
        <is>
          <t>A 54051-2024</t>
        </is>
      </c>
      <c r="B2368" t="inlineStr">
        <is>
          <t>avverkningsanmälan</t>
        </is>
      </c>
      <c r="C2368" t="inlineStr">
        <is>
          <t>Föryngringsavverkning</t>
        </is>
      </c>
      <c r="D2368" s="1" t="n">
        <v>45615</v>
      </c>
      <c r="E2368" s="1" t="n">
        <v>46313</v>
      </c>
      <c r="F2368" t="inlineStr">
        <is>
          <t>SÖDERMANLANDS LÄN</t>
        </is>
      </c>
      <c r="G2368" t="inlineStr">
        <is>
          <t>VINGÅKER</t>
        </is>
      </c>
      <c r="I2368" t="n">
        <v>8.9</v>
      </c>
      <c r="J2368" t="n">
        <v>0</v>
      </c>
      <c r="K2368" t="n">
        <v>0</v>
      </c>
      <c r="L2368" t="n">
        <v>0</v>
      </c>
      <c r="M2368" t="n">
        <v>0</v>
      </c>
      <c r="N2368" t="n">
        <v>0</v>
      </c>
      <c r="O2368" t="n">
        <v>0</v>
      </c>
      <c r="P2368" t="n">
        <v>0</v>
      </c>
      <c r="Q2368" t="n">
        <v>0</v>
      </c>
      <c r="R2368" t="n">
        <v>0</v>
      </c>
      <c r="S2368" t="n">
        <v>0</v>
      </c>
      <c r="T2368" t="n">
        <v>0</v>
      </c>
      <c r="U2368" t="n">
        <v>0</v>
      </c>
      <c r="V2368" s="2" t="inlineStr"/>
    </row>
    <row r="2369" ht="15" customHeight="1">
      <c r="A2369" t="inlineStr">
        <is>
          <t>A 39055-2022</t>
        </is>
      </c>
      <c r="B2369" t="inlineStr">
        <is>
          <t>avverkningsanmälan</t>
        </is>
      </c>
      <c r="C2369" t="inlineStr">
        <is>
          <t>Föryngringsavverkning</t>
        </is>
      </c>
      <c r="D2369" s="1" t="n">
        <v>44817</v>
      </c>
      <c r="E2369" s="1" t="n">
        <v>46313</v>
      </c>
      <c r="F2369" t="inlineStr">
        <is>
          <t>SÖDERMANLANDS LÄN</t>
        </is>
      </c>
      <c r="G2369" t="inlineStr">
        <is>
          <t>KATRINEHOLM</t>
        </is>
      </c>
      <c r="H2369" t="inlineStr">
        <is>
          <t>Övriga Aktiebolag</t>
        </is>
      </c>
      <c r="I2369" t="n">
        <v>0.6</v>
      </c>
      <c r="J2369" t="n">
        <v>0</v>
      </c>
      <c r="K2369" t="n">
        <v>0</v>
      </c>
      <c r="L2369" t="n">
        <v>0</v>
      </c>
      <c r="M2369" t="n">
        <v>0</v>
      </c>
      <c r="N2369" t="n">
        <v>0</v>
      </c>
      <c r="O2369" t="n">
        <v>0</v>
      </c>
      <c r="P2369" t="n">
        <v>0</v>
      </c>
      <c r="Q2369" t="n">
        <v>0</v>
      </c>
      <c r="R2369" t="n">
        <v>0</v>
      </c>
      <c r="S2369" t="n">
        <v>0</v>
      </c>
      <c r="T2369" t="n">
        <v>0</v>
      </c>
      <c r="U2369" t="n">
        <v>0</v>
      </c>
      <c r="V2369" s="2" t="inlineStr"/>
    </row>
    <row r="2370" ht="15" customHeight="1">
      <c r="A2370" t="inlineStr">
        <is>
          <t>A 27978-2026</t>
        </is>
      </c>
      <c r="B2370" t="inlineStr">
        <is>
          <t>avverkningsanmälan</t>
        </is>
      </c>
      <c r="C2370" t="inlineStr">
        <is>
          <t>Föryngringsavverkning</t>
        </is>
      </c>
      <c r="D2370" s="1" t="n">
        <v>46195</v>
      </c>
      <c r="E2370" s="1" t="n">
        <v>46313</v>
      </c>
      <c r="F2370" t="inlineStr">
        <is>
          <t>SÖDERMANLANDS LÄN</t>
        </is>
      </c>
      <c r="G2370" t="inlineStr">
        <is>
          <t>VINGÅKER</t>
        </is>
      </c>
      <c r="I2370" t="n">
        <v>0.8</v>
      </c>
      <c r="J2370" t="n">
        <v>0</v>
      </c>
      <c r="K2370" t="n">
        <v>0</v>
      </c>
      <c r="L2370" t="n">
        <v>0</v>
      </c>
      <c r="M2370" t="n">
        <v>0</v>
      </c>
      <c r="N2370" t="n">
        <v>0</v>
      </c>
      <c r="O2370" t="n">
        <v>0</v>
      </c>
      <c r="P2370" t="n">
        <v>0</v>
      </c>
      <c r="Q2370" t="n">
        <v>0</v>
      </c>
      <c r="R2370" t="n">
        <v>0</v>
      </c>
      <c r="S2370" t="n">
        <v>0</v>
      </c>
      <c r="T2370" t="n">
        <v>0</v>
      </c>
      <c r="U2370" t="n">
        <v>0</v>
      </c>
      <c r="V2370" s="2" t="inlineStr"/>
    </row>
    <row r="2371" ht="15" customHeight="1">
      <c r="A2371" t="inlineStr">
        <is>
          <t>A 7056-2022</t>
        </is>
      </c>
      <c r="B2371" t="inlineStr">
        <is>
          <t>avverkningsanmälan</t>
        </is>
      </c>
      <c r="C2371" t="inlineStr">
        <is>
          <t>Föryngringsavverkning</t>
        </is>
      </c>
      <c r="D2371" s="1" t="n">
        <v>44603</v>
      </c>
      <c r="E2371" s="1" t="n">
        <v>46313</v>
      </c>
      <c r="F2371" t="inlineStr">
        <is>
          <t>SÖDERMANLANDS LÄN</t>
        </is>
      </c>
      <c r="G2371" t="inlineStr">
        <is>
          <t>KATRINEHOLM</t>
        </is>
      </c>
      <c r="I2371" t="n">
        <v>0.5</v>
      </c>
      <c r="J2371" t="n">
        <v>0</v>
      </c>
      <c r="K2371" t="n">
        <v>0</v>
      </c>
      <c r="L2371" t="n">
        <v>0</v>
      </c>
      <c r="M2371" t="n">
        <v>0</v>
      </c>
      <c r="N2371" t="n">
        <v>0</v>
      </c>
      <c r="O2371" t="n">
        <v>0</v>
      </c>
      <c r="P2371" t="n">
        <v>0</v>
      </c>
      <c r="Q2371" t="n">
        <v>0</v>
      </c>
      <c r="R2371" t="n">
        <v>0</v>
      </c>
      <c r="S2371" t="n">
        <v>0</v>
      </c>
      <c r="T2371" t="n">
        <v>0</v>
      </c>
      <c r="U2371" t="n">
        <v>0</v>
      </c>
      <c r="V2371" s="2" t="inlineStr"/>
    </row>
    <row r="2372" ht="15" customHeight="1">
      <c r="A2372" t="inlineStr">
        <is>
          <t>A 14412-2023</t>
        </is>
      </c>
      <c r="B2372" t="inlineStr">
        <is>
          <t>avverkningsanmälan</t>
        </is>
      </c>
      <c r="C2372" t="inlineStr">
        <is>
          <t>Föryngringsavverkning</t>
        </is>
      </c>
      <c r="D2372" s="1" t="n">
        <v>45012</v>
      </c>
      <c r="E2372" s="1" t="n">
        <v>46313</v>
      </c>
      <c r="F2372" t="inlineStr">
        <is>
          <t>SÖDERMANLANDS LÄN</t>
        </is>
      </c>
      <c r="G2372" t="inlineStr">
        <is>
          <t>FLEN</t>
        </is>
      </c>
      <c r="H2372" t="inlineStr">
        <is>
          <t>Holmen skog AB</t>
        </is>
      </c>
      <c r="I2372" t="n">
        <v>1.2</v>
      </c>
      <c r="J2372" t="n">
        <v>0</v>
      </c>
      <c r="K2372" t="n">
        <v>0</v>
      </c>
      <c r="L2372" t="n">
        <v>0</v>
      </c>
      <c r="M2372" t="n">
        <v>0</v>
      </c>
      <c r="N2372" t="n">
        <v>0</v>
      </c>
      <c r="O2372" t="n">
        <v>0</v>
      </c>
      <c r="P2372" t="n">
        <v>0</v>
      </c>
      <c r="Q2372" t="n">
        <v>0</v>
      </c>
      <c r="R2372" t="n">
        <v>0</v>
      </c>
      <c r="S2372" t="n">
        <v>0</v>
      </c>
      <c r="T2372" t="n">
        <v>0</v>
      </c>
      <c r="U2372" t="n">
        <v>0</v>
      </c>
      <c r="V2372" s="2" t="inlineStr"/>
    </row>
    <row r="2373" ht="15" customHeight="1">
      <c r="A2373" t="inlineStr">
        <is>
          <t>A 35458-2023</t>
        </is>
      </c>
      <c r="B2373" t="inlineStr">
        <is>
          <t>avverkningsanmälan</t>
        </is>
      </c>
      <c r="C2373" t="inlineStr">
        <is>
          <t>Föryngringsavverkning</t>
        </is>
      </c>
      <c r="D2373" s="1" t="n">
        <v>45146</v>
      </c>
      <c r="E2373" s="1" t="n">
        <v>46313</v>
      </c>
      <c r="F2373" t="inlineStr">
        <is>
          <t>SÖDERMANLANDS LÄN</t>
        </is>
      </c>
      <c r="G2373" t="inlineStr">
        <is>
          <t>NYKÖPING</t>
        </is>
      </c>
      <c r="H2373" t="inlineStr">
        <is>
          <t>Holmen skog AB</t>
        </is>
      </c>
      <c r="I2373" t="n">
        <v>1.1</v>
      </c>
      <c r="J2373" t="n">
        <v>0</v>
      </c>
      <c r="K2373" t="n">
        <v>0</v>
      </c>
      <c r="L2373" t="n">
        <v>0</v>
      </c>
      <c r="M2373" t="n">
        <v>0</v>
      </c>
      <c r="N2373" t="n">
        <v>0</v>
      </c>
      <c r="O2373" t="n">
        <v>0</v>
      </c>
      <c r="P2373" t="n">
        <v>0</v>
      </c>
      <c r="Q2373" t="n">
        <v>0</v>
      </c>
      <c r="R2373" t="n">
        <v>0</v>
      </c>
      <c r="S2373" t="n">
        <v>0</v>
      </c>
      <c r="T2373" t="n">
        <v>0</v>
      </c>
      <c r="U2373" t="n">
        <v>0</v>
      </c>
      <c r="V2373" s="2" t="inlineStr"/>
    </row>
    <row r="2374" ht="15" customHeight="1">
      <c r="A2374" t="inlineStr">
        <is>
          <t>A 41288-2023</t>
        </is>
      </c>
      <c r="B2374" t="inlineStr">
        <is>
          <t>avverkningsanmälan</t>
        </is>
      </c>
      <c r="C2374" t="inlineStr">
        <is>
          <t>Föryngringsavverkning</t>
        </is>
      </c>
      <c r="D2374" s="1" t="n">
        <v>45174</v>
      </c>
      <c r="E2374" s="1" t="n">
        <v>46313</v>
      </c>
      <c r="F2374" t="inlineStr">
        <is>
          <t>SÖDERMANLANDS LÄN</t>
        </is>
      </c>
      <c r="G2374" t="inlineStr">
        <is>
          <t>NYKÖPING</t>
        </is>
      </c>
      <c r="H2374" t="inlineStr">
        <is>
          <t>Holmen skog AB</t>
        </is>
      </c>
      <c r="I2374" t="n">
        <v>1.5</v>
      </c>
      <c r="J2374" t="n">
        <v>0</v>
      </c>
      <c r="K2374" t="n">
        <v>0</v>
      </c>
      <c r="L2374" t="n">
        <v>0</v>
      </c>
      <c r="M2374" t="n">
        <v>0</v>
      </c>
      <c r="N2374" t="n">
        <v>0</v>
      </c>
      <c r="O2374" t="n">
        <v>0</v>
      </c>
      <c r="P2374" t="n">
        <v>0</v>
      </c>
      <c r="Q2374" t="n">
        <v>0</v>
      </c>
      <c r="R2374" t="n">
        <v>0</v>
      </c>
      <c r="S2374" t="n">
        <v>0</v>
      </c>
      <c r="T2374" t="n">
        <v>0</v>
      </c>
      <c r="U2374" t="n">
        <v>0</v>
      </c>
      <c r="V2374" s="2" t="inlineStr"/>
    </row>
    <row r="2375" ht="15" customHeight="1">
      <c r="A2375" t="inlineStr">
        <is>
          <t>A 1777-2024</t>
        </is>
      </c>
      <c r="B2375" t="inlineStr">
        <is>
          <t>avverkningsanmälan</t>
        </is>
      </c>
      <c r="C2375" t="inlineStr">
        <is>
          <t>Föryngringsavverkning</t>
        </is>
      </c>
      <c r="D2375" s="1" t="n">
        <v>45307</v>
      </c>
      <c r="E2375" s="1" t="n">
        <v>46313</v>
      </c>
      <c r="F2375" t="inlineStr">
        <is>
          <t>SÖDERMANLANDS LÄN</t>
        </is>
      </c>
      <c r="G2375" t="inlineStr">
        <is>
          <t>NYKÖPING</t>
        </is>
      </c>
      <c r="H2375" t="inlineStr">
        <is>
          <t>Kommuner</t>
        </is>
      </c>
      <c r="I2375" t="n">
        <v>2</v>
      </c>
      <c r="J2375" t="n">
        <v>0</v>
      </c>
      <c r="K2375" t="n">
        <v>0</v>
      </c>
      <c r="L2375" t="n">
        <v>0</v>
      </c>
      <c r="M2375" t="n">
        <v>0</v>
      </c>
      <c r="N2375" t="n">
        <v>0</v>
      </c>
      <c r="O2375" t="n">
        <v>0</v>
      </c>
      <c r="P2375" t="n">
        <v>0</v>
      </c>
      <c r="Q2375" t="n">
        <v>0</v>
      </c>
      <c r="R2375" t="n">
        <v>0</v>
      </c>
      <c r="S2375" t="n">
        <v>0</v>
      </c>
      <c r="T2375" t="n">
        <v>0</v>
      </c>
      <c r="U2375" t="n">
        <v>0</v>
      </c>
      <c r="V2375" s="2" t="inlineStr"/>
    </row>
    <row r="2376" ht="15" customHeight="1">
      <c r="A2376" t="inlineStr">
        <is>
          <t>A 30960-2023</t>
        </is>
      </c>
      <c r="B2376" t="inlineStr">
        <is>
          <t>avverkningsanmälan</t>
        </is>
      </c>
      <c r="C2376" t="inlineStr">
        <is>
          <t>Föryngringsavverkning</t>
        </is>
      </c>
      <c r="D2376" s="1" t="n">
        <v>45103</v>
      </c>
      <c r="E2376" s="1" t="n">
        <v>46313</v>
      </c>
      <c r="F2376" t="inlineStr">
        <is>
          <t>SÖDERMANLANDS LÄN</t>
        </is>
      </c>
      <c r="G2376" t="inlineStr">
        <is>
          <t>ESKILSTUNA</t>
        </is>
      </c>
      <c r="I2376" t="n">
        <v>2.1</v>
      </c>
      <c r="J2376" t="n">
        <v>0</v>
      </c>
      <c r="K2376" t="n">
        <v>0</v>
      </c>
      <c r="L2376" t="n">
        <v>0</v>
      </c>
      <c r="M2376" t="n">
        <v>0</v>
      </c>
      <c r="N2376" t="n">
        <v>0</v>
      </c>
      <c r="O2376" t="n">
        <v>0</v>
      </c>
      <c r="P2376" t="n">
        <v>0</v>
      </c>
      <c r="Q2376" t="n">
        <v>0</v>
      </c>
      <c r="R2376" t="n">
        <v>0</v>
      </c>
      <c r="S2376" t="n">
        <v>0</v>
      </c>
      <c r="T2376" t="n">
        <v>0</v>
      </c>
      <c r="U2376" t="n">
        <v>0</v>
      </c>
      <c r="V2376" s="2" t="inlineStr"/>
    </row>
    <row r="2377" ht="15" customHeight="1">
      <c r="A2377" t="inlineStr">
        <is>
          <t>A 30971-2023</t>
        </is>
      </c>
      <c r="B2377" t="inlineStr">
        <is>
          <t>avverkningsanmälan</t>
        </is>
      </c>
      <c r="C2377" t="inlineStr">
        <is>
          <t>Föryngringsavverkning</t>
        </is>
      </c>
      <c r="D2377" s="1" t="n">
        <v>45103</v>
      </c>
      <c r="E2377" s="1" t="n">
        <v>46313</v>
      </c>
      <c r="F2377" t="inlineStr">
        <is>
          <t>SÖDERMANLANDS LÄN</t>
        </is>
      </c>
      <c r="G2377" t="inlineStr">
        <is>
          <t>ESKILSTUNA</t>
        </is>
      </c>
      <c r="I2377" t="n">
        <v>1.2</v>
      </c>
      <c r="J2377" t="n">
        <v>0</v>
      </c>
      <c r="K2377" t="n">
        <v>0</v>
      </c>
      <c r="L2377" t="n">
        <v>0</v>
      </c>
      <c r="M2377" t="n">
        <v>0</v>
      </c>
      <c r="N2377" t="n">
        <v>0</v>
      </c>
      <c r="O2377" t="n">
        <v>0</v>
      </c>
      <c r="P2377" t="n">
        <v>0</v>
      </c>
      <c r="Q2377" t="n">
        <v>0</v>
      </c>
      <c r="R2377" t="n">
        <v>0</v>
      </c>
      <c r="S2377" t="n">
        <v>0</v>
      </c>
      <c r="T2377" t="n">
        <v>0</v>
      </c>
      <c r="U2377" t="n">
        <v>0</v>
      </c>
      <c r="V2377" s="2" t="inlineStr"/>
    </row>
    <row r="2378" ht="15" customHeight="1">
      <c r="A2378" t="inlineStr">
        <is>
          <t>A 16125-2026</t>
        </is>
      </c>
      <c r="B2378" t="inlineStr">
        <is>
          <t>avverkningsanmälan</t>
        </is>
      </c>
      <c r="C2378" t="inlineStr">
        <is>
          <t>Föryngringsavverkning</t>
        </is>
      </c>
      <c r="D2378" s="1" t="n">
        <v>46108</v>
      </c>
      <c r="E2378" s="1" t="n">
        <v>46313</v>
      </c>
      <c r="F2378" t="inlineStr">
        <is>
          <t>SÖDERMANLANDS LÄN</t>
        </is>
      </c>
      <c r="G2378" t="inlineStr">
        <is>
          <t>ESKILSTUNA</t>
        </is>
      </c>
      <c r="I2378" t="n">
        <v>2.1</v>
      </c>
      <c r="J2378" t="n">
        <v>0</v>
      </c>
      <c r="K2378" t="n">
        <v>0</v>
      </c>
      <c r="L2378" t="n">
        <v>0</v>
      </c>
      <c r="M2378" t="n">
        <v>0</v>
      </c>
      <c r="N2378" t="n">
        <v>0</v>
      </c>
      <c r="O2378" t="n">
        <v>0</v>
      </c>
      <c r="P2378" t="n">
        <v>0</v>
      </c>
      <c r="Q2378" t="n">
        <v>0</v>
      </c>
      <c r="R2378" t="n">
        <v>0</v>
      </c>
      <c r="S2378" t="n">
        <v>0</v>
      </c>
      <c r="T2378" t="n">
        <v>0</v>
      </c>
      <c r="U2378" t="n">
        <v>0</v>
      </c>
      <c r="V2378" s="2" t="inlineStr"/>
    </row>
    <row r="2379" ht="15" customHeight="1">
      <c r="A2379" t="inlineStr">
        <is>
          <t>A 29046-2026</t>
        </is>
      </c>
      <c r="B2379" t="inlineStr">
        <is>
          <t>avverkningsanmälan</t>
        </is>
      </c>
      <c r="C2379" t="inlineStr">
        <is>
          <t>Föryngringsavverkning</t>
        </is>
      </c>
      <c r="D2379" s="1" t="n">
        <v>46199</v>
      </c>
      <c r="E2379" s="1" t="n">
        <v>46313</v>
      </c>
      <c r="F2379" t="inlineStr">
        <is>
          <t>SÖDERMANLANDS LÄN</t>
        </is>
      </c>
      <c r="G2379" t="inlineStr">
        <is>
          <t>KATRINEHOLM</t>
        </is>
      </c>
      <c r="I2379" t="n">
        <v>2.6</v>
      </c>
      <c r="J2379" t="n">
        <v>0</v>
      </c>
      <c r="K2379" t="n">
        <v>0</v>
      </c>
      <c r="L2379" t="n">
        <v>0</v>
      </c>
      <c r="M2379" t="n">
        <v>0</v>
      </c>
      <c r="N2379" t="n">
        <v>0</v>
      </c>
      <c r="O2379" t="n">
        <v>0</v>
      </c>
      <c r="P2379" t="n">
        <v>0</v>
      </c>
      <c r="Q2379" t="n">
        <v>0</v>
      </c>
      <c r="R2379" t="n">
        <v>0</v>
      </c>
      <c r="S2379" t="n">
        <v>0</v>
      </c>
      <c r="T2379" t="n">
        <v>0</v>
      </c>
      <c r="U2379" t="n">
        <v>0</v>
      </c>
      <c r="V2379" s="2" t="inlineStr"/>
    </row>
    <row r="2380" ht="15" customHeight="1">
      <c r="A2380" t="inlineStr">
        <is>
          <t>A 16052-2026</t>
        </is>
      </c>
      <c r="B2380" t="inlineStr">
        <is>
          <t>avverkningsanmälan</t>
        </is>
      </c>
      <c r="C2380" t="inlineStr">
        <is>
          <t>Föryngringsavverkning</t>
        </is>
      </c>
      <c r="D2380" s="1" t="n">
        <v>46108</v>
      </c>
      <c r="E2380" s="1" t="n">
        <v>46313</v>
      </c>
      <c r="F2380" t="inlineStr">
        <is>
          <t>SÖDERMANLANDS LÄN</t>
        </is>
      </c>
      <c r="G2380" t="inlineStr">
        <is>
          <t>FLEN</t>
        </is>
      </c>
      <c r="H2380" t="inlineStr">
        <is>
          <t>Holmen skog AB</t>
        </is>
      </c>
      <c r="I2380" t="n">
        <v>8.300000000000001</v>
      </c>
      <c r="J2380" t="n">
        <v>0</v>
      </c>
      <c r="K2380" t="n">
        <v>0</v>
      </c>
      <c r="L2380" t="n">
        <v>0</v>
      </c>
      <c r="M2380" t="n">
        <v>0</v>
      </c>
      <c r="N2380" t="n">
        <v>0</v>
      </c>
      <c r="O2380" t="n">
        <v>0</v>
      </c>
      <c r="P2380" t="n">
        <v>0</v>
      </c>
      <c r="Q2380" t="n">
        <v>0</v>
      </c>
      <c r="R2380" t="n">
        <v>0</v>
      </c>
      <c r="S2380" t="n">
        <v>0</v>
      </c>
      <c r="T2380" t="n">
        <v>0</v>
      </c>
      <c r="U2380" t="n">
        <v>0</v>
      </c>
      <c r="V2380" s="2" t="inlineStr"/>
    </row>
    <row r="2381" ht="15" customHeight="1">
      <c r="A2381" t="inlineStr">
        <is>
          <t>A 49909-2023</t>
        </is>
      </c>
      <c r="B2381" t="inlineStr">
        <is>
          <t>avverkningsanmälan</t>
        </is>
      </c>
      <c r="C2381" t="inlineStr">
        <is>
          <t>Föryngringsavverkning</t>
        </is>
      </c>
      <c r="D2381" s="1" t="n">
        <v>45214</v>
      </c>
      <c r="E2381" s="1" t="n">
        <v>46313</v>
      </c>
      <c r="F2381" t="inlineStr">
        <is>
          <t>SÖDERMANLANDS LÄN</t>
        </is>
      </c>
      <c r="G2381" t="inlineStr">
        <is>
          <t>GNESTA</t>
        </is>
      </c>
      <c r="I2381" t="n">
        <v>1.6</v>
      </c>
      <c r="J2381" t="n">
        <v>0</v>
      </c>
      <c r="K2381" t="n">
        <v>0</v>
      </c>
      <c r="L2381" t="n">
        <v>0</v>
      </c>
      <c r="M2381" t="n">
        <v>0</v>
      </c>
      <c r="N2381" t="n">
        <v>0</v>
      </c>
      <c r="O2381" t="n">
        <v>0</v>
      </c>
      <c r="P2381" t="n">
        <v>0</v>
      </c>
      <c r="Q2381" t="n">
        <v>0</v>
      </c>
      <c r="R2381" t="n">
        <v>0</v>
      </c>
      <c r="S2381" t="n">
        <v>0</v>
      </c>
      <c r="T2381" t="n">
        <v>0</v>
      </c>
      <c r="U2381" t="n">
        <v>0</v>
      </c>
      <c r="V2381" s="2" t="inlineStr"/>
    </row>
    <row r="2382" ht="15" customHeight="1">
      <c r="A2382" t="inlineStr">
        <is>
          <t>A 10998-2024</t>
        </is>
      </c>
      <c r="B2382" t="inlineStr">
        <is>
          <t>avverkningsanmälan</t>
        </is>
      </c>
      <c r="C2382" t="inlineStr">
        <is>
          <t>Föryngringsavverkning</t>
        </is>
      </c>
      <c r="D2382" s="1" t="n">
        <v>45370</v>
      </c>
      <c r="E2382" s="1" t="n">
        <v>46313</v>
      </c>
      <c r="F2382" t="inlineStr">
        <is>
          <t>SÖDERMANLANDS LÄN</t>
        </is>
      </c>
      <c r="G2382" t="inlineStr">
        <is>
          <t>TROSA</t>
        </is>
      </c>
      <c r="I2382" t="n">
        <v>9.5</v>
      </c>
      <c r="J2382" t="n">
        <v>0</v>
      </c>
      <c r="K2382" t="n">
        <v>0</v>
      </c>
      <c r="L2382" t="n">
        <v>0</v>
      </c>
      <c r="M2382" t="n">
        <v>0</v>
      </c>
      <c r="N2382" t="n">
        <v>0</v>
      </c>
      <c r="O2382" t="n">
        <v>0</v>
      </c>
      <c r="P2382" t="n">
        <v>0</v>
      </c>
      <c r="Q2382" t="n">
        <v>0</v>
      </c>
      <c r="R2382" t="n">
        <v>0</v>
      </c>
      <c r="S2382" t="n">
        <v>0</v>
      </c>
      <c r="T2382" t="n">
        <v>0</v>
      </c>
      <c r="U2382" t="n">
        <v>0</v>
      </c>
      <c r="V2382" s="2" t="inlineStr"/>
    </row>
    <row r="2383" ht="15" customHeight="1">
      <c r="A2383" t="inlineStr">
        <is>
          <t>A 16104-2026</t>
        </is>
      </c>
      <c r="B2383" t="inlineStr">
        <is>
          <t>avverkningsanmälan</t>
        </is>
      </c>
      <c r="C2383" t="inlineStr">
        <is>
          <t>Föryngringsavverkning</t>
        </is>
      </c>
      <c r="D2383" s="1" t="n">
        <v>46108</v>
      </c>
      <c r="E2383" s="1" t="n">
        <v>46313</v>
      </c>
      <c r="F2383" t="inlineStr">
        <is>
          <t>SÖDERMANLANDS LÄN</t>
        </is>
      </c>
      <c r="G2383" t="inlineStr">
        <is>
          <t>ESKILSTUNA</t>
        </is>
      </c>
      <c r="I2383" t="n">
        <v>4.2</v>
      </c>
      <c r="J2383" t="n">
        <v>0</v>
      </c>
      <c r="K2383" t="n">
        <v>0</v>
      </c>
      <c r="L2383" t="n">
        <v>0</v>
      </c>
      <c r="M2383" t="n">
        <v>0</v>
      </c>
      <c r="N2383" t="n">
        <v>0</v>
      </c>
      <c r="O2383" t="n">
        <v>0</v>
      </c>
      <c r="P2383" t="n">
        <v>0</v>
      </c>
      <c r="Q2383" t="n">
        <v>0</v>
      </c>
      <c r="R2383" t="n">
        <v>0</v>
      </c>
      <c r="S2383" t="n">
        <v>0</v>
      </c>
      <c r="T2383" t="n">
        <v>0</v>
      </c>
      <c r="U2383" t="n">
        <v>0</v>
      </c>
      <c r="V2383" s="2" t="inlineStr"/>
    </row>
    <row r="2384" ht="15" customHeight="1">
      <c r="A2384" t="inlineStr">
        <is>
          <t>A 28823-2026</t>
        </is>
      </c>
      <c r="B2384" t="inlineStr">
        <is>
          <t>avverkningsanmälan</t>
        </is>
      </c>
      <c r="C2384" t="inlineStr">
        <is>
          <t>Föryngringsavverkning</t>
        </is>
      </c>
      <c r="D2384" s="1" t="n">
        <v>46198</v>
      </c>
      <c r="E2384" s="1" t="n">
        <v>46313</v>
      </c>
      <c r="F2384" t="inlineStr">
        <is>
          <t>SÖDERMANLANDS LÄN</t>
        </is>
      </c>
      <c r="G2384" t="inlineStr">
        <is>
          <t>GNESTA</t>
        </is>
      </c>
      <c r="I2384" t="n">
        <v>0.5</v>
      </c>
      <c r="J2384" t="n">
        <v>0</v>
      </c>
      <c r="K2384" t="n">
        <v>0</v>
      </c>
      <c r="L2384" t="n">
        <v>0</v>
      </c>
      <c r="M2384" t="n">
        <v>0</v>
      </c>
      <c r="N2384" t="n">
        <v>0</v>
      </c>
      <c r="O2384" t="n">
        <v>0</v>
      </c>
      <c r="P2384" t="n">
        <v>0</v>
      </c>
      <c r="Q2384" t="n">
        <v>0</v>
      </c>
      <c r="R2384" t="n">
        <v>0</v>
      </c>
      <c r="S2384" t="n">
        <v>0</v>
      </c>
      <c r="T2384" t="n">
        <v>0</v>
      </c>
      <c r="U2384" t="n">
        <v>0</v>
      </c>
      <c r="V2384" s="2" t="inlineStr"/>
    </row>
    <row r="2385" ht="15" customHeight="1">
      <c r="A2385" t="inlineStr">
        <is>
          <t>A 42896-2024</t>
        </is>
      </c>
      <c r="B2385" t="inlineStr">
        <is>
          <t>avverkningsanmälan</t>
        </is>
      </c>
      <c r="C2385" t="inlineStr">
        <is>
          <t>Föryngringsavverkning</t>
        </is>
      </c>
      <c r="D2385" s="1" t="n">
        <v>45566</v>
      </c>
      <c r="E2385" s="1" t="n">
        <v>46313</v>
      </c>
      <c r="F2385" t="inlineStr">
        <is>
          <t>SÖDERMANLANDS LÄN</t>
        </is>
      </c>
      <c r="G2385" t="inlineStr">
        <is>
          <t>KATRINEHOLM</t>
        </is>
      </c>
      <c r="I2385" t="n">
        <v>4.3</v>
      </c>
      <c r="J2385" t="n">
        <v>0</v>
      </c>
      <c r="K2385" t="n">
        <v>0</v>
      </c>
      <c r="L2385" t="n">
        <v>0</v>
      </c>
      <c r="M2385" t="n">
        <v>0</v>
      </c>
      <c r="N2385" t="n">
        <v>0</v>
      </c>
      <c r="O2385" t="n">
        <v>0</v>
      </c>
      <c r="P2385" t="n">
        <v>0</v>
      </c>
      <c r="Q2385" t="n">
        <v>0</v>
      </c>
      <c r="R2385" t="n">
        <v>0</v>
      </c>
      <c r="S2385" t="n">
        <v>0</v>
      </c>
      <c r="T2385" t="n">
        <v>0</v>
      </c>
      <c r="U2385" t="n">
        <v>0</v>
      </c>
      <c r="V2385" s="2" t="inlineStr"/>
    </row>
    <row r="2386" ht="15" customHeight="1">
      <c r="A2386" t="inlineStr">
        <is>
          <t>A 15819-2026</t>
        </is>
      </c>
      <c r="B2386" t="inlineStr">
        <is>
          <t>avverkningsanmälan</t>
        </is>
      </c>
      <c r="C2386" t="inlineStr">
        <is>
          <t>Föryngringsavverkning</t>
        </is>
      </c>
      <c r="D2386" s="1" t="n">
        <v>46107</v>
      </c>
      <c r="E2386" s="1" t="n">
        <v>46313</v>
      </c>
      <c r="F2386" t="inlineStr">
        <is>
          <t>SÖDERMANLANDS LÄN</t>
        </is>
      </c>
      <c r="G2386" t="inlineStr">
        <is>
          <t>KATRINEHOLM</t>
        </is>
      </c>
      <c r="I2386" t="n">
        <v>2</v>
      </c>
      <c r="J2386" t="n">
        <v>0</v>
      </c>
      <c r="K2386" t="n">
        <v>0</v>
      </c>
      <c r="L2386" t="n">
        <v>0</v>
      </c>
      <c r="M2386" t="n">
        <v>0</v>
      </c>
      <c r="N2386" t="n">
        <v>0</v>
      </c>
      <c r="O2386" t="n">
        <v>0</v>
      </c>
      <c r="P2386" t="n">
        <v>0</v>
      </c>
      <c r="Q2386" t="n">
        <v>0</v>
      </c>
      <c r="R2386" t="n">
        <v>0</v>
      </c>
      <c r="S2386" t="n">
        <v>0</v>
      </c>
      <c r="T2386" t="n">
        <v>0</v>
      </c>
      <c r="U2386" t="n">
        <v>0</v>
      </c>
      <c r="V2386" s="2" t="inlineStr"/>
    </row>
    <row r="2387" ht="15" customHeight="1">
      <c r="A2387" t="inlineStr">
        <is>
          <t>A 1745-2023</t>
        </is>
      </c>
      <c r="B2387" t="inlineStr">
        <is>
          <t>avverkningsanmälan</t>
        </is>
      </c>
      <c r="C2387" t="inlineStr">
        <is>
          <t>Föryngringsavverkning</t>
        </is>
      </c>
      <c r="D2387" s="1" t="n">
        <v>44938</v>
      </c>
      <c r="E2387" s="1" t="n">
        <v>46313</v>
      </c>
      <c r="F2387" t="inlineStr">
        <is>
          <t>SÖDERMANLANDS LÄN</t>
        </is>
      </c>
      <c r="G2387" t="inlineStr">
        <is>
          <t>NYKÖPING</t>
        </is>
      </c>
      <c r="I2387" t="n">
        <v>2.2</v>
      </c>
      <c r="J2387" t="n">
        <v>0</v>
      </c>
      <c r="K2387" t="n">
        <v>0</v>
      </c>
      <c r="L2387" t="n">
        <v>0</v>
      </c>
      <c r="M2387" t="n">
        <v>0</v>
      </c>
      <c r="N2387" t="n">
        <v>0</v>
      </c>
      <c r="O2387" t="n">
        <v>0</v>
      </c>
      <c r="P2387" t="n">
        <v>0</v>
      </c>
      <c r="Q2387" t="n">
        <v>0</v>
      </c>
      <c r="R2387" t="n">
        <v>0</v>
      </c>
      <c r="S2387" t="n">
        <v>0</v>
      </c>
      <c r="T2387" t="n">
        <v>0</v>
      </c>
      <c r="U2387" t="n">
        <v>0</v>
      </c>
      <c r="V2387" s="2" t="inlineStr"/>
    </row>
    <row r="2388" ht="15" customHeight="1">
      <c r="A2388" t="inlineStr">
        <is>
          <t>A 16131-2026</t>
        </is>
      </c>
      <c r="B2388" t="inlineStr">
        <is>
          <t>avverkningsanmälan</t>
        </is>
      </c>
      <c r="C2388" t="inlineStr">
        <is>
          <t>Föryngringsavverkning</t>
        </is>
      </c>
      <c r="D2388" s="1" t="n">
        <v>46108</v>
      </c>
      <c r="E2388" s="1" t="n">
        <v>46313</v>
      </c>
      <c r="F2388" t="inlineStr">
        <is>
          <t>SÖDERMANLANDS LÄN</t>
        </is>
      </c>
      <c r="G2388" t="inlineStr">
        <is>
          <t>ESKILSTUNA</t>
        </is>
      </c>
      <c r="I2388" t="n">
        <v>3.2</v>
      </c>
      <c r="J2388" t="n">
        <v>0</v>
      </c>
      <c r="K2388" t="n">
        <v>0</v>
      </c>
      <c r="L2388" t="n">
        <v>0</v>
      </c>
      <c r="M2388" t="n">
        <v>0</v>
      </c>
      <c r="N2388" t="n">
        <v>0</v>
      </c>
      <c r="O2388" t="n">
        <v>0</v>
      </c>
      <c r="P2388" t="n">
        <v>0</v>
      </c>
      <c r="Q2388" t="n">
        <v>0</v>
      </c>
      <c r="R2388" t="n">
        <v>0</v>
      </c>
      <c r="S2388" t="n">
        <v>0</v>
      </c>
      <c r="T2388" t="n">
        <v>0</v>
      </c>
      <c r="U2388" t="n">
        <v>0</v>
      </c>
      <c r="V2388" s="2" t="inlineStr"/>
    </row>
    <row r="2389" ht="15" customHeight="1">
      <c r="A2389" t="inlineStr">
        <is>
          <t>A 29008-2024</t>
        </is>
      </c>
      <c r="B2389" t="inlineStr">
        <is>
          <t>avverkningsanmälan</t>
        </is>
      </c>
      <c r="C2389" t="inlineStr">
        <is>
          <t>Föryngringsavverkning</t>
        </is>
      </c>
      <c r="D2389" s="1" t="n">
        <v>45481</v>
      </c>
      <c r="E2389" s="1" t="n">
        <v>46313</v>
      </c>
      <c r="F2389" t="inlineStr">
        <is>
          <t>SÖDERMANLANDS LÄN</t>
        </is>
      </c>
      <c r="G2389" t="inlineStr">
        <is>
          <t>KATRINEHOLM</t>
        </is>
      </c>
      <c r="I2389" t="n">
        <v>1.7</v>
      </c>
      <c r="J2389" t="n">
        <v>0</v>
      </c>
      <c r="K2389" t="n">
        <v>0</v>
      </c>
      <c r="L2389" t="n">
        <v>0</v>
      </c>
      <c r="M2389" t="n">
        <v>0</v>
      </c>
      <c r="N2389" t="n">
        <v>0</v>
      </c>
      <c r="O2389" t="n">
        <v>0</v>
      </c>
      <c r="P2389" t="n">
        <v>0</v>
      </c>
      <c r="Q2389" t="n">
        <v>0</v>
      </c>
      <c r="R2389" t="n">
        <v>0</v>
      </c>
      <c r="S2389" t="n">
        <v>0</v>
      </c>
      <c r="T2389" t="n">
        <v>0</v>
      </c>
      <c r="U2389" t="n">
        <v>0</v>
      </c>
      <c r="V2389" s="2" t="inlineStr"/>
    </row>
    <row r="2390" ht="15" customHeight="1">
      <c r="A2390" t="inlineStr">
        <is>
          <t>A 16135-2026</t>
        </is>
      </c>
      <c r="B2390" t="inlineStr">
        <is>
          <t>avverkningsanmälan</t>
        </is>
      </c>
      <c r="C2390" t="inlineStr">
        <is>
          <t>Föryngringsavverkning</t>
        </is>
      </c>
      <c r="D2390" s="1" t="n">
        <v>46108</v>
      </c>
      <c r="E2390" s="1" t="n">
        <v>46313</v>
      </c>
      <c r="F2390" t="inlineStr">
        <is>
          <t>SÖDERMANLANDS LÄN</t>
        </is>
      </c>
      <c r="G2390" t="inlineStr">
        <is>
          <t>ESKILSTUNA</t>
        </is>
      </c>
      <c r="I2390" t="n">
        <v>1.3</v>
      </c>
      <c r="J2390" t="n">
        <v>0</v>
      </c>
      <c r="K2390" t="n">
        <v>0</v>
      </c>
      <c r="L2390" t="n">
        <v>0</v>
      </c>
      <c r="M2390" t="n">
        <v>0</v>
      </c>
      <c r="N2390" t="n">
        <v>0</v>
      </c>
      <c r="O2390" t="n">
        <v>0</v>
      </c>
      <c r="P2390" t="n">
        <v>0</v>
      </c>
      <c r="Q2390" t="n">
        <v>0</v>
      </c>
      <c r="R2390" t="n">
        <v>0</v>
      </c>
      <c r="S2390" t="n">
        <v>0</v>
      </c>
      <c r="T2390" t="n">
        <v>0</v>
      </c>
      <c r="U2390" t="n">
        <v>0</v>
      </c>
      <c r="V2390" s="2" t="inlineStr"/>
    </row>
    <row r="2391" ht="15" customHeight="1">
      <c r="A2391" t="inlineStr">
        <is>
          <t>A 62419-2023</t>
        </is>
      </c>
      <c r="B2391" t="inlineStr">
        <is>
          <t>avverkningsanmälan</t>
        </is>
      </c>
      <c r="C2391" t="inlineStr">
        <is>
          <t>Föryngringsavverkning</t>
        </is>
      </c>
      <c r="D2391" s="1" t="n">
        <v>45268</v>
      </c>
      <c r="E2391" s="1" t="n">
        <v>46313</v>
      </c>
      <c r="F2391" t="inlineStr">
        <is>
          <t>SÖDERMANLANDS LÄN</t>
        </is>
      </c>
      <c r="G2391" t="inlineStr">
        <is>
          <t>KATRINEHOLM</t>
        </is>
      </c>
      <c r="I2391" t="n">
        <v>9</v>
      </c>
      <c r="J2391" t="n">
        <v>0</v>
      </c>
      <c r="K2391" t="n">
        <v>0</v>
      </c>
      <c r="L2391" t="n">
        <v>0</v>
      </c>
      <c r="M2391" t="n">
        <v>0</v>
      </c>
      <c r="N2391" t="n">
        <v>0</v>
      </c>
      <c r="O2391" t="n">
        <v>0</v>
      </c>
      <c r="P2391" t="n">
        <v>0</v>
      </c>
      <c r="Q2391" t="n">
        <v>0</v>
      </c>
      <c r="R2391" t="n">
        <v>0</v>
      </c>
      <c r="S2391" t="n">
        <v>0</v>
      </c>
      <c r="T2391" t="n">
        <v>0</v>
      </c>
      <c r="U2391" t="n">
        <v>0</v>
      </c>
      <c r="V2391" s="2" t="inlineStr"/>
    </row>
    <row r="2392" ht="15" customHeight="1">
      <c r="A2392" t="inlineStr">
        <is>
          <t>A 22866-2024</t>
        </is>
      </c>
      <c r="B2392" t="inlineStr">
        <is>
          <t>avverkningsanmälan</t>
        </is>
      </c>
      <c r="C2392" t="inlineStr">
        <is>
          <t>Föryngringsavverkning</t>
        </is>
      </c>
      <c r="D2392" s="1" t="n">
        <v>45448</v>
      </c>
      <c r="E2392" s="1" t="n">
        <v>46313</v>
      </c>
      <c r="F2392" t="inlineStr">
        <is>
          <t>SÖDERMANLANDS LÄN</t>
        </is>
      </c>
      <c r="G2392" t="inlineStr">
        <is>
          <t>VINGÅKER</t>
        </is>
      </c>
      <c r="I2392" t="n">
        <v>2.7</v>
      </c>
      <c r="J2392" t="n">
        <v>0</v>
      </c>
      <c r="K2392" t="n">
        <v>0</v>
      </c>
      <c r="L2392" t="n">
        <v>0</v>
      </c>
      <c r="M2392" t="n">
        <v>0</v>
      </c>
      <c r="N2392" t="n">
        <v>0</v>
      </c>
      <c r="O2392" t="n">
        <v>0</v>
      </c>
      <c r="P2392" t="n">
        <v>0</v>
      </c>
      <c r="Q2392" t="n">
        <v>0</v>
      </c>
      <c r="R2392" t="n">
        <v>0</v>
      </c>
      <c r="S2392" t="n">
        <v>0</v>
      </c>
      <c r="T2392" t="n">
        <v>0</v>
      </c>
      <c r="U2392" t="n">
        <v>0</v>
      </c>
      <c r="V2392" s="2" t="inlineStr"/>
    </row>
    <row r="2393" ht="15" customHeight="1">
      <c r="A2393" t="inlineStr">
        <is>
          <t>A 16689-2026</t>
        </is>
      </c>
      <c r="B2393" t="inlineStr">
        <is>
          <t>avverkningsanmälan</t>
        </is>
      </c>
      <c r="C2393" t="inlineStr">
        <is>
          <t>Föryngringsavverkning</t>
        </is>
      </c>
      <c r="D2393" s="1" t="n">
        <v>46112</v>
      </c>
      <c r="E2393" s="1" t="n">
        <v>46313</v>
      </c>
      <c r="F2393" t="inlineStr">
        <is>
          <t>SÖDERMANLANDS LÄN</t>
        </is>
      </c>
      <c r="G2393" t="inlineStr">
        <is>
          <t>GNESTA</t>
        </is>
      </c>
      <c r="I2393" t="n">
        <v>1.5</v>
      </c>
      <c r="J2393" t="n">
        <v>0</v>
      </c>
      <c r="K2393" t="n">
        <v>0</v>
      </c>
      <c r="L2393" t="n">
        <v>0</v>
      </c>
      <c r="M2393" t="n">
        <v>0</v>
      </c>
      <c r="N2393" t="n">
        <v>0</v>
      </c>
      <c r="O2393" t="n">
        <v>0</v>
      </c>
      <c r="P2393" t="n">
        <v>0</v>
      </c>
      <c r="Q2393" t="n">
        <v>0</v>
      </c>
      <c r="R2393" t="n">
        <v>0</v>
      </c>
      <c r="S2393" t="n">
        <v>0</v>
      </c>
      <c r="T2393" t="n">
        <v>0</v>
      </c>
      <c r="U2393" t="n">
        <v>0</v>
      </c>
      <c r="V2393" s="2" t="inlineStr"/>
    </row>
    <row r="2394" ht="15" customHeight="1">
      <c r="A2394" t="inlineStr">
        <is>
          <t>A 56497-2022</t>
        </is>
      </c>
      <c r="B2394" t="inlineStr">
        <is>
          <t>avverkningsanmälan</t>
        </is>
      </c>
      <c r="C2394" t="inlineStr">
        <is>
          <t>Föryngringsavverkning</t>
        </is>
      </c>
      <c r="D2394" s="1" t="n">
        <v>44887</v>
      </c>
      <c r="E2394" s="1" t="n">
        <v>46313</v>
      </c>
      <c r="F2394" t="inlineStr">
        <is>
          <t>SÖDERMANLANDS LÄN</t>
        </is>
      </c>
      <c r="G2394" t="inlineStr">
        <is>
          <t>FLEN</t>
        </is>
      </c>
      <c r="I2394" t="n">
        <v>1.1</v>
      </c>
      <c r="J2394" t="n">
        <v>0</v>
      </c>
      <c r="K2394" t="n">
        <v>0</v>
      </c>
      <c r="L2394" t="n">
        <v>0</v>
      </c>
      <c r="M2394" t="n">
        <v>0</v>
      </c>
      <c r="N2394" t="n">
        <v>0</v>
      </c>
      <c r="O2394" t="n">
        <v>0</v>
      </c>
      <c r="P2394" t="n">
        <v>0</v>
      </c>
      <c r="Q2394" t="n">
        <v>0</v>
      </c>
      <c r="R2394" t="n">
        <v>0</v>
      </c>
      <c r="S2394" t="n">
        <v>0</v>
      </c>
      <c r="T2394" t="n">
        <v>0</v>
      </c>
      <c r="U2394" t="n">
        <v>0</v>
      </c>
      <c r="V2394" s="2" t="inlineStr"/>
    </row>
    <row r="2395" ht="15" customHeight="1">
      <c r="A2395" t="inlineStr">
        <is>
          <t>A 28852-2026</t>
        </is>
      </c>
      <c r="B2395" t="inlineStr">
        <is>
          <t>avverkningsanmälan</t>
        </is>
      </c>
      <c r="C2395" t="inlineStr">
        <is>
          <t>Föryngringsavverkning</t>
        </is>
      </c>
      <c r="D2395" s="1" t="n">
        <v>46198</v>
      </c>
      <c r="E2395" s="1" t="n">
        <v>46313</v>
      </c>
      <c r="F2395" t="inlineStr">
        <is>
          <t>SÖDERMANLANDS LÄN</t>
        </is>
      </c>
      <c r="G2395" t="inlineStr">
        <is>
          <t>GNESTA</t>
        </is>
      </c>
      <c r="I2395" t="n">
        <v>0.5</v>
      </c>
      <c r="J2395" t="n">
        <v>0</v>
      </c>
      <c r="K2395" t="n">
        <v>0</v>
      </c>
      <c r="L2395" t="n">
        <v>0</v>
      </c>
      <c r="M2395" t="n">
        <v>0</v>
      </c>
      <c r="N2395" t="n">
        <v>0</v>
      </c>
      <c r="O2395" t="n">
        <v>0</v>
      </c>
      <c r="P2395" t="n">
        <v>0</v>
      </c>
      <c r="Q2395" t="n">
        <v>0</v>
      </c>
      <c r="R2395" t="n">
        <v>0</v>
      </c>
      <c r="S2395" t="n">
        <v>0</v>
      </c>
      <c r="T2395" t="n">
        <v>0</v>
      </c>
      <c r="U2395" t="n">
        <v>0</v>
      </c>
      <c r="V2395" s="2" t="inlineStr"/>
    </row>
    <row r="2396" ht="15" customHeight="1">
      <c r="A2396" t="inlineStr">
        <is>
          <t>A 28999-2026</t>
        </is>
      </c>
      <c r="B2396" t="inlineStr">
        <is>
          <t>avverkningsanmälan</t>
        </is>
      </c>
      <c r="C2396" t="inlineStr">
        <is>
          <t>Föryngringsavverkning</t>
        </is>
      </c>
      <c r="D2396" s="1" t="n">
        <v>46199</v>
      </c>
      <c r="E2396" s="1" t="n">
        <v>46313</v>
      </c>
      <c r="F2396" t="inlineStr">
        <is>
          <t>SÖDERMANLANDS LÄN</t>
        </is>
      </c>
      <c r="G2396" t="inlineStr">
        <is>
          <t>KATRINEHOLM</t>
        </is>
      </c>
      <c r="I2396" t="n">
        <v>13.4</v>
      </c>
      <c r="J2396" t="n">
        <v>0</v>
      </c>
      <c r="K2396" t="n">
        <v>0</v>
      </c>
      <c r="L2396" t="n">
        <v>0</v>
      </c>
      <c r="M2396" t="n">
        <v>0</v>
      </c>
      <c r="N2396" t="n">
        <v>0</v>
      </c>
      <c r="O2396" t="n">
        <v>0</v>
      </c>
      <c r="P2396" t="n">
        <v>0</v>
      </c>
      <c r="Q2396" t="n">
        <v>0</v>
      </c>
      <c r="R2396" t="n">
        <v>0</v>
      </c>
      <c r="S2396" t="n">
        <v>0</v>
      </c>
      <c r="T2396" t="n">
        <v>0</v>
      </c>
      <c r="U2396" t="n">
        <v>0</v>
      </c>
      <c r="V2396" s="2" t="inlineStr"/>
    </row>
    <row r="2397" ht="15" customHeight="1">
      <c r="A2397" t="inlineStr">
        <is>
          <t>A 16688-2026</t>
        </is>
      </c>
      <c r="B2397" t="inlineStr">
        <is>
          <t>avverkningsanmälan</t>
        </is>
      </c>
      <c r="C2397" t="inlineStr">
        <is>
          <t>Föryngringsavverkning</t>
        </is>
      </c>
      <c r="D2397" s="1" t="n">
        <v>46112</v>
      </c>
      <c r="E2397" s="1" t="n">
        <v>46313</v>
      </c>
      <c r="F2397" t="inlineStr">
        <is>
          <t>SÖDERMANLANDS LÄN</t>
        </is>
      </c>
      <c r="G2397" t="inlineStr">
        <is>
          <t>GNESTA</t>
        </is>
      </c>
      <c r="I2397" t="n">
        <v>2.2</v>
      </c>
      <c r="J2397" t="n">
        <v>0</v>
      </c>
      <c r="K2397" t="n">
        <v>0</v>
      </c>
      <c r="L2397" t="n">
        <v>0</v>
      </c>
      <c r="M2397" t="n">
        <v>0</v>
      </c>
      <c r="N2397" t="n">
        <v>0</v>
      </c>
      <c r="O2397" t="n">
        <v>0</v>
      </c>
      <c r="P2397" t="n">
        <v>0</v>
      </c>
      <c r="Q2397" t="n">
        <v>0</v>
      </c>
      <c r="R2397" t="n">
        <v>0</v>
      </c>
      <c r="S2397" t="n">
        <v>0</v>
      </c>
      <c r="T2397" t="n">
        <v>0</v>
      </c>
      <c r="U2397" t="n">
        <v>0</v>
      </c>
      <c r="V2397" s="2" t="inlineStr"/>
    </row>
    <row r="2398" ht="15" customHeight="1">
      <c r="A2398" t="inlineStr">
        <is>
          <t>A 16690-2026</t>
        </is>
      </c>
      <c r="B2398" t="inlineStr">
        <is>
          <t>avverkningsanmälan</t>
        </is>
      </c>
      <c r="C2398" t="inlineStr">
        <is>
          <t>Föryngringsavverkning</t>
        </is>
      </c>
      <c r="D2398" s="1" t="n">
        <v>46112</v>
      </c>
      <c r="E2398" s="1" t="n">
        <v>46313</v>
      </c>
      <c r="F2398" t="inlineStr">
        <is>
          <t>SÖDERMANLANDS LÄN</t>
        </is>
      </c>
      <c r="G2398" t="inlineStr">
        <is>
          <t>GNESTA</t>
        </is>
      </c>
      <c r="I2398" t="n">
        <v>2.6</v>
      </c>
      <c r="J2398" t="n">
        <v>0</v>
      </c>
      <c r="K2398" t="n">
        <v>0</v>
      </c>
      <c r="L2398" t="n">
        <v>0</v>
      </c>
      <c r="M2398" t="n">
        <v>0</v>
      </c>
      <c r="N2398" t="n">
        <v>0</v>
      </c>
      <c r="O2398" t="n">
        <v>0</v>
      </c>
      <c r="P2398" t="n">
        <v>0</v>
      </c>
      <c r="Q2398" t="n">
        <v>0</v>
      </c>
      <c r="R2398" t="n">
        <v>0</v>
      </c>
      <c r="S2398" t="n">
        <v>0</v>
      </c>
      <c r="T2398" t="n">
        <v>0</v>
      </c>
      <c r="U2398" t="n">
        <v>0</v>
      </c>
      <c r="V2398" s="2" t="inlineStr"/>
    </row>
    <row r="2399" ht="15" customHeight="1">
      <c r="A2399" t="inlineStr">
        <is>
          <t>A 28812-2026</t>
        </is>
      </c>
      <c r="B2399" t="inlineStr">
        <is>
          <t>avverkningsanmälan</t>
        </is>
      </c>
      <c r="C2399" t="inlineStr">
        <is>
          <t>Föryngringsavverkning</t>
        </is>
      </c>
      <c r="D2399" s="1" t="n">
        <v>46198</v>
      </c>
      <c r="E2399" s="1" t="n">
        <v>46313</v>
      </c>
      <c r="F2399" t="inlineStr">
        <is>
          <t>SÖDERMANLANDS LÄN</t>
        </is>
      </c>
      <c r="G2399" t="inlineStr">
        <is>
          <t>GNESTA</t>
        </is>
      </c>
      <c r="I2399" t="n">
        <v>1.5</v>
      </c>
      <c r="J2399" t="n">
        <v>0</v>
      </c>
      <c r="K2399" t="n">
        <v>0</v>
      </c>
      <c r="L2399" t="n">
        <v>0</v>
      </c>
      <c r="M2399" t="n">
        <v>0</v>
      </c>
      <c r="N2399" t="n">
        <v>0</v>
      </c>
      <c r="O2399" t="n">
        <v>0</v>
      </c>
      <c r="P2399" t="n">
        <v>0</v>
      </c>
      <c r="Q2399" t="n">
        <v>0</v>
      </c>
      <c r="R2399" t="n">
        <v>0</v>
      </c>
      <c r="S2399" t="n">
        <v>0</v>
      </c>
      <c r="T2399" t="n">
        <v>0</v>
      </c>
      <c r="U2399" t="n">
        <v>0</v>
      </c>
      <c r="V2399" s="2" t="inlineStr"/>
    </row>
    <row r="2400" ht="15" customHeight="1">
      <c r="A2400" t="inlineStr">
        <is>
          <t>A 28840-2026</t>
        </is>
      </c>
      <c r="B2400" t="inlineStr">
        <is>
          <t>avverkningsanmälan</t>
        </is>
      </c>
      <c r="C2400" t="inlineStr">
        <is>
          <t>Föryngringsavverkning</t>
        </is>
      </c>
      <c r="D2400" s="1" t="n">
        <v>46198</v>
      </c>
      <c r="E2400" s="1" t="n">
        <v>46313</v>
      </c>
      <c r="F2400" t="inlineStr">
        <is>
          <t>SÖDERMANLANDS LÄN</t>
        </is>
      </c>
      <c r="G2400" t="inlineStr">
        <is>
          <t>GNESTA</t>
        </is>
      </c>
      <c r="I2400" t="n">
        <v>1.3</v>
      </c>
      <c r="J2400" t="n">
        <v>0</v>
      </c>
      <c r="K2400" t="n">
        <v>0</v>
      </c>
      <c r="L2400" t="n">
        <v>0</v>
      </c>
      <c r="M2400" t="n">
        <v>0</v>
      </c>
      <c r="N2400" t="n">
        <v>0</v>
      </c>
      <c r="O2400" t="n">
        <v>0</v>
      </c>
      <c r="P2400" t="n">
        <v>0</v>
      </c>
      <c r="Q2400" t="n">
        <v>0</v>
      </c>
      <c r="R2400" t="n">
        <v>0</v>
      </c>
      <c r="S2400" t="n">
        <v>0</v>
      </c>
      <c r="T2400" t="n">
        <v>0</v>
      </c>
      <c r="U2400" t="n">
        <v>0</v>
      </c>
      <c r="V2400" s="2" t="inlineStr"/>
    </row>
    <row r="2401" ht="15" customHeight="1">
      <c r="A2401" t="inlineStr">
        <is>
          <t>A 53722-2023</t>
        </is>
      </c>
      <c r="B2401" t="inlineStr">
        <is>
          <t>avverkningsanmälan</t>
        </is>
      </c>
      <c r="C2401" t="inlineStr">
        <is>
          <t>Föryngringsavverkning</t>
        </is>
      </c>
      <c r="D2401" s="1" t="n">
        <v>45230</v>
      </c>
      <c r="E2401" s="1" t="n">
        <v>46313</v>
      </c>
      <c r="F2401" t="inlineStr">
        <is>
          <t>SÖDERMANLANDS LÄN</t>
        </is>
      </c>
      <c r="G2401" t="inlineStr">
        <is>
          <t>KATRINEHOLM</t>
        </is>
      </c>
      <c r="H2401" t="inlineStr">
        <is>
          <t>Allmännings- och besparingsskogar</t>
        </is>
      </c>
      <c r="I2401" t="n">
        <v>8.199999999999999</v>
      </c>
      <c r="J2401" t="n">
        <v>0</v>
      </c>
      <c r="K2401" t="n">
        <v>0</v>
      </c>
      <c r="L2401" t="n">
        <v>0</v>
      </c>
      <c r="M2401" t="n">
        <v>0</v>
      </c>
      <c r="N2401" t="n">
        <v>0</v>
      </c>
      <c r="O2401" t="n">
        <v>0</v>
      </c>
      <c r="P2401" t="n">
        <v>0</v>
      </c>
      <c r="Q2401" t="n">
        <v>0</v>
      </c>
      <c r="R2401" t="n">
        <v>0</v>
      </c>
      <c r="S2401" t="n">
        <v>0</v>
      </c>
      <c r="T2401" t="n">
        <v>0</v>
      </c>
      <c r="U2401" t="n">
        <v>0</v>
      </c>
      <c r="V2401" s="2" t="inlineStr"/>
    </row>
    <row r="2402" ht="15" customHeight="1">
      <c r="A2402" t="inlineStr">
        <is>
          <t>A 29485-2026</t>
        </is>
      </c>
      <c r="B2402" t="inlineStr">
        <is>
          <t>avverkningsanmälan</t>
        </is>
      </c>
      <c r="C2402" t="inlineStr">
        <is>
          <t>Föryngringsavverkning</t>
        </is>
      </c>
      <c r="D2402" s="1" t="n">
        <v>46198</v>
      </c>
      <c r="E2402" s="1" t="n">
        <v>46313</v>
      </c>
      <c r="F2402" t="inlineStr">
        <is>
          <t>SÖDERMANLANDS LÄN</t>
        </is>
      </c>
      <c r="G2402" t="inlineStr">
        <is>
          <t>NYKÖPING</t>
        </is>
      </c>
      <c r="I2402" t="n">
        <v>1.3</v>
      </c>
      <c r="J2402" t="n">
        <v>0</v>
      </c>
      <c r="K2402" t="n">
        <v>0</v>
      </c>
      <c r="L2402" t="n">
        <v>0</v>
      </c>
      <c r="M2402" t="n">
        <v>0</v>
      </c>
      <c r="N2402" t="n">
        <v>0</v>
      </c>
      <c r="O2402" t="n">
        <v>0</v>
      </c>
      <c r="P2402" t="n">
        <v>0</v>
      </c>
      <c r="Q2402" t="n">
        <v>0</v>
      </c>
      <c r="R2402" t="n">
        <v>0</v>
      </c>
      <c r="S2402" t="n">
        <v>0</v>
      </c>
      <c r="T2402" t="n">
        <v>0</v>
      </c>
      <c r="U2402" t="n">
        <v>0</v>
      </c>
      <c r="V2402" s="2" t="inlineStr"/>
    </row>
    <row r="2403" ht="15" customHeight="1">
      <c r="A2403" t="inlineStr">
        <is>
          <t>A 28946-2026</t>
        </is>
      </c>
      <c r="B2403" t="inlineStr">
        <is>
          <t>avverkningsanmälan</t>
        </is>
      </c>
      <c r="C2403" t="inlineStr">
        <is>
          <t>Föryngringsavverkning</t>
        </is>
      </c>
      <c r="D2403" s="1" t="n">
        <v>46199</v>
      </c>
      <c r="E2403" s="1" t="n">
        <v>46313</v>
      </c>
      <c r="F2403" t="inlineStr">
        <is>
          <t>SÖDERMANLANDS LÄN</t>
        </is>
      </c>
      <c r="G2403" t="inlineStr">
        <is>
          <t>KATRINEHOLM</t>
        </is>
      </c>
      <c r="I2403" t="n">
        <v>7.7</v>
      </c>
      <c r="J2403" t="n">
        <v>0</v>
      </c>
      <c r="K2403" t="n">
        <v>0</v>
      </c>
      <c r="L2403" t="n">
        <v>0</v>
      </c>
      <c r="M2403" t="n">
        <v>0</v>
      </c>
      <c r="N2403" t="n">
        <v>0</v>
      </c>
      <c r="O2403" t="n">
        <v>0</v>
      </c>
      <c r="P2403" t="n">
        <v>0</v>
      </c>
      <c r="Q2403" t="n">
        <v>0</v>
      </c>
      <c r="R2403" t="n">
        <v>0</v>
      </c>
      <c r="S2403" t="n">
        <v>0</v>
      </c>
      <c r="T2403" t="n">
        <v>0</v>
      </c>
      <c r="U2403" t="n">
        <v>0</v>
      </c>
      <c r="V2403" s="2" t="inlineStr"/>
    </row>
    <row r="2404" ht="15" customHeight="1">
      <c r="A2404" t="inlineStr">
        <is>
          <t>A 4549-2023</t>
        </is>
      </c>
      <c r="B2404" t="inlineStr">
        <is>
          <t>avverkningsanmälan</t>
        </is>
      </c>
      <c r="C2404" t="inlineStr">
        <is>
          <t>Föryngringsavverkning</t>
        </is>
      </c>
      <c r="D2404" s="1" t="n">
        <v>44956</v>
      </c>
      <c r="E2404" s="1" t="n">
        <v>46313</v>
      </c>
      <c r="F2404" t="inlineStr">
        <is>
          <t>SÖDERMANLANDS LÄN</t>
        </is>
      </c>
      <c r="G2404" t="inlineStr">
        <is>
          <t>ESKILSTUNA</t>
        </is>
      </c>
      <c r="I2404" t="n">
        <v>0.8</v>
      </c>
      <c r="J2404" t="n">
        <v>0</v>
      </c>
      <c r="K2404" t="n">
        <v>0</v>
      </c>
      <c r="L2404" t="n">
        <v>0</v>
      </c>
      <c r="M2404" t="n">
        <v>0</v>
      </c>
      <c r="N2404" t="n">
        <v>0</v>
      </c>
      <c r="O2404" t="n">
        <v>0</v>
      </c>
      <c r="P2404" t="n">
        <v>0</v>
      </c>
      <c r="Q2404" t="n">
        <v>0</v>
      </c>
      <c r="R2404" t="n">
        <v>0</v>
      </c>
      <c r="S2404" t="n">
        <v>0</v>
      </c>
      <c r="T2404" t="n">
        <v>0</v>
      </c>
      <c r="U2404" t="n">
        <v>0</v>
      </c>
      <c r="V2404" s="2" t="inlineStr"/>
    </row>
    <row r="2405" ht="15" customHeight="1">
      <c r="A2405" t="inlineStr">
        <is>
          <t>A 16502-2026</t>
        </is>
      </c>
      <c r="B2405" t="inlineStr">
        <is>
          <t>avverkningsanmälan</t>
        </is>
      </c>
      <c r="C2405" t="inlineStr">
        <is>
          <t>Föryngringsavverkning</t>
        </is>
      </c>
      <c r="D2405" s="1" t="n">
        <v>46112</v>
      </c>
      <c r="E2405" s="1" t="n">
        <v>46313</v>
      </c>
      <c r="F2405" t="inlineStr">
        <is>
          <t>SÖDERMANLANDS LÄN</t>
        </is>
      </c>
      <c r="G2405" t="inlineStr">
        <is>
          <t>FLEN</t>
        </is>
      </c>
      <c r="I2405" t="n">
        <v>2.9</v>
      </c>
      <c r="J2405" t="n">
        <v>0</v>
      </c>
      <c r="K2405" t="n">
        <v>0</v>
      </c>
      <c r="L2405" t="n">
        <v>0</v>
      </c>
      <c r="M2405" t="n">
        <v>0</v>
      </c>
      <c r="N2405" t="n">
        <v>0</v>
      </c>
      <c r="O2405" t="n">
        <v>0</v>
      </c>
      <c r="P2405" t="n">
        <v>0</v>
      </c>
      <c r="Q2405" t="n">
        <v>0</v>
      </c>
      <c r="R2405" t="n">
        <v>0</v>
      </c>
      <c r="S2405" t="n">
        <v>0</v>
      </c>
      <c r="T2405" t="n">
        <v>0</v>
      </c>
      <c r="U2405" t="n">
        <v>0</v>
      </c>
      <c r="V2405" s="2" t="inlineStr"/>
    </row>
    <row r="2406" ht="15" customHeight="1">
      <c r="A2406" t="inlineStr">
        <is>
          <t>A 16432-2026</t>
        </is>
      </c>
      <c r="B2406" t="inlineStr">
        <is>
          <t>avverkningsanmälan</t>
        </is>
      </c>
      <c r="C2406" t="inlineStr">
        <is>
          <t>Föryngringsavverkning</t>
        </is>
      </c>
      <c r="D2406" s="1" t="n">
        <v>46111</v>
      </c>
      <c r="E2406" s="1" t="n">
        <v>46313</v>
      </c>
      <c r="F2406" t="inlineStr">
        <is>
          <t>SÖDERMANLANDS LÄN</t>
        </is>
      </c>
      <c r="G2406" t="inlineStr">
        <is>
          <t>KATRINEHOLM</t>
        </is>
      </c>
      <c r="I2406" t="n">
        <v>2.2</v>
      </c>
      <c r="J2406" t="n">
        <v>0</v>
      </c>
      <c r="K2406" t="n">
        <v>0</v>
      </c>
      <c r="L2406" t="n">
        <v>0</v>
      </c>
      <c r="M2406" t="n">
        <v>0</v>
      </c>
      <c r="N2406" t="n">
        <v>0</v>
      </c>
      <c r="O2406" t="n">
        <v>0</v>
      </c>
      <c r="P2406" t="n">
        <v>0</v>
      </c>
      <c r="Q2406" t="n">
        <v>0</v>
      </c>
      <c r="R2406" t="n">
        <v>0</v>
      </c>
      <c r="S2406" t="n">
        <v>0</v>
      </c>
      <c r="T2406" t="n">
        <v>0</v>
      </c>
      <c r="U2406" t="n">
        <v>0</v>
      </c>
      <c r="V2406" s="2" t="inlineStr"/>
    </row>
    <row r="2407" ht="15" customHeight="1">
      <c r="A2407" t="inlineStr">
        <is>
          <t>A 54656-2023</t>
        </is>
      </c>
      <c r="B2407" t="inlineStr">
        <is>
          <t>avverkningsanmälan</t>
        </is>
      </c>
      <c r="C2407" t="inlineStr">
        <is>
          <t>Avverkning för att bevara och utveckla /försöksver</t>
        </is>
      </c>
      <c r="D2407" s="1" t="n">
        <v>45235</v>
      </c>
      <c r="E2407" s="1" t="n">
        <v>46313</v>
      </c>
      <c r="F2407" t="inlineStr">
        <is>
          <t>SÖDERMANLANDS LÄN</t>
        </is>
      </c>
      <c r="G2407" t="inlineStr">
        <is>
          <t>STRÄNGNÄS</t>
        </is>
      </c>
      <c r="I2407" t="n">
        <v>3.4</v>
      </c>
      <c r="J2407" t="n">
        <v>0</v>
      </c>
      <c r="K2407" t="n">
        <v>0</v>
      </c>
      <c r="L2407" t="n">
        <v>0</v>
      </c>
      <c r="M2407" t="n">
        <v>0</v>
      </c>
      <c r="N2407" t="n">
        <v>0</v>
      </c>
      <c r="O2407" t="n">
        <v>0</v>
      </c>
      <c r="P2407" t="n">
        <v>0</v>
      </c>
      <c r="Q2407" t="n">
        <v>0</v>
      </c>
      <c r="R2407" t="n">
        <v>0</v>
      </c>
      <c r="S2407" t="n">
        <v>0</v>
      </c>
      <c r="T2407" t="n">
        <v>0</v>
      </c>
      <c r="U2407" t="n">
        <v>0</v>
      </c>
      <c r="V2407" s="2" t="inlineStr"/>
    </row>
    <row r="2408" ht="15" customHeight="1">
      <c r="A2408" t="inlineStr">
        <is>
          <t>A 54742-2023</t>
        </is>
      </c>
      <c r="B2408" t="inlineStr">
        <is>
          <t>avverkningsanmälan</t>
        </is>
      </c>
      <c r="C2408" t="inlineStr">
        <is>
          <t>Föryngringsavverkning</t>
        </is>
      </c>
      <c r="D2408" s="1" t="n">
        <v>45236</v>
      </c>
      <c r="E2408" s="1" t="n">
        <v>46313</v>
      </c>
      <c r="F2408" t="inlineStr">
        <is>
          <t>SÖDERMANLANDS LÄN</t>
        </is>
      </c>
      <c r="G2408" t="inlineStr">
        <is>
          <t>VINGÅKER</t>
        </is>
      </c>
      <c r="I2408" t="n">
        <v>3.4</v>
      </c>
      <c r="J2408" t="n">
        <v>0</v>
      </c>
      <c r="K2408" t="n">
        <v>0</v>
      </c>
      <c r="L2408" t="n">
        <v>0</v>
      </c>
      <c r="M2408" t="n">
        <v>0</v>
      </c>
      <c r="N2408" t="n">
        <v>0</v>
      </c>
      <c r="O2408" t="n">
        <v>0</v>
      </c>
      <c r="P2408" t="n">
        <v>0</v>
      </c>
      <c r="Q2408" t="n">
        <v>0</v>
      </c>
      <c r="R2408" t="n">
        <v>0</v>
      </c>
      <c r="S2408" t="n">
        <v>0</v>
      </c>
      <c r="T2408" t="n">
        <v>0</v>
      </c>
      <c r="U2408" t="n">
        <v>0</v>
      </c>
      <c r="V2408" s="2" t="inlineStr"/>
    </row>
    <row r="2409" ht="15" customHeight="1">
      <c r="A2409" t="inlineStr">
        <is>
          <t>A 28816-2026</t>
        </is>
      </c>
      <c r="B2409" t="inlineStr">
        <is>
          <t>avverkningsanmälan</t>
        </is>
      </c>
      <c r="C2409" t="inlineStr">
        <is>
          <t>Föryngringsavverkning</t>
        </is>
      </c>
      <c r="D2409" s="1" t="n">
        <v>46198</v>
      </c>
      <c r="E2409" s="1" t="n">
        <v>46313</v>
      </c>
      <c r="F2409" t="inlineStr">
        <is>
          <t>SÖDERMANLANDS LÄN</t>
        </is>
      </c>
      <c r="G2409" t="inlineStr">
        <is>
          <t>GNESTA</t>
        </is>
      </c>
      <c r="I2409" t="n">
        <v>4.1</v>
      </c>
      <c r="J2409" t="n">
        <v>0</v>
      </c>
      <c r="K2409" t="n">
        <v>0</v>
      </c>
      <c r="L2409" t="n">
        <v>0</v>
      </c>
      <c r="M2409" t="n">
        <v>0</v>
      </c>
      <c r="N2409" t="n">
        <v>0</v>
      </c>
      <c r="O2409" t="n">
        <v>0</v>
      </c>
      <c r="P2409" t="n">
        <v>0</v>
      </c>
      <c r="Q2409" t="n">
        <v>0</v>
      </c>
      <c r="R2409" t="n">
        <v>0</v>
      </c>
      <c r="S2409" t="n">
        <v>0</v>
      </c>
      <c r="T2409" t="n">
        <v>0</v>
      </c>
      <c r="U2409" t="n">
        <v>0</v>
      </c>
      <c r="V2409" s="2" t="inlineStr"/>
    </row>
    <row r="2410" ht="15" customHeight="1">
      <c r="A2410" t="inlineStr">
        <is>
          <t>A 5109-2023</t>
        </is>
      </c>
      <c r="B2410" t="inlineStr">
        <is>
          <t>avverkningsanmälan</t>
        </is>
      </c>
      <c r="C2410" t="inlineStr">
        <is>
          <t>Föryngringsavverkning</t>
        </is>
      </c>
      <c r="D2410" s="1" t="n">
        <v>44958</v>
      </c>
      <c r="E2410" s="1" t="n">
        <v>46313</v>
      </c>
      <c r="F2410" t="inlineStr">
        <is>
          <t>SÖDERMANLANDS LÄN</t>
        </is>
      </c>
      <c r="G2410" t="inlineStr">
        <is>
          <t>FLEN</t>
        </is>
      </c>
      <c r="I2410" t="n">
        <v>7.5</v>
      </c>
      <c r="J2410" t="n">
        <v>0</v>
      </c>
      <c r="K2410" t="n">
        <v>0</v>
      </c>
      <c r="L2410" t="n">
        <v>0</v>
      </c>
      <c r="M2410" t="n">
        <v>0</v>
      </c>
      <c r="N2410" t="n">
        <v>0</v>
      </c>
      <c r="O2410" t="n">
        <v>0</v>
      </c>
      <c r="P2410" t="n">
        <v>0</v>
      </c>
      <c r="Q2410" t="n">
        <v>0</v>
      </c>
      <c r="R2410" t="n">
        <v>0</v>
      </c>
      <c r="S2410" t="n">
        <v>0</v>
      </c>
      <c r="T2410" t="n">
        <v>0</v>
      </c>
      <c r="U2410" t="n">
        <v>0</v>
      </c>
      <c r="V2410" s="2" t="inlineStr"/>
    </row>
    <row r="2411" ht="15" customHeight="1">
      <c r="A2411" t="inlineStr">
        <is>
          <t>A 16803-2026</t>
        </is>
      </c>
      <c r="B2411" t="inlineStr">
        <is>
          <t>avverkningsanmälan</t>
        </is>
      </c>
      <c r="C2411" t="inlineStr">
        <is>
          <t>Föryngringsavverkning</t>
        </is>
      </c>
      <c r="D2411" s="1" t="n">
        <v>46113</v>
      </c>
      <c r="E2411" s="1" t="n">
        <v>46313</v>
      </c>
      <c r="F2411" t="inlineStr">
        <is>
          <t>SÖDERMANLANDS LÄN</t>
        </is>
      </c>
      <c r="G2411" t="inlineStr">
        <is>
          <t>FLEN</t>
        </is>
      </c>
      <c r="I2411" t="n">
        <v>1.2</v>
      </c>
      <c r="J2411" t="n">
        <v>0</v>
      </c>
      <c r="K2411" t="n">
        <v>0</v>
      </c>
      <c r="L2411" t="n">
        <v>0</v>
      </c>
      <c r="M2411" t="n">
        <v>0</v>
      </c>
      <c r="N2411" t="n">
        <v>0</v>
      </c>
      <c r="O2411" t="n">
        <v>0</v>
      </c>
      <c r="P2411" t="n">
        <v>0</v>
      </c>
      <c r="Q2411" t="n">
        <v>0</v>
      </c>
      <c r="R2411" t="n">
        <v>0</v>
      </c>
      <c r="S2411" t="n">
        <v>0</v>
      </c>
      <c r="T2411" t="n">
        <v>0</v>
      </c>
      <c r="U2411" t="n">
        <v>0</v>
      </c>
      <c r="V2411" s="2" t="inlineStr"/>
    </row>
    <row r="2412" ht="15" customHeight="1">
      <c r="A2412" t="inlineStr">
        <is>
          <t>A 38869-2024</t>
        </is>
      </c>
      <c r="B2412" t="inlineStr">
        <is>
          <t>avverkningsanmälan</t>
        </is>
      </c>
      <c r="C2412" t="inlineStr">
        <is>
          <t>Föryngringsavverkning</t>
        </is>
      </c>
      <c r="D2412" s="1" t="n">
        <v>45547</v>
      </c>
      <c r="E2412" s="1" t="n">
        <v>46313</v>
      </c>
      <c r="F2412" t="inlineStr">
        <is>
          <t>SÖDERMANLANDS LÄN</t>
        </is>
      </c>
      <c r="G2412" t="inlineStr">
        <is>
          <t>KATRINEHOLM</t>
        </is>
      </c>
      <c r="I2412" t="n">
        <v>2.2</v>
      </c>
      <c r="J2412" t="n">
        <v>0</v>
      </c>
      <c r="K2412" t="n">
        <v>0</v>
      </c>
      <c r="L2412" t="n">
        <v>0</v>
      </c>
      <c r="M2412" t="n">
        <v>0</v>
      </c>
      <c r="N2412" t="n">
        <v>0</v>
      </c>
      <c r="O2412" t="n">
        <v>0</v>
      </c>
      <c r="P2412" t="n">
        <v>0</v>
      </c>
      <c r="Q2412" t="n">
        <v>0</v>
      </c>
      <c r="R2412" t="n">
        <v>0</v>
      </c>
      <c r="S2412" t="n">
        <v>0</v>
      </c>
      <c r="T2412" t="n">
        <v>0</v>
      </c>
      <c r="U2412" t="n">
        <v>0</v>
      </c>
      <c r="V2412" s="2" t="inlineStr"/>
    </row>
    <row r="2413" ht="15" customHeight="1">
      <c r="A2413" t="inlineStr">
        <is>
          <t>A 19523-2024</t>
        </is>
      </c>
      <c r="B2413" t="inlineStr">
        <is>
          <t>avverkningsanmälan</t>
        </is>
      </c>
      <c r="C2413" t="inlineStr">
        <is>
          <t>Föryngringsavverkning</t>
        </is>
      </c>
      <c r="D2413" s="1" t="n">
        <v>45429</v>
      </c>
      <c r="E2413" s="1" t="n">
        <v>46313</v>
      </c>
      <c r="F2413" t="inlineStr">
        <is>
          <t>SÖDERMANLANDS LÄN</t>
        </is>
      </c>
      <c r="G2413" t="inlineStr">
        <is>
          <t>ESKILSTUNA</t>
        </is>
      </c>
      <c r="I2413" t="n">
        <v>2</v>
      </c>
      <c r="J2413" t="n">
        <v>0</v>
      </c>
      <c r="K2413" t="n">
        <v>0</v>
      </c>
      <c r="L2413" t="n">
        <v>0</v>
      </c>
      <c r="M2413" t="n">
        <v>0</v>
      </c>
      <c r="N2413" t="n">
        <v>0</v>
      </c>
      <c r="O2413" t="n">
        <v>0</v>
      </c>
      <c r="P2413" t="n">
        <v>0</v>
      </c>
      <c r="Q2413" t="n">
        <v>0</v>
      </c>
      <c r="R2413" t="n">
        <v>0</v>
      </c>
      <c r="S2413" t="n">
        <v>0</v>
      </c>
      <c r="T2413" t="n">
        <v>0</v>
      </c>
      <c r="U2413" t="n">
        <v>0</v>
      </c>
      <c r="V2413" s="2" t="inlineStr"/>
    </row>
    <row r="2414" ht="15" customHeight="1">
      <c r="A2414" t="inlineStr">
        <is>
          <t>A 62140-2022</t>
        </is>
      </c>
      <c r="B2414" t="inlineStr">
        <is>
          <t>avverkningsanmälan</t>
        </is>
      </c>
      <c r="C2414" t="inlineStr">
        <is>
          <t>Föryngringsavverkning</t>
        </is>
      </c>
      <c r="D2414" s="1" t="n">
        <v>44922</v>
      </c>
      <c r="E2414" s="1" t="n">
        <v>46313</v>
      </c>
      <c r="F2414" t="inlineStr">
        <is>
          <t>SÖDERMANLANDS LÄN</t>
        </is>
      </c>
      <c r="G2414" t="inlineStr">
        <is>
          <t>KATRINEHOLM</t>
        </is>
      </c>
      <c r="H2414" t="inlineStr">
        <is>
          <t>Övriga Aktiebolag</t>
        </is>
      </c>
      <c r="I2414" t="n">
        <v>2.4</v>
      </c>
      <c r="J2414" t="n">
        <v>0</v>
      </c>
      <c r="K2414" t="n">
        <v>0</v>
      </c>
      <c r="L2414" t="n">
        <v>0</v>
      </c>
      <c r="M2414" t="n">
        <v>0</v>
      </c>
      <c r="N2414" t="n">
        <v>0</v>
      </c>
      <c r="O2414" t="n">
        <v>0</v>
      </c>
      <c r="P2414" t="n">
        <v>0</v>
      </c>
      <c r="Q2414" t="n">
        <v>0</v>
      </c>
      <c r="R2414" t="n">
        <v>0</v>
      </c>
      <c r="S2414" t="n">
        <v>0</v>
      </c>
      <c r="T2414" t="n">
        <v>0</v>
      </c>
      <c r="U2414" t="n">
        <v>0</v>
      </c>
      <c r="V2414" s="2" t="inlineStr"/>
    </row>
    <row r="2415" ht="15" customHeight="1">
      <c r="A2415" t="inlineStr">
        <is>
          <t>A 46022-2025</t>
        </is>
      </c>
      <c r="B2415" t="inlineStr">
        <is>
          <t>avverkningsanmälan</t>
        </is>
      </c>
      <c r="C2415" t="inlineStr">
        <is>
          <t>Föryngringsavverkning</t>
        </is>
      </c>
      <c r="D2415" s="1" t="n">
        <v>45924</v>
      </c>
      <c r="E2415" s="1" t="n">
        <v>46313</v>
      </c>
      <c r="F2415" t="inlineStr">
        <is>
          <t>SÖDERMANLANDS LÄN</t>
        </is>
      </c>
      <c r="G2415" t="inlineStr">
        <is>
          <t>NYKÖPING</t>
        </is>
      </c>
      <c r="I2415" t="n">
        <v>4.6</v>
      </c>
      <c r="J2415" t="n">
        <v>0</v>
      </c>
      <c r="K2415" t="n">
        <v>0</v>
      </c>
      <c r="L2415" t="n">
        <v>0</v>
      </c>
      <c r="M2415" t="n">
        <v>0</v>
      </c>
      <c r="N2415" t="n">
        <v>0</v>
      </c>
      <c r="O2415" t="n">
        <v>0</v>
      </c>
      <c r="P2415" t="n">
        <v>0</v>
      </c>
      <c r="Q2415" t="n">
        <v>0</v>
      </c>
      <c r="R2415" t="n">
        <v>0</v>
      </c>
      <c r="S2415" t="n">
        <v>0</v>
      </c>
      <c r="T2415" t="n">
        <v>0</v>
      </c>
      <c r="U2415" t="n">
        <v>0</v>
      </c>
      <c r="V2415" s="2" t="inlineStr"/>
    </row>
    <row r="2416" ht="15" customHeight="1">
      <c r="A2416" t="inlineStr">
        <is>
          <t>A 17074-2026</t>
        </is>
      </c>
      <c r="B2416" t="inlineStr">
        <is>
          <t>avverkningsanmälan</t>
        </is>
      </c>
      <c r="C2416" t="inlineStr">
        <is>
          <t>Föryngringsavverkning</t>
        </is>
      </c>
      <c r="D2416" s="1" t="n">
        <v>46114</v>
      </c>
      <c r="E2416" s="1" t="n">
        <v>46313</v>
      </c>
      <c r="F2416" t="inlineStr">
        <is>
          <t>SÖDERMANLANDS LÄN</t>
        </is>
      </c>
      <c r="G2416" t="inlineStr">
        <is>
          <t>NYKÖPING</t>
        </is>
      </c>
      <c r="I2416" t="n">
        <v>2.2</v>
      </c>
      <c r="J2416" t="n">
        <v>0</v>
      </c>
      <c r="K2416" t="n">
        <v>0</v>
      </c>
      <c r="L2416" t="n">
        <v>0</v>
      </c>
      <c r="M2416" t="n">
        <v>0</v>
      </c>
      <c r="N2416" t="n">
        <v>0</v>
      </c>
      <c r="O2416" t="n">
        <v>0</v>
      </c>
      <c r="P2416" t="n">
        <v>0</v>
      </c>
      <c r="Q2416" t="n">
        <v>0</v>
      </c>
      <c r="R2416" t="n">
        <v>0</v>
      </c>
      <c r="S2416" t="n">
        <v>0</v>
      </c>
      <c r="T2416" t="n">
        <v>0</v>
      </c>
      <c r="U2416" t="n">
        <v>0</v>
      </c>
      <c r="V2416" s="2" t="inlineStr"/>
    </row>
    <row r="2417" ht="15" customHeight="1">
      <c r="A2417" t="inlineStr">
        <is>
          <t>A 29019-2026</t>
        </is>
      </c>
      <c r="B2417" t="inlineStr">
        <is>
          <t>avverkningsanmälan</t>
        </is>
      </c>
      <c r="C2417" t="inlineStr">
        <is>
          <t>Föryngringsavverkning</t>
        </is>
      </c>
      <c r="D2417" s="1" t="n">
        <v>46199</v>
      </c>
      <c r="E2417" s="1" t="n">
        <v>46313</v>
      </c>
      <c r="F2417" t="inlineStr">
        <is>
          <t>SÖDERMANLANDS LÄN</t>
        </is>
      </c>
      <c r="G2417" t="inlineStr">
        <is>
          <t>KATRINEHOLM</t>
        </is>
      </c>
      <c r="I2417" t="n">
        <v>9.800000000000001</v>
      </c>
      <c r="J2417" t="n">
        <v>0</v>
      </c>
      <c r="K2417" t="n">
        <v>0</v>
      </c>
      <c r="L2417" t="n">
        <v>0</v>
      </c>
      <c r="M2417" t="n">
        <v>0</v>
      </c>
      <c r="N2417" t="n">
        <v>0</v>
      </c>
      <c r="O2417" t="n">
        <v>0</v>
      </c>
      <c r="P2417" t="n">
        <v>0</v>
      </c>
      <c r="Q2417" t="n">
        <v>0</v>
      </c>
      <c r="R2417" t="n">
        <v>0</v>
      </c>
      <c r="S2417" t="n">
        <v>0</v>
      </c>
      <c r="T2417" t="n">
        <v>0</v>
      </c>
      <c r="U2417" t="n">
        <v>0</v>
      </c>
      <c r="V2417" s="2" t="inlineStr"/>
    </row>
    <row r="2418" ht="15" customHeight="1">
      <c r="A2418" t="inlineStr">
        <is>
          <t>A 29023-2026</t>
        </is>
      </c>
      <c r="B2418" t="inlineStr">
        <is>
          <t>avverkningsanmälan</t>
        </is>
      </c>
      <c r="C2418" t="inlineStr">
        <is>
          <t>Föryngringsavverkning</t>
        </is>
      </c>
      <c r="D2418" s="1" t="n">
        <v>46199</v>
      </c>
      <c r="E2418" s="1" t="n">
        <v>46313</v>
      </c>
      <c r="F2418" t="inlineStr">
        <is>
          <t>SÖDERMANLANDS LÄN</t>
        </is>
      </c>
      <c r="G2418" t="inlineStr">
        <is>
          <t>KATRINEHOLM</t>
        </is>
      </c>
      <c r="I2418" t="n">
        <v>3.1</v>
      </c>
      <c r="J2418" t="n">
        <v>0</v>
      </c>
      <c r="K2418" t="n">
        <v>0</v>
      </c>
      <c r="L2418" t="n">
        <v>0</v>
      </c>
      <c r="M2418" t="n">
        <v>0</v>
      </c>
      <c r="N2418" t="n">
        <v>0</v>
      </c>
      <c r="O2418" t="n">
        <v>0</v>
      </c>
      <c r="P2418" t="n">
        <v>0</v>
      </c>
      <c r="Q2418" t="n">
        <v>0</v>
      </c>
      <c r="R2418" t="n">
        <v>0</v>
      </c>
      <c r="S2418" t="n">
        <v>0</v>
      </c>
      <c r="T2418" t="n">
        <v>0</v>
      </c>
      <c r="U2418" t="n">
        <v>0</v>
      </c>
      <c r="V2418" s="2" t="inlineStr"/>
    </row>
    <row r="2419" ht="15" customHeight="1">
      <c r="A2419" t="inlineStr">
        <is>
          <t>A 28933-2026</t>
        </is>
      </c>
      <c r="B2419" t="inlineStr">
        <is>
          <t>avverkningsanmälan</t>
        </is>
      </c>
      <c r="C2419" t="inlineStr">
        <is>
          <t>Föryngringsavverkning</t>
        </is>
      </c>
      <c r="D2419" s="1" t="n">
        <v>46199</v>
      </c>
      <c r="E2419" s="1" t="n">
        <v>46313</v>
      </c>
      <c r="F2419" t="inlineStr">
        <is>
          <t>SÖDERMANLANDS LÄN</t>
        </is>
      </c>
      <c r="G2419" t="inlineStr">
        <is>
          <t>KATRINEHOLM</t>
        </is>
      </c>
      <c r="I2419" t="n">
        <v>1.3</v>
      </c>
      <c r="J2419" t="n">
        <v>0</v>
      </c>
      <c r="K2419" t="n">
        <v>0</v>
      </c>
      <c r="L2419" t="n">
        <v>0</v>
      </c>
      <c r="M2419" t="n">
        <v>0</v>
      </c>
      <c r="N2419" t="n">
        <v>0</v>
      </c>
      <c r="O2419" t="n">
        <v>0</v>
      </c>
      <c r="P2419" t="n">
        <v>0</v>
      </c>
      <c r="Q2419" t="n">
        <v>0</v>
      </c>
      <c r="R2419" t="n">
        <v>0</v>
      </c>
      <c r="S2419" t="n">
        <v>0</v>
      </c>
      <c r="T2419" t="n">
        <v>0</v>
      </c>
      <c r="U2419" t="n">
        <v>0</v>
      </c>
      <c r="V2419" s="2" t="inlineStr"/>
    </row>
    <row r="2420" ht="15" customHeight="1">
      <c r="A2420" t="inlineStr">
        <is>
          <t>A 59599-2022</t>
        </is>
      </c>
      <c r="B2420" t="inlineStr">
        <is>
          <t>avverkningsanmälan</t>
        </is>
      </c>
      <c r="C2420" t="inlineStr">
        <is>
          <t>Föryngringsavverkning</t>
        </is>
      </c>
      <c r="D2420" s="1" t="n">
        <v>44907</v>
      </c>
      <c r="E2420" s="1" t="n">
        <v>46313</v>
      </c>
      <c r="F2420" t="inlineStr">
        <is>
          <t>SÖDERMANLANDS LÄN</t>
        </is>
      </c>
      <c r="G2420" t="inlineStr">
        <is>
          <t>FLEN</t>
        </is>
      </c>
      <c r="I2420" t="n">
        <v>1.1</v>
      </c>
      <c r="J2420" t="n">
        <v>0</v>
      </c>
      <c r="K2420" t="n">
        <v>0</v>
      </c>
      <c r="L2420" t="n">
        <v>0</v>
      </c>
      <c r="M2420" t="n">
        <v>0</v>
      </c>
      <c r="N2420" t="n">
        <v>0</v>
      </c>
      <c r="O2420" t="n">
        <v>0</v>
      </c>
      <c r="P2420" t="n">
        <v>0</v>
      </c>
      <c r="Q2420" t="n">
        <v>0</v>
      </c>
      <c r="R2420" t="n">
        <v>0</v>
      </c>
      <c r="S2420" t="n">
        <v>0</v>
      </c>
      <c r="T2420" t="n">
        <v>0</v>
      </c>
      <c r="U2420" t="n">
        <v>0</v>
      </c>
      <c r="V2420" s="2" t="inlineStr"/>
    </row>
    <row r="2421" ht="15" customHeight="1">
      <c r="A2421" t="inlineStr">
        <is>
          <t>A 1707-2023</t>
        </is>
      </c>
      <c r="B2421" t="inlineStr">
        <is>
          <t>avverkningsanmälan</t>
        </is>
      </c>
      <c r="C2421" t="inlineStr">
        <is>
          <t>Föryngringsavverkning</t>
        </is>
      </c>
      <c r="D2421" s="1" t="n">
        <v>44938</v>
      </c>
      <c r="E2421" s="1" t="n">
        <v>46313</v>
      </c>
      <c r="F2421" t="inlineStr">
        <is>
          <t>SÖDERMANLANDS LÄN</t>
        </is>
      </c>
      <c r="G2421" t="inlineStr">
        <is>
          <t>NYKÖPING</t>
        </is>
      </c>
      <c r="I2421" t="n">
        <v>2.6</v>
      </c>
      <c r="J2421" t="n">
        <v>0</v>
      </c>
      <c r="K2421" t="n">
        <v>0</v>
      </c>
      <c r="L2421" t="n">
        <v>0</v>
      </c>
      <c r="M2421" t="n">
        <v>0</v>
      </c>
      <c r="N2421" t="n">
        <v>0</v>
      </c>
      <c r="O2421" t="n">
        <v>0</v>
      </c>
      <c r="P2421" t="n">
        <v>0</v>
      </c>
      <c r="Q2421" t="n">
        <v>0</v>
      </c>
      <c r="R2421" t="n">
        <v>0</v>
      </c>
      <c r="S2421" t="n">
        <v>0</v>
      </c>
      <c r="T2421" t="n">
        <v>0</v>
      </c>
      <c r="U2421" t="n">
        <v>0</v>
      </c>
      <c r="V2421" s="2" t="inlineStr"/>
    </row>
    <row r="2422" ht="15" customHeight="1">
      <c r="A2422" t="inlineStr">
        <is>
          <t>A 28811-2026</t>
        </is>
      </c>
      <c r="B2422" t="inlineStr">
        <is>
          <t>avverkningsanmälan</t>
        </is>
      </c>
      <c r="C2422" t="inlineStr">
        <is>
          <t>Föryngringsavverkning</t>
        </is>
      </c>
      <c r="D2422" s="1" t="n">
        <v>46198</v>
      </c>
      <c r="E2422" s="1" t="n">
        <v>46313</v>
      </c>
      <c r="F2422" t="inlineStr">
        <is>
          <t>SÖDERMANLANDS LÄN</t>
        </is>
      </c>
      <c r="G2422" t="inlineStr">
        <is>
          <t>GNESTA</t>
        </is>
      </c>
      <c r="I2422" t="n">
        <v>2.9</v>
      </c>
      <c r="J2422" t="n">
        <v>0</v>
      </c>
      <c r="K2422" t="n">
        <v>0</v>
      </c>
      <c r="L2422" t="n">
        <v>0</v>
      </c>
      <c r="M2422" t="n">
        <v>0</v>
      </c>
      <c r="N2422" t="n">
        <v>0</v>
      </c>
      <c r="O2422" t="n">
        <v>0</v>
      </c>
      <c r="P2422" t="n">
        <v>0</v>
      </c>
      <c r="Q2422" t="n">
        <v>0</v>
      </c>
      <c r="R2422" t="n">
        <v>0</v>
      </c>
      <c r="S2422" t="n">
        <v>0</v>
      </c>
      <c r="T2422" t="n">
        <v>0</v>
      </c>
      <c r="U2422" t="n">
        <v>0</v>
      </c>
      <c r="V2422" s="2" t="inlineStr"/>
    </row>
    <row r="2423" ht="15" customHeight="1">
      <c r="A2423" t="inlineStr">
        <is>
          <t>A 1715-2023</t>
        </is>
      </c>
      <c r="B2423" t="inlineStr">
        <is>
          <t>avverkningsanmälan</t>
        </is>
      </c>
      <c r="C2423" t="inlineStr">
        <is>
          <t>Föryngringsavverkning</t>
        </is>
      </c>
      <c r="D2423" s="1" t="n">
        <v>44938</v>
      </c>
      <c r="E2423" s="1" t="n">
        <v>46313</v>
      </c>
      <c r="F2423" t="inlineStr">
        <is>
          <t>SÖDERMANLANDS LÄN</t>
        </is>
      </c>
      <c r="G2423" t="inlineStr">
        <is>
          <t>ESKILSTUNA</t>
        </is>
      </c>
      <c r="I2423" t="n">
        <v>1.4</v>
      </c>
      <c r="J2423" t="n">
        <v>0</v>
      </c>
      <c r="K2423" t="n">
        <v>0</v>
      </c>
      <c r="L2423" t="n">
        <v>0</v>
      </c>
      <c r="M2423" t="n">
        <v>0</v>
      </c>
      <c r="N2423" t="n">
        <v>0</v>
      </c>
      <c r="O2423" t="n">
        <v>0</v>
      </c>
      <c r="P2423" t="n">
        <v>0</v>
      </c>
      <c r="Q2423" t="n">
        <v>0</v>
      </c>
      <c r="R2423" t="n">
        <v>0</v>
      </c>
      <c r="S2423" t="n">
        <v>0</v>
      </c>
      <c r="T2423" t="n">
        <v>0</v>
      </c>
      <c r="U2423" t="n">
        <v>0</v>
      </c>
      <c r="V2423" s="2" t="inlineStr"/>
    </row>
    <row r="2424" ht="15" customHeight="1">
      <c r="A2424" t="inlineStr">
        <is>
          <t>A 59817-2022</t>
        </is>
      </c>
      <c r="B2424" t="inlineStr">
        <is>
          <t>avverkningsanmälan</t>
        </is>
      </c>
      <c r="C2424" t="inlineStr">
        <is>
          <t>Föryngringsavverkning</t>
        </is>
      </c>
      <c r="D2424" s="1" t="n">
        <v>44900</v>
      </c>
      <c r="E2424" s="1" t="n">
        <v>46313</v>
      </c>
      <c r="F2424" t="inlineStr">
        <is>
          <t>SÖDERMANLANDS LÄN</t>
        </is>
      </c>
      <c r="G2424" t="inlineStr">
        <is>
          <t>FLEN</t>
        </is>
      </c>
      <c r="I2424" t="n">
        <v>0.6</v>
      </c>
      <c r="J2424" t="n">
        <v>0</v>
      </c>
      <c r="K2424" t="n">
        <v>0</v>
      </c>
      <c r="L2424" t="n">
        <v>0</v>
      </c>
      <c r="M2424" t="n">
        <v>0</v>
      </c>
      <c r="N2424" t="n">
        <v>0</v>
      </c>
      <c r="O2424" t="n">
        <v>0</v>
      </c>
      <c r="P2424" t="n">
        <v>0</v>
      </c>
      <c r="Q2424" t="n">
        <v>0</v>
      </c>
      <c r="R2424" t="n">
        <v>0</v>
      </c>
      <c r="S2424" t="n">
        <v>0</v>
      </c>
      <c r="T2424" t="n">
        <v>0</v>
      </c>
      <c r="U2424" t="n">
        <v>0</v>
      </c>
      <c r="V2424" s="2" t="inlineStr"/>
    </row>
    <row r="2425" ht="15" customHeight="1">
      <c r="A2425" t="inlineStr">
        <is>
          <t>A 29053-2026</t>
        </is>
      </c>
      <c r="B2425" t="inlineStr">
        <is>
          <t>avverkningsanmälan</t>
        </is>
      </c>
      <c r="C2425" t="inlineStr">
        <is>
          <t>Avverkning för att bevara och utveckla /försöksver</t>
        </is>
      </c>
      <c r="D2425" s="1" t="n">
        <v>46199</v>
      </c>
      <c r="E2425" s="1" t="n">
        <v>46313</v>
      </c>
      <c r="F2425" t="inlineStr">
        <is>
          <t>SÖDERMANLANDS LÄN</t>
        </is>
      </c>
      <c r="G2425" t="inlineStr">
        <is>
          <t>ESKILSTUNA</t>
        </is>
      </c>
      <c r="H2425" t="inlineStr">
        <is>
          <t>Sveaskog</t>
        </is>
      </c>
      <c r="I2425" t="n">
        <v>1.1</v>
      </c>
      <c r="J2425" t="n">
        <v>0</v>
      </c>
      <c r="K2425" t="n">
        <v>0</v>
      </c>
      <c r="L2425" t="n">
        <v>0</v>
      </c>
      <c r="M2425" t="n">
        <v>0</v>
      </c>
      <c r="N2425" t="n">
        <v>0</v>
      </c>
      <c r="O2425" t="n">
        <v>0</v>
      </c>
      <c r="P2425" t="n">
        <v>0</v>
      </c>
      <c r="Q2425" t="n">
        <v>0</v>
      </c>
      <c r="R2425" t="n">
        <v>0</v>
      </c>
      <c r="S2425" t="n">
        <v>0</v>
      </c>
      <c r="T2425" t="n">
        <v>0</v>
      </c>
      <c r="U2425" t="n">
        <v>0</v>
      </c>
      <c r="V2425" s="2" t="inlineStr"/>
    </row>
    <row r="2426" ht="15" customHeight="1">
      <c r="A2426" t="inlineStr">
        <is>
          <t>A 7867-2024</t>
        </is>
      </c>
      <c r="B2426" t="inlineStr">
        <is>
          <t>avverkningsanmälan</t>
        </is>
      </c>
      <c r="C2426" t="inlineStr">
        <is>
          <t>Föryngringsavverkning</t>
        </is>
      </c>
      <c r="D2426" s="1" t="n">
        <v>45350</v>
      </c>
      <c r="E2426" s="1" t="n">
        <v>46313</v>
      </c>
      <c r="F2426" t="inlineStr">
        <is>
          <t>SÖDERMANLANDS LÄN</t>
        </is>
      </c>
      <c r="G2426" t="inlineStr">
        <is>
          <t>KATRINEHOLM</t>
        </is>
      </c>
      <c r="H2426" t="inlineStr">
        <is>
          <t>Kyrkan</t>
        </is>
      </c>
      <c r="I2426" t="n">
        <v>3.3</v>
      </c>
      <c r="J2426" t="n">
        <v>0</v>
      </c>
      <c r="K2426" t="n">
        <v>0</v>
      </c>
      <c r="L2426" t="n">
        <v>0</v>
      </c>
      <c r="M2426" t="n">
        <v>0</v>
      </c>
      <c r="N2426" t="n">
        <v>0</v>
      </c>
      <c r="O2426" t="n">
        <v>0</v>
      </c>
      <c r="P2426" t="n">
        <v>0</v>
      </c>
      <c r="Q2426" t="n">
        <v>0</v>
      </c>
      <c r="R2426" t="n">
        <v>0</v>
      </c>
      <c r="S2426" t="n">
        <v>0</v>
      </c>
      <c r="T2426" t="n">
        <v>0</v>
      </c>
      <c r="U2426" t="n">
        <v>0</v>
      </c>
      <c r="V2426" s="2" t="inlineStr"/>
    </row>
    <row r="2427" ht="15" customHeight="1">
      <c r="A2427" t="inlineStr">
        <is>
          <t>A 8957-2024</t>
        </is>
      </c>
      <c r="B2427" t="inlineStr">
        <is>
          <t>avverkningsanmälan</t>
        </is>
      </c>
      <c r="C2427" t="inlineStr">
        <is>
          <t>Föryngringsavverkning</t>
        </is>
      </c>
      <c r="D2427" s="1" t="n">
        <v>45357</v>
      </c>
      <c r="E2427" s="1" t="n">
        <v>46313</v>
      </c>
      <c r="F2427" t="inlineStr">
        <is>
          <t>SÖDERMANLANDS LÄN</t>
        </is>
      </c>
      <c r="G2427" t="inlineStr">
        <is>
          <t>KATRINEHOLM</t>
        </is>
      </c>
      <c r="I2427" t="n">
        <v>3.6</v>
      </c>
      <c r="J2427" t="n">
        <v>0</v>
      </c>
      <c r="K2427" t="n">
        <v>0</v>
      </c>
      <c r="L2427" t="n">
        <v>0</v>
      </c>
      <c r="M2427" t="n">
        <v>0</v>
      </c>
      <c r="N2427" t="n">
        <v>0</v>
      </c>
      <c r="O2427" t="n">
        <v>0</v>
      </c>
      <c r="P2427" t="n">
        <v>0</v>
      </c>
      <c r="Q2427" t="n">
        <v>0</v>
      </c>
      <c r="R2427" t="n">
        <v>0</v>
      </c>
      <c r="S2427" t="n">
        <v>0</v>
      </c>
      <c r="T2427" t="n">
        <v>0</v>
      </c>
      <c r="U2427" t="n">
        <v>0</v>
      </c>
      <c r="V2427" s="2" t="inlineStr"/>
    </row>
    <row r="2428" ht="15" customHeight="1">
      <c r="A2428" t="inlineStr">
        <is>
          <t>A 8995-2024</t>
        </is>
      </c>
      <c r="B2428" t="inlineStr">
        <is>
          <t>avverkningsanmälan</t>
        </is>
      </c>
      <c r="C2428" t="inlineStr">
        <is>
          <t>Föryngringsavverkning</t>
        </is>
      </c>
      <c r="D2428" s="1" t="n">
        <v>45357</v>
      </c>
      <c r="E2428" s="1" t="n">
        <v>46313</v>
      </c>
      <c r="F2428" t="inlineStr">
        <is>
          <t>SÖDERMANLANDS LÄN</t>
        </is>
      </c>
      <c r="G2428" t="inlineStr">
        <is>
          <t>GNESTA</t>
        </is>
      </c>
      <c r="I2428" t="n">
        <v>18</v>
      </c>
      <c r="J2428" t="n">
        <v>0</v>
      </c>
      <c r="K2428" t="n">
        <v>0</v>
      </c>
      <c r="L2428" t="n">
        <v>0</v>
      </c>
      <c r="M2428" t="n">
        <v>0</v>
      </c>
      <c r="N2428" t="n">
        <v>0</v>
      </c>
      <c r="O2428" t="n">
        <v>0</v>
      </c>
      <c r="P2428" t="n">
        <v>0</v>
      </c>
      <c r="Q2428" t="n">
        <v>0</v>
      </c>
      <c r="R2428" t="n">
        <v>0</v>
      </c>
      <c r="S2428" t="n">
        <v>0</v>
      </c>
      <c r="T2428" t="n">
        <v>0</v>
      </c>
      <c r="U2428" t="n">
        <v>0</v>
      </c>
      <c r="V2428" s="2" t="inlineStr"/>
    </row>
    <row r="2429" ht="15" customHeight="1">
      <c r="A2429" t="inlineStr">
        <is>
          <t>A 46872-2022</t>
        </is>
      </c>
      <c r="B2429" t="inlineStr">
        <is>
          <t>avverkningsanmälan</t>
        </is>
      </c>
      <c r="C2429" t="inlineStr">
        <is>
          <t>Föryngringsavverkning</t>
        </is>
      </c>
      <c r="D2429" s="1" t="n">
        <v>44851</v>
      </c>
      <c r="E2429" s="1" t="n">
        <v>46313</v>
      </c>
      <c r="F2429" t="inlineStr">
        <is>
          <t>SÖDERMANLANDS LÄN</t>
        </is>
      </c>
      <c r="G2429" t="inlineStr">
        <is>
          <t>ESKILSTUNA</t>
        </is>
      </c>
      <c r="I2429" t="n">
        <v>3.1</v>
      </c>
      <c r="J2429" t="n">
        <v>0</v>
      </c>
      <c r="K2429" t="n">
        <v>0</v>
      </c>
      <c r="L2429" t="n">
        <v>0</v>
      </c>
      <c r="M2429" t="n">
        <v>0</v>
      </c>
      <c r="N2429" t="n">
        <v>0</v>
      </c>
      <c r="O2429" t="n">
        <v>0</v>
      </c>
      <c r="P2429" t="n">
        <v>0</v>
      </c>
      <c r="Q2429" t="n">
        <v>0</v>
      </c>
      <c r="R2429" t="n">
        <v>0</v>
      </c>
      <c r="S2429" t="n">
        <v>0</v>
      </c>
      <c r="T2429" t="n">
        <v>0</v>
      </c>
      <c r="U2429" t="n">
        <v>0</v>
      </c>
      <c r="V2429" s="2" t="inlineStr"/>
    </row>
    <row r="2430" ht="15" customHeight="1">
      <c r="A2430" t="inlineStr">
        <is>
          <t>A 22058-2023</t>
        </is>
      </c>
      <c r="B2430" t="inlineStr">
        <is>
          <t>avverkningsanmälan</t>
        </is>
      </c>
      <c r="C2430" t="inlineStr">
        <is>
          <t>Föryngringsavverkning</t>
        </is>
      </c>
      <c r="D2430" s="1" t="n">
        <v>45069</v>
      </c>
      <c r="E2430" s="1" t="n">
        <v>46313</v>
      </c>
      <c r="F2430" t="inlineStr">
        <is>
          <t>SÖDERMANLANDS LÄN</t>
        </is>
      </c>
      <c r="G2430" t="inlineStr">
        <is>
          <t>ESKILSTUNA</t>
        </is>
      </c>
      <c r="I2430" t="n">
        <v>0.8</v>
      </c>
      <c r="J2430" t="n">
        <v>0</v>
      </c>
      <c r="K2430" t="n">
        <v>0</v>
      </c>
      <c r="L2430" t="n">
        <v>0</v>
      </c>
      <c r="M2430" t="n">
        <v>0</v>
      </c>
      <c r="N2430" t="n">
        <v>0</v>
      </c>
      <c r="O2430" t="n">
        <v>0</v>
      </c>
      <c r="P2430" t="n">
        <v>0</v>
      </c>
      <c r="Q2430" t="n">
        <v>0</v>
      </c>
      <c r="R2430" t="n">
        <v>0</v>
      </c>
      <c r="S2430" t="n">
        <v>0</v>
      </c>
      <c r="T2430" t="n">
        <v>0</v>
      </c>
      <c r="U2430" t="n">
        <v>0</v>
      </c>
      <c r="V2430" s="2" t="inlineStr"/>
    </row>
    <row r="2431" ht="15" customHeight="1">
      <c r="A2431" t="inlineStr">
        <is>
          <t>A 13346-2023</t>
        </is>
      </c>
      <c r="B2431" t="inlineStr">
        <is>
          <t>avverkningsanmälan</t>
        </is>
      </c>
      <c r="C2431" t="inlineStr">
        <is>
          <t>Föryngringsavverkning</t>
        </is>
      </c>
      <c r="D2431" s="1" t="n">
        <v>45005</v>
      </c>
      <c r="E2431" s="1" t="n">
        <v>46313</v>
      </c>
      <c r="F2431" t="inlineStr">
        <is>
          <t>SÖDERMANLANDS LÄN</t>
        </is>
      </c>
      <c r="G2431" t="inlineStr">
        <is>
          <t>GNESTA</t>
        </is>
      </c>
      <c r="I2431" t="n">
        <v>2.8</v>
      </c>
      <c r="J2431" t="n">
        <v>0</v>
      </c>
      <c r="K2431" t="n">
        <v>0</v>
      </c>
      <c r="L2431" t="n">
        <v>0</v>
      </c>
      <c r="M2431" t="n">
        <v>0</v>
      </c>
      <c r="N2431" t="n">
        <v>0</v>
      </c>
      <c r="O2431" t="n">
        <v>0</v>
      </c>
      <c r="P2431" t="n">
        <v>0</v>
      </c>
      <c r="Q2431" t="n">
        <v>0</v>
      </c>
      <c r="R2431" t="n">
        <v>0</v>
      </c>
      <c r="S2431" t="n">
        <v>0</v>
      </c>
      <c r="T2431" t="n">
        <v>0</v>
      </c>
      <c r="U2431" t="n">
        <v>0</v>
      </c>
      <c r="V2431" s="2" t="inlineStr"/>
    </row>
    <row r="2432" ht="15" customHeight="1">
      <c r="A2432" t="inlineStr">
        <is>
          <t>A 22957-2023</t>
        </is>
      </c>
      <c r="B2432" t="inlineStr">
        <is>
          <t>avverkningsanmälan</t>
        </is>
      </c>
      <c r="C2432" t="inlineStr">
        <is>
          <t>Föryngringsavverkning</t>
        </is>
      </c>
      <c r="D2432" s="1" t="n">
        <v>45072</v>
      </c>
      <c r="E2432" s="1" t="n">
        <v>46313</v>
      </c>
      <c r="F2432" t="inlineStr">
        <is>
          <t>SÖDERMANLANDS LÄN</t>
        </is>
      </c>
      <c r="G2432" t="inlineStr">
        <is>
          <t>FLEN</t>
        </is>
      </c>
      <c r="I2432" t="n">
        <v>1.1</v>
      </c>
      <c r="J2432" t="n">
        <v>0</v>
      </c>
      <c r="K2432" t="n">
        <v>0</v>
      </c>
      <c r="L2432" t="n">
        <v>0</v>
      </c>
      <c r="M2432" t="n">
        <v>0</v>
      </c>
      <c r="N2432" t="n">
        <v>0</v>
      </c>
      <c r="O2432" t="n">
        <v>0</v>
      </c>
      <c r="P2432" t="n">
        <v>0</v>
      </c>
      <c r="Q2432" t="n">
        <v>0</v>
      </c>
      <c r="R2432" t="n">
        <v>0</v>
      </c>
      <c r="S2432" t="n">
        <v>0</v>
      </c>
      <c r="T2432" t="n">
        <v>0</v>
      </c>
      <c r="U2432" t="n">
        <v>0</v>
      </c>
      <c r="V2432" s="2" t="inlineStr"/>
    </row>
    <row r="2433" ht="15" customHeight="1">
      <c r="A2433" t="inlineStr">
        <is>
          <t>A 12123-2023</t>
        </is>
      </c>
      <c r="B2433" t="inlineStr">
        <is>
          <t>avverkningsanmälan</t>
        </is>
      </c>
      <c r="C2433" t="inlineStr">
        <is>
          <t>Föryngringsavverkning</t>
        </is>
      </c>
      <c r="D2433" s="1" t="n">
        <v>44998</v>
      </c>
      <c r="E2433" s="1" t="n">
        <v>46313</v>
      </c>
      <c r="F2433" t="inlineStr">
        <is>
          <t>SÖDERMANLANDS LÄN</t>
        </is>
      </c>
      <c r="G2433" t="inlineStr">
        <is>
          <t>STRÄNGNÄS</t>
        </is>
      </c>
      <c r="I2433" t="n">
        <v>1.6</v>
      </c>
      <c r="J2433" t="n">
        <v>0</v>
      </c>
      <c r="K2433" t="n">
        <v>0</v>
      </c>
      <c r="L2433" t="n">
        <v>0</v>
      </c>
      <c r="M2433" t="n">
        <v>0</v>
      </c>
      <c r="N2433" t="n">
        <v>0</v>
      </c>
      <c r="O2433" t="n">
        <v>0</v>
      </c>
      <c r="P2433" t="n">
        <v>0</v>
      </c>
      <c r="Q2433" t="n">
        <v>0</v>
      </c>
      <c r="R2433" t="n">
        <v>0</v>
      </c>
      <c r="S2433" t="n">
        <v>0</v>
      </c>
      <c r="T2433" t="n">
        <v>0</v>
      </c>
      <c r="U2433" t="n">
        <v>0</v>
      </c>
      <c r="V2433" s="2" t="inlineStr"/>
    </row>
    <row r="2434" ht="15" customHeight="1">
      <c r="A2434" t="inlineStr">
        <is>
          <t>A 3227-2023</t>
        </is>
      </c>
      <c r="B2434" t="inlineStr">
        <is>
          <t>avverkningsanmälan</t>
        </is>
      </c>
      <c r="C2434" t="inlineStr">
        <is>
          <t>Föryngringsavverkning</t>
        </is>
      </c>
      <c r="D2434" s="1" t="n">
        <v>44946</v>
      </c>
      <c r="E2434" s="1" t="n">
        <v>46313</v>
      </c>
      <c r="F2434" t="inlineStr">
        <is>
          <t>SÖDERMANLANDS LÄN</t>
        </is>
      </c>
      <c r="G2434" t="inlineStr">
        <is>
          <t>GNESTA</t>
        </is>
      </c>
      <c r="H2434" t="inlineStr">
        <is>
          <t>Kommuner</t>
        </is>
      </c>
      <c r="I2434" t="n">
        <v>2.1</v>
      </c>
      <c r="J2434" t="n">
        <v>0</v>
      </c>
      <c r="K2434" t="n">
        <v>0</v>
      </c>
      <c r="L2434" t="n">
        <v>0</v>
      </c>
      <c r="M2434" t="n">
        <v>0</v>
      </c>
      <c r="N2434" t="n">
        <v>0</v>
      </c>
      <c r="O2434" t="n">
        <v>0</v>
      </c>
      <c r="P2434" t="n">
        <v>0</v>
      </c>
      <c r="Q2434" t="n">
        <v>0</v>
      </c>
      <c r="R2434" t="n">
        <v>0</v>
      </c>
      <c r="S2434" t="n">
        <v>0</v>
      </c>
      <c r="T2434" t="n">
        <v>0</v>
      </c>
      <c r="U2434" t="n">
        <v>0</v>
      </c>
      <c r="V2434" s="2" t="inlineStr"/>
    </row>
    <row r="2435" ht="15" customHeight="1">
      <c r="A2435" t="inlineStr">
        <is>
          <t>A 16029-2023</t>
        </is>
      </c>
      <c r="B2435" t="inlineStr">
        <is>
          <t>avverkningsanmälan</t>
        </is>
      </c>
      <c r="C2435" t="inlineStr">
        <is>
          <t>Föryngringsavverkning</t>
        </is>
      </c>
      <c r="D2435" s="1" t="n">
        <v>45027</v>
      </c>
      <c r="E2435" s="1" t="n">
        <v>46313</v>
      </c>
      <c r="F2435" t="inlineStr">
        <is>
          <t>SÖDERMANLANDS LÄN</t>
        </is>
      </c>
      <c r="G2435" t="inlineStr">
        <is>
          <t>TROSA</t>
        </is>
      </c>
      <c r="H2435" t="inlineStr">
        <is>
          <t>Holmen skog AB</t>
        </is>
      </c>
      <c r="I2435" t="n">
        <v>4.6</v>
      </c>
      <c r="J2435" t="n">
        <v>0</v>
      </c>
      <c r="K2435" t="n">
        <v>0</v>
      </c>
      <c r="L2435" t="n">
        <v>0</v>
      </c>
      <c r="M2435" t="n">
        <v>0</v>
      </c>
      <c r="N2435" t="n">
        <v>0</v>
      </c>
      <c r="O2435" t="n">
        <v>0</v>
      </c>
      <c r="P2435" t="n">
        <v>0</v>
      </c>
      <c r="Q2435" t="n">
        <v>0</v>
      </c>
      <c r="R2435" t="n">
        <v>0</v>
      </c>
      <c r="S2435" t="n">
        <v>0</v>
      </c>
      <c r="T2435" t="n">
        <v>0</v>
      </c>
      <c r="U2435" t="n">
        <v>0</v>
      </c>
      <c r="V2435" s="2" t="inlineStr"/>
    </row>
    <row r="2436" ht="15" customHeight="1">
      <c r="A2436" t="inlineStr">
        <is>
          <t>A 50646-2023</t>
        </is>
      </c>
      <c r="B2436" t="inlineStr">
        <is>
          <t>avverkningsanmälan</t>
        </is>
      </c>
      <c r="C2436" t="inlineStr">
        <is>
          <t>Föryngringsavverkning</t>
        </is>
      </c>
      <c r="D2436" s="1" t="n">
        <v>45217</v>
      </c>
      <c r="E2436" s="1" t="n">
        <v>46313</v>
      </c>
      <c r="F2436" t="inlineStr">
        <is>
          <t>SÖDERMANLANDS LÄN</t>
        </is>
      </c>
      <c r="G2436" t="inlineStr">
        <is>
          <t>FLEN</t>
        </is>
      </c>
      <c r="H2436" t="inlineStr">
        <is>
          <t>Holmen skog AB</t>
        </is>
      </c>
      <c r="I2436" t="n">
        <v>0.8</v>
      </c>
      <c r="J2436" t="n">
        <v>0</v>
      </c>
      <c r="K2436" t="n">
        <v>0</v>
      </c>
      <c r="L2436" t="n">
        <v>0</v>
      </c>
      <c r="M2436" t="n">
        <v>0</v>
      </c>
      <c r="N2436" t="n">
        <v>0</v>
      </c>
      <c r="O2436" t="n">
        <v>0</v>
      </c>
      <c r="P2436" t="n">
        <v>0</v>
      </c>
      <c r="Q2436" t="n">
        <v>0</v>
      </c>
      <c r="R2436" t="n">
        <v>0</v>
      </c>
      <c r="S2436" t="n">
        <v>0</v>
      </c>
      <c r="T2436" t="n">
        <v>0</v>
      </c>
      <c r="U2436" t="n">
        <v>0</v>
      </c>
      <c r="V2436" s="2" t="inlineStr"/>
    </row>
    <row r="2437" ht="15" customHeight="1">
      <c r="A2437" t="inlineStr">
        <is>
          <t>A 17731-2026</t>
        </is>
      </c>
      <c r="B2437" t="inlineStr">
        <is>
          <t>avverkningsanmälan</t>
        </is>
      </c>
      <c r="C2437" t="inlineStr">
        <is>
          <t>Avverkning för annat ändamål</t>
        </is>
      </c>
      <c r="D2437" s="1" t="n">
        <v>46121</v>
      </c>
      <c r="E2437" s="1" t="n">
        <v>46313</v>
      </c>
      <c r="F2437" t="inlineStr">
        <is>
          <t>SÖDERMANLANDS LÄN</t>
        </is>
      </c>
      <c r="G2437" t="inlineStr">
        <is>
          <t>VINGÅKER</t>
        </is>
      </c>
      <c r="I2437" t="n">
        <v>0.5</v>
      </c>
      <c r="J2437" t="n">
        <v>0</v>
      </c>
      <c r="K2437" t="n">
        <v>0</v>
      </c>
      <c r="L2437" t="n">
        <v>0</v>
      </c>
      <c r="M2437" t="n">
        <v>0</v>
      </c>
      <c r="N2437" t="n">
        <v>0</v>
      </c>
      <c r="O2437" t="n">
        <v>0</v>
      </c>
      <c r="P2437" t="n">
        <v>0</v>
      </c>
      <c r="Q2437" t="n">
        <v>0</v>
      </c>
      <c r="R2437" t="n">
        <v>0</v>
      </c>
      <c r="S2437" t="n">
        <v>0</v>
      </c>
      <c r="T2437" t="n">
        <v>0</v>
      </c>
      <c r="U2437" t="n">
        <v>0</v>
      </c>
      <c r="V2437" s="2" t="inlineStr"/>
    </row>
    <row r="2438" ht="15" customHeight="1">
      <c r="A2438" t="inlineStr">
        <is>
          <t>A 23415-2023</t>
        </is>
      </c>
      <c r="B2438" t="inlineStr">
        <is>
          <t>avverkningsanmälan</t>
        </is>
      </c>
      <c r="C2438" t="inlineStr">
        <is>
          <t>Föryngringsavverkning</t>
        </is>
      </c>
      <c r="D2438" s="1" t="n">
        <v>45076</v>
      </c>
      <c r="E2438" s="1" t="n">
        <v>46313</v>
      </c>
      <c r="F2438" t="inlineStr">
        <is>
          <t>SÖDERMANLANDS LÄN</t>
        </is>
      </c>
      <c r="G2438" t="inlineStr">
        <is>
          <t>VINGÅKER</t>
        </is>
      </c>
      <c r="I2438" t="n">
        <v>0.6</v>
      </c>
      <c r="J2438" t="n">
        <v>0</v>
      </c>
      <c r="K2438" t="n">
        <v>0</v>
      </c>
      <c r="L2438" t="n">
        <v>0</v>
      </c>
      <c r="M2438" t="n">
        <v>0</v>
      </c>
      <c r="N2438" t="n">
        <v>0</v>
      </c>
      <c r="O2438" t="n">
        <v>0</v>
      </c>
      <c r="P2438" t="n">
        <v>0</v>
      </c>
      <c r="Q2438" t="n">
        <v>0</v>
      </c>
      <c r="R2438" t="n">
        <v>0</v>
      </c>
      <c r="S2438" t="n">
        <v>0</v>
      </c>
      <c r="T2438" t="n">
        <v>0</v>
      </c>
      <c r="U2438" t="n">
        <v>0</v>
      </c>
      <c r="V2438" s="2" t="inlineStr"/>
    </row>
    <row r="2439" ht="15" customHeight="1">
      <c r="A2439" t="inlineStr">
        <is>
          <t>A 11522-2026</t>
        </is>
      </c>
      <c r="B2439" t="inlineStr">
        <is>
          <t>avverkningsanmälan</t>
        </is>
      </c>
      <c r="C2439" t="inlineStr">
        <is>
          <t>Föryngringsavverkning</t>
        </is>
      </c>
      <c r="D2439" s="1" t="n">
        <v>46083</v>
      </c>
      <c r="E2439" s="1" t="n">
        <v>46313</v>
      </c>
      <c r="F2439" t="inlineStr">
        <is>
          <t>SÖDERMANLANDS LÄN</t>
        </is>
      </c>
      <c r="G2439" t="inlineStr">
        <is>
          <t>ESKILSTUNA</t>
        </is>
      </c>
      <c r="I2439" t="n">
        <v>4.5</v>
      </c>
      <c r="J2439" t="n">
        <v>0</v>
      </c>
      <c r="K2439" t="n">
        <v>0</v>
      </c>
      <c r="L2439" t="n">
        <v>0</v>
      </c>
      <c r="M2439" t="n">
        <v>0</v>
      </c>
      <c r="N2439" t="n">
        <v>0</v>
      </c>
      <c r="O2439" t="n">
        <v>0</v>
      </c>
      <c r="P2439" t="n">
        <v>0</v>
      </c>
      <c r="Q2439" t="n">
        <v>0</v>
      </c>
      <c r="R2439" t="n">
        <v>0</v>
      </c>
      <c r="S2439" t="n">
        <v>0</v>
      </c>
      <c r="T2439" t="n">
        <v>0</v>
      </c>
      <c r="U2439" t="n">
        <v>0</v>
      </c>
      <c r="V2439" s="2" t="inlineStr"/>
    </row>
    <row r="2440" ht="15" customHeight="1">
      <c r="A2440" t="inlineStr">
        <is>
          <t>A 5312-2024</t>
        </is>
      </c>
      <c r="B2440" t="inlineStr">
        <is>
          <t>avverkningsanmälan</t>
        </is>
      </c>
      <c r="C2440" t="inlineStr">
        <is>
          <t>Föryngringsavverkning</t>
        </is>
      </c>
      <c r="D2440" s="1" t="n">
        <v>45330</v>
      </c>
      <c r="E2440" s="1" t="n">
        <v>46313</v>
      </c>
      <c r="F2440" t="inlineStr">
        <is>
          <t>SÖDERMANLANDS LÄN</t>
        </is>
      </c>
      <c r="G2440" t="inlineStr">
        <is>
          <t>NYKÖPING</t>
        </is>
      </c>
      <c r="I2440" t="n">
        <v>10.9</v>
      </c>
      <c r="J2440" t="n">
        <v>0</v>
      </c>
      <c r="K2440" t="n">
        <v>0</v>
      </c>
      <c r="L2440" t="n">
        <v>0</v>
      </c>
      <c r="M2440" t="n">
        <v>0</v>
      </c>
      <c r="N2440" t="n">
        <v>0</v>
      </c>
      <c r="O2440" t="n">
        <v>0</v>
      </c>
      <c r="P2440" t="n">
        <v>0</v>
      </c>
      <c r="Q2440" t="n">
        <v>0</v>
      </c>
      <c r="R2440" t="n">
        <v>0</v>
      </c>
      <c r="S2440" t="n">
        <v>0</v>
      </c>
      <c r="T2440" t="n">
        <v>0</v>
      </c>
      <c r="U2440" t="n">
        <v>0</v>
      </c>
      <c r="V2440" s="2" t="inlineStr"/>
    </row>
    <row r="2441" ht="15" customHeight="1">
      <c r="A2441" t="inlineStr">
        <is>
          <t>A 7653-2023</t>
        </is>
      </c>
      <c r="B2441" t="inlineStr">
        <is>
          <t>avverkningsanmälan</t>
        </is>
      </c>
      <c r="C2441" t="inlineStr">
        <is>
          <t>Föryngringsavverkning</t>
        </is>
      </c>
      <c r="D2441" s="1" t="n">
        <v>44972</v>
      </c>
      <c r="E2441" s="1" t="n">
        <v>46313</v>
      </c>
      <c r="F2441" t="inlineStr">
        <is>
          <t>SÖDERMANLANDS LÄN</t>
        </is>
      </c>
      <c r="G2441" t="inlineStr">
        <is>
          <t>GNESTA</t>
        </is>
      </c>
      <c r="I2441" t="n">
        <v>1.5</v>
      </c>
      <c r="J2441" t="n">
        <v>0</v>
      </c>
      <c r="K2441" t="n">
        <v>0</v>
      </c>
      <c r="L2441" t="n">
        <v>0</v>
      </c>
      <c r="M2441" t="n">
        <v>0</v>
      </c>
      <c r="N2441" t="n">
        <v>0</v>
      </c>
      <c r="O2441" t="n">
        <v>0</v>
      </c>
      <c r="P2441" t="n">
        <v>0</v>
      </c>
      <c r="Q2441" t="n">
        <v>0</v>
      </c>
      <c r="R2441" t="n">
        <v>0</v>
      </c>
      <c r="S2441" t="n">
        <v>0</v>
      </c>
      <c r="T2441" t="n">
        <v>0</v>
      </c>
      <c r="U2441" t="n">
        <v>0</v>
      </c>
      <c r="V2441" s="2" t="inlineStr"/>
    </row>
    <row r="2442" ht="15" customHeight="1">
      <c r="A2442" t="inlineStr">
        <is>
          <t>A 31352-2023</t>
        </is>
      </c>
      <c r="B2442" t="inlineStr">
        <is>
          <t>avverkningsanmälan</t>
        </is>
      </c>
      <c r="C2442" t="inlineStr">
        <is>
          <t>Föryngringsavverkning</t>
        </is>
      </c>
      <c r="D2442" s="1" t="n">
        <v>45114</v>
      </c>
      <c r="E2442" s="1" t="n">
        <v>46313</v>
      </c>
      <c r="F2442" t="inlineStr">
        <is>
          <t>SÖDERMANLANDS LÄN</t>
        </is>
      </c>
      <c r="G2442" t="inlineStr">
        <is>
          <t>FLEN</t>
        </is>
      </c>
      <c r="I2442" t="n">
        <v>5.3</v>
      </c>
      <c r="J2442" t="n">
        <v>0</v>
      </c>
      <c r="K2442" t="n">
        <v>0</v>
      </c>
      <c r="L2442" t="n">
        <v>0</v>
      </c>
      <c r="M2442" t="n">
        <v>0</v>
      </c>
      <c r="N2442" t="n">
        <v>0</v>
      </c>
      <c r="O2442" t="n">
        <v>0</v>
      </c>
      <c r="P2442" t="n">
        <v>0</v>
      </c>
      <c r="Q2442" t="n">
        <v>0</v>
      </c>
      <c r="R2442" t="n">
        <v>0</v>
      </c>
      <c r="S2442" t="n">
        <v>0</v>
      </c>
      <c r="T2442" t="n">
        <v>0</v>
      </c>
      <c r="U2442" t="n">
        <v>0</v>
      </c>
      <c r="V2442" s="2" t="inlineStr"/>
    </row>
    <row r="2443" ht="15" customHeight="1">
      <c r="A2443" t="inlineStr">
        <is>
          <t>A 3748-2024</t>
        </is>
      </c>
      <c r="B2443" t="inlineStr">
        <is>
          <t>avverkningsanmälan</t>
        </is>
      </c>
      <c r="C2443" t="inlineStr">
        <is>
          <t>Föryngringsavverkning</t>
        </is>
      </c>
      <c r="D2443" s="1" t="n">
        <v>45321</v>
      </c>
      <c r="E2443" s="1" t="n">
        <v>46313</v>
      </c>
      <c r="F2443" t="inlineStr">
        <is>
          <t>SÖDERMANLANDS LÄN</t>
        </is>
      </c>
      <c r="G2443" t="inlineStr">
        <is>
          <t>VINGÅKER</t>
        </is>
      </c>
      <c r="I2443" t="n">
        <v>3.1</v>
      </c>
      <c r="J2443" t="n">
        <v>0</v>
      </c>
      <c r="K2443" t="n">
        <v>0</v>
      </c>
      <c r="L2443" t="n">
        <v>0</v>
      </c>
      <c r="M2443" t="n">
        <v>0</v>
      </c>
      <c r="N2443" t="n">
        <v>0</v>
      </c>
      <c r="O2443" t="n">
        <v>0</v>
      </c>
      <c r="P2443" t="n">
        <v>0</v>
      </c>
      <c r="Q2443" t="n">
        <v>0</v>
      </c>
      <c r="R2443" t="n">
        <v>0</v>
      </c>
      <c r="S2443" t="n">
        <v>0</v>
      </c>
      <c r="T2443" t="n">
        <v>0</v>
      </c>
      <c r="U2443" t="n">
        <v>0</v>
      </c>
      <c r="V2443" s="2" t="inlineStr"/>
    </row>
    <row r="2444" ht="15" customHeight="1">
      <c r="A2444" t="inlineStr">
        <is>
          <t>A 23114-2023</t>
        </is>
      </c>
      <c r="B2444" t="inlineStr">
        <is>
          <t>avverkningsanmälan</t>
        </is>
      </c>
      <c r="C2444" t="inlineStr">
        <is>
          <t>Föryngringsavverkning</t>
        </is>
      </c>
      <c r="D2444" s="1" t="n">
        <v>45075</v>
      </c>
      <c r="E2444" s="1" t="n">
        <v>46313</v>
      </c>
      <c r="F2444" t="inlineStr">
        <is>
          <t>SÖDERMANLANDS LÄN</t>
        </is>
      </c>
      <c r="G2444" t="inlineStr">
        <is>
          <t>NYKÖPING</t>
        </is>
      </c>
      <c r="H2444" t="inlineStr">
        <is>
          <t>Sveaskog</t>
        </is>
      </c>
      <c r="I2444" t="n">
        <v>1.4</v>
      </c>
      <c r="J2444" t="n">
        <v>0</v>
      </c>
      <c r="K2444" t="n">
        <v>0</v>
      </c>
      <c r="L2444" t="n">
        <v>0</v>
      </c>
      <c r="M2444" t="n">
        <v>0</v>
      </c>
      <c r="N2444" t="n">
        <v>0</v>
      </c>
      <c r="O2444" t="n">
        <v>0</v>
      </c>
      <c r="P2444" t="n">
        <v>0</v>
      </c>
      <c r="Q2444" t="n">
        <v>0</v>
      </c>
      <c r="R2444" t="n">
        <v>0</v>
      </c>
      <c r="S2444" t="n">
        <v>0</v>
      </c>
      <c r="T2444" t="n">
        <v>0</v>
      </c>
      <c r="U2444" t="n">
        <v>0</v>
      </c>
      <c r="V2444" s="2" t="inlineStr"/>
    </row>
    <row r="2445" ht="15" customHeight="1">
      <c r="A2445" t="inlineStr">
        <is>
          <t>A 18508-2026</t>
        </is>
      </c>
      <c r="B2445" t="inlineStr">
        <is>
          <t>avverkningsanmälan</t>
        </is>
      </c>
      <c r="C2445" t="inlineStr">
        <is>
          <t>Föryngringsavverkning</t>
        </is>
      </c>
      <c r="D2445" s="1" t="n">
        <v>46126</v>
      </c>
      <c r="E2445" s="1" t="n">
        <v>46313</v>
      </c>
      <c r="F2445" t="inlineStr">
        <is>
          <t>SÖDERMANLANDS LÄN</t>
        </is>
      </c>
      <c r="G2445" t="inlineStr">
        <is>
          <t>FLEN</t>
        </is>
      </c>
      <c r="I2445" t="n">
        <v>1.7</v>
      </c>
      <c r="J2445" t="n">
        <v>0</v>
      </c>
      <c r="K2445" t="n">
        <v>0</v>
      </c>
      <c r="L2445" t="n">
        <v>0</v>
      </c>
      <c r="M2445" t="n">
        <v>0</v>
      </c>
      <c r="N2445" t="n">
        <v>0</v>
      </c>
      <c r="O2445" t="n">
        <v>0</v>
      </c>
      <c r="P2445" t="n">
        <v>0</v>
      </c>
      <c r="Q2445" t="n">
        <v>0</v>
      </c>
      <c r="R2445" t="n">
        <v>0</v>
      </c>
      <c r="S2445" t="n">
        <v>0</v>
      </c>
      <c r="T2445" t="n">
        <v>0</v>
      </c>
      <c r="U2445" t="n">
        <v>0</v>
      </c>
      <c r="V2445" s="2" t="inlineStr"/>
    </row>
    <row r="2446" ht="15" customHeight="1">
      <c r="A2446" t="inlineStr">
        <is>
          <t>A 18000-2026</t>
        </is>
      </c>
      <c r="B2446" t="inlineStr">
        <is>
          <t>avverkningsanmälan</t>
        </is>
      </c>
      <c r="C2446" t="inlineStr">
        <is>
          <t>Föryngringsavverkning</t>
        </is>
      </c>
      <c r="D2446" s="1" t="n">
        <v>46125</v>
      </c>
      <c r="E2446" s="1" t="n">
        <v>46313</v>
      </c>
      <c r="F2446" t="inlineStr">
        <is>
          <t>SÖDERMANLANDS LÄN</t>
        </is>
      </c>
      <c r="G2446" t="inlineStr">
        <is>
          <t>FLEN</t>
        </is>
      </c>
      <c r="H2446" t="inlineStr">
        <is>
          <t>Holmen skog AB</t>
        </is>
      </c>
      <c r="I2446" t="n">
        <v>1.3</v>
      </c>
      <c r="J2446" t="n">
        <v>0</v>
      </c>
      <c r="K2446" t="n">
        <v>0</v>
      </c>
      <c r="L2446" t="n">
        <v>0</v>
      </c>
      <c r="M2446" t="n">
        <v>0</v>
      </c>
      <c r="N2446" t="n">
        <v>0</v>
      </c>
      <c r="O2446" t="n">
        <v>0</v>
      </c>
      <c r="P2446" t="n">
        <v>0</v>
      </c>
      <c r="Q2446" t="n">
        <v>0</v>
      </c>
      <c r="R2446" t="n">
        <v>0</v>
      </c>
      <c r="S2446" t="n">
        <v>0</v>
      </c>
      <c r="T2446" t="n">
        <v>0</v>
      </c>
      <c r="U2446" t="n">
        <v>0</v>
      </c>
      <c r="V2446" s="2" t="inlineStr"/>
    </row>
    <row r="2447" ht="15" customHeight="1">
      <c r="A2447" t="inlineStr">
        <is>
          <t>A 29051-2026</t>
        </is>
      </c>
      <c r="B2447" t="inlineStr">
        <is>
          <t>avverkningsanmälan</t>
        </is>
      </c>
      <c r="C2447" t="inlineStr">
        <is>
          <t>Avverkning för att bevara och utveckla /försöksver</t>
        </is>
      </c>
      <c r="D2447" s="1" t="n">
        <v>46199</v>
      </c>
      <c r="E2447" s="1" t="n">
        <v>46313</v>
      </c>
      <c r="F2447" t="inlineStr">
        <is>
          <t>SÖDERMANLANDS LÄN</t>
        </is>
      </c>
      <c r="G2447" t="inlineStr">
        <is>
          <t>ESKILSTUNA</t>
        </is>
      </c>
      <c r="H2447" t="inlineStr">
        <is>
          <t>Sveaskog</t>
        </is>
      </c>
      <c r="I2447" t="n">
        <v>0.8</v>
      </c>
      <c r="J2447" t="n">
        <v>0</v>
      </c>
      <c r="K2447" t="n">
        <v>0</v>
      </c>
      <c r="L2447" t="n">
        <v>0</v>
      </c>
      <c r="M2447" t="n">
        <v>0</v>
      </c>
      <c r="N2447" t="n">
        <v>0</v>
      </c>
      <c r="O2447" t="n">
        <v>0</v>
      </c>
      <c r="P2447" t="n">
        <v>0</v>
      </c>
      <c r="Q2447" t="n">
        <v>0</v>
      </c>
      <c r="R2447" t="n">
        <v>0</v>
      </c>
      <c r="S2447" t="n">
        <v>0</v>
      </c>
      <c r="T2447" t="n">
        <v>0</v>
      </c>
      <c r="U2447" t="n">
        <v>0</v>
      </c>
      <c r="V2447" s="2" t="inlineStr"/>
    </row>
    <row r="2448" ht="15" customHeight="1">
      <c r="A2448" t="inlineStr">
        <is>
          <t>A 18301-2026</t>
        </is>
      </c>
      <c r="B2448" t="inlineStr">
        <is>
          <t>avverkningsanmälan</t>
        </is>
      </c>
      <c r="C2448" t="inlineStr">
        <is>
          <t>Föryngringsavverkning</t>
        </is>
      </c>
      <c r="D2448" s="1" t="n">
        <v>46126</v>
      </c>
      <c r="E2448" s="1" t="n">
        <v>46313</v>
      </c>
      <c r="F2448" t="inlineStr">
        <is>
          <t>SÖDERMANLANDS LÄN</t>
        </is>
      </c>
      <c r="G2448" t="inlineStr">
        <is>
          <t>KATRINEHOLM</t>
        </is>
      </c>
      <c r="I2448" t="n">
        <v>1.6</v>
      </c>
      <c r="J2448" t="n">
        <v>0</v>
      </c>
      <c r="K2448" t="n">
        <v>0</v>
      </c>
      <c r="L2448" t="n">
        <v>0</v>
      </c>
      <c r="M2448" t="n">
        <v>0</v>
      </c>
      <c r="N2448" t="n">
        <v>0</v>
      </c>
      <c r="O2448" t="n">
        <v>0</v>
      </c>
      <c r="P2448" t="n">
        <v>0</v>
      </c>
      <c r="Q2448" t="n">
        <v>0</v>
      </c>
      <c r="R2448" t="n">
        <v>0</v>
      </c>
      <c r="S2448" t="n">
        <v>0</v>
      </c>
      <c r="T2448" t="n">
        <v>0</v>
      </c>
      <c r="U2448" t="n">
        <v>0</v>
      </c>
      <c r="V2448" s="2" t="inlineStr"/>
    </row>
    <row r="2449" ht="15" customHeight="1">
      <c r="A2449" t="inlineStr">
        <is>
          <t>A 545-2024</t>
        </is>
      </c>
      <c r="B2449" t="inlineStr">
        <is>
          <t>avverkningsanmälan</t>
        </is>
      </c>
      <c r="C2449" t="inlineStr">
        <is>
          <t>Föryngringsavverkning</t>
        </is>
      </c>
      <c r="D2449" s="1" t="n">
        <v>45299</v>
      </c>
      <c r="E2449" s="1" t="n">
        <v>46313</v>
      </c>
      <c r="F2449" t="inlineStr">
        <is>
          <t>SÖDERMANLANDS LÄN</t>
        </is>
      </c>
      <c r="G2449" t="inlineStr">
        <is>
          <t>FLEN</t>
        </is>
      </c>
      <c r="I2449" t="n">
        <v>2</v>
      </c>
      <c r="J2449" t="n">
        <v>0</v>
      </c>
      <c r="K2449" t="n">
        <v>0</v>
      </c>
      <c r="L2449" t="n">
        <v>0</v>
      </c>
      <c r="M2449" t="n">
        <v>0</v>
      </c>
      <c r="N2449" t="n">
        <v>0</v>
      </c>
      <c r="O2449" t="n">
        <v>0</v>
      </c>
      <c r="P2449" t="n">
        <v>0</v>
      </c>
      <c r="Q2449" t="n">
        <v>0</v>
      </c>
      <c r="R2449" t="n">
        <v>0</v>
      </c>
      <c r="S2449" t="n">
        <v>0</v>
      </c>
      <c r="T2449" t="n">
        <v>0</v>
      </c>
      <c r="U2449" t="n">
        <v>0</v>
      </c>
      <c r="V2449" s="2" t="inlineStr"/>
    </row>
    <row r="2450" ht="15" customHeight="1">
      <c r="A2450" t="inlineStr">
        <is>
          <t>A 24280-2022</t>
        </is>
      </c>
      <c r="B2450" t="inlineStr">
        <is>
          <t>avverkningsanmälan</t>
        </is>
      </c>
      <c r="C2450" t="inlineStr">
        <is>
          <t>Föryngringsavverkning</t>
        </is>
      </c>
      <c r="D2450" s="1" t="n">
        <v>44725</v>
      </c>
      <c r="E2450" s="1" t="n">
        <v>46313</v>
      </c>
      <c r="F2450" t="inlineStr">
        <is>
          <t>SÖDERMANLANDS LÄN</t>
        </is>
      </c>
      <c r="G2450" t="inlineStr">
        <is>
          <t>NYKÖPING</t>
        </is>
      </c>
      <c r="I2450" t="n">
        <v>0.7</v>
      </c>
      <c r="J2450" t="n">
        <v>0</v>
      </c>
      <c r="K2450" t="n">
        <v>0</v>
      </c>
      <c r="L2450" t="n">
        <v>0</v>
      </c>
      <c r="M2450" t="n">
        <v>0</v>
      </c>
      <c r="N2450" t="n">
        <v>0</v>
      </c>
      <c r="O2450" t="n">
        <v>0</v>
      </c>
      <c r="P2450" t="n">
        <v>0</v>
      </c>
      <c r="Q2450" t="n">
        <v>0</v>
      </c>
      <c r="R2450" t="n">
        <v>0</v>
      </c>
      <c r="S2450" t="n">
        <v>0</v>
      </c>
      <c r="T2450" t="n">
        <v>0</v>
      </c>
      <c r="U2450" t="n">
        <v>0</v>
      </c>
      <c r="V2450" s="2" t="inlineStr"/>
    </row>
    <row r="2451" ht="15" customHeight="1">
      <c r="A2451" t="inlineStr">
        <is>
          <t>A 18105-2026</t>
        </is>
      </c>
      <c r="B2451" t="inlineStr">
        <is>
          <t>avverkningsanmälan</t>
        </is>
      </c>
      <c r="C2451" t="inlineStr">
        <is>
          <t>Avverkning för att bevara och utveckla /försöksver</t>
        </is>
      </c>
      <c r="D2451" s="1" t="n">
        <v>46125</v>
      </c>
      <c r="E2451" s="1" t="n">
        <v>46313</v>
      </c>
      <c r="F2451" t="inlineStr">
        <is>
          <t>SÖDERMANLANDS LÄN</t>
        </is>
      </c>
      <c r="G2451" t="inlineStr">
        <is>
          <t>ESKILSTUNA</t>
        </is>
      </c>
      <c r="H2451" t="inlineStr">
        <is>
          <t>Sveaskog</t>
        </is>
      </c>
      <c r="I2451" t="n">
        <v>0.5</v>
      </c>
      <c r="J2451" t="n">
        <v>0</v>
      </c>
      <c r="K2451" t="n">
        <v>0</v>
      </c>
      <c r="L2451" t="n">
        <v>0</v>
      </c>
      <c r="M2451" t="n">
        <v>0</v>
      </c>
      <c r="N2451" t="n">
        <v>0</v>
      </c>
      <c r="O2451" t="n">
        <v>0</v>
      </c>
      <c r="P2451" t="n">
        <v>0</v>
      </c>
      <c r="Q2451" t="n">
        <v>0</v>
      </c>
      <c r="R2451" t="n">
        <v>0</v>
      </c>
      <c r="S2451" t="n">
        <v>0</v>
      </c>
      <c r="T2451" t="n">
        <v>0</v>
      </c>
      <c r="U2451" t="n">
        <v>0</v>
      </c>
      <c r="V2451" s="2" t="inlineStr"/>
    </row>
    <row r="2452" ht="15" customHeight="1">
      <c r="A2452" t="inlineStr">
        <is>
          <t>A 18499-2026</t>
        </is>
      </c>
      <c r="B2452" t="inlineStr">
        <is>
          <t>avverkningsanmälan</t>
        </is>
      </c>
      <c r="C2452" t="inlineStr">
        <is>
          <t>Föryngringsavverkning</t>
        </is>
      </c>
      <c r="D2452" s="1" t="n">
        <v>46126</v>
      </c>
      <c r="E2452" s="1" t="n">
        <v>46313</v>
      </c>
      <c r="F2452" t="inlineStr">
        <is>
          <t>SÖDERMANLANDS LÄN</t>
        </is>
      </c>
      <c r="G2452" t="inlineStr">
        <is>
          <t>FLEN</t>
        </is>
      </c>
      <c r="I2452" t="n">
        <v>7.9</v>
      </c>
      <c r="J2452" t="n">
        <v>0</v>
      </c>
      <c r="K2452" t="n">
        <v>0</v>
      </c>
      <c r="L2452" t="n">
        <v>0</v>
      </c>
      <c r="M2452" t="n">
        <v>0</v>
      </c>
      <c r="N2452" t="n">
        <v>0</v>
      </c>
      <c r="O2452" t="n">
        <v>0</v>
      </c>
      <c r="P2452" t="n">
        <v>0</v>
      </c>
      <c r="Q2452" t="n">
        <v>0</v>
      </c>
      <c r="R2452" t="n">
        <v>0</v>
      </c>
      <c r="S2452" t="n">
        <v>0</v>
      </c>
      <c r="T2452" t="n">
        <v>0</v>
      </c>
      <c r="U2452" t="n">
        <v>0</v>
      </c>
      <c r="V2452" s="2" t="inlineStr"/>
    </row>
    <row r="2453" ht="15" customHeight="1">
      <c r="A2453" t="inlineStr">
        <is>
          <t>A 7253-2022</t>
        </is>
      </c>
      <c r="B2453" t="inlineStr">
        <is>
          <t>avverkningsanmälan</t>
        </is>
      </c>
      <c r="C2453" t="inlineStr">
        <is>
          <t>Föryngringsavverkning</t>
        </is>
      </c>
      <c r="D2453" s="1" t="n">
        <v>44606</v>
      </c>
      <c r="E2453" s="1" t="n">
        <v>46313</v>
      </c>
      <c r="F2453" t="inlineStr">
        <is>
          <t>SÖDERMANLANDS LÄN</t>
        </is>
      </c>
      <c r="G2453" t="inlineStr">
        <is>
          <t>NYKÖPING</t>
        </is>
      </c>
      <c r="H2453" t="inlineStr">
        <is>
          <t>Allmännings- och besparingsskogar</t>
        </is>
      </c>
      <c r="I2453" t="n">
        <v>5</v>
      </c>
      <c r="J2453" t="n">
        <v>0</v>
      </c>
      <c r="K2453" t="n">
        <v>0</v>
      </c>
      <c r="L2453" t="n">
        <v>0</v>
      </c>
      <c r="M2453" t="n">
        <v>0</v>
      </c>
      <c r="N2453" t="n">
        <v>0</v>
      </c>
      <c r="O2453" t="n">
        <v>0</v>
      </c>
      <c r="P2453" t="n">
        <v>0</v>
      </c>
      <c r="Q2453" t="n">
        <v>0</v>
      </c>
      <c r="R2453" t="n">
        <v>0</v>
      </c>
      <c r="S2453" t="n">
        <v>0</v>
      </c>
      <c r="T2453" t="n">
        <v>0</v>
      </c>
      <c r="U2453" t="n">
        <v>0</v>
      </c>
      <c r="V2453" s="2" t="inlineStr"/>
    </row>
    <row r="2454" ht="15" customHeight="1">
      <c r="A2454" t="inlineStr">
        <is>
          <t>A 18308-2026</t>
        </is>
      </c>
      <c r="B2454" t="inlineStr">
        <is>
          <t>avverkningsanmälan</t>
        </is>
      </c>
      <c r="C2454" t="inlineStr">
        <is>
          <t>Föryngringsavverkning</t>
        </is>
      </c>
      <c r="D2454" s="1" t="n">
        <v>46126</v>
      </c>
      <c r="E2454" s="1" t="n">
        <v>46313</v>
      </c>
      <c r="F2454" t="inlineStr">
        <is>
          <t>SÖDERMANLANDS LÄN</t>
        </is>
      </c>
      <c r="G2454" t="inlineStr">
        <is>
          <t>KATRINEHOLM</t>
        </is>
      </c>
      <c r="I2454" t="n">
        <v>4.2</v>
      </c>
      <c r="J2454" t="n">
        <v>0</v>
      </c>
      <c r="K2454" t="n">
        <v>0</v>
      </c>
      <c r="L2454" t="n">
        <v>0</v>
      </c>
      <c r="M2454" t="n">
        <v>0</v>
      </c>
      <c r="N2454" t="n">
        <v>0</v>
      </c>
      <c r="O2454" t="n">
        <v>0</v>
      </c>
      <c r="P2454" t="n">
        <v>0</v>
      </c>
      <c r="Q2454" t="n">
        <v>0</v>
      </c>
      <c r="R2454" t="n">
        <v>0</v>
      </c>
      <c r="S2454" t="n">
        <v>0</v>
      </c>
      <c r="T2454" t="n">
        <v>0</v>
      </c>
      <c r="U2454" t="n">
        <v>0</v>
      </c>
      <c r="V2454" s="2" t="inlineStr"/>
    </row>
    <row r="2455" ht="15" customHeight="1">
      <c r="A2455" t="inlineStr">
        <is>
          <t>A 7406-2022</t>
        </is>
      </c>
      <c r="B2455" t="inlineStr">
        <is>
          <t>avverkningsanmälan</t>
        </is>
      </c>
      <c r="C2455" t="inlineStr">
        <is>
          <t>Föryngringsavverkning</t>
        </is>
      </c>
      <c r="D2455" s="1" t="n">
        <v>44606</v>
      </c>
      <c r="E2455" s="1" t="n">
        <v>46313</v>
      </c>
      <c r="F2455" t="inlineStr">
        <is>
          <t>SÖDERMANLANDS LÄN</t>
        </is>
      </c>
      <c r="G2455" t="inlineStr">
        <is>
          <t>ESKILSTUNA</t>
        </is>
      </c>
      <c r="H2455" t="inlineStr">
        <is>
          <t>Kyrkan</t>
        </is>
      </c>
      <c r="I2455" t="n">
        <v>3.3</v>
      </c>
      <c r="J2455" t="n">
        <v>0</v>
      </c>
      <c r="K2455" t="n">
        <v>0</v>
      </c>
      <c r="L2455" t="n">
        <v>0</v>
      </c>
      <c r="M2455" t="n">
        <v>0</v>
      </c>
      <c r="N2455" t="n">
        <v>0</v>
      </c>
      <c r="O2455" t="n">
        <v>0</v>
      </c>
      <c r="P2455" t="n">
        <v>0</v>
      </c>
      <c r="Q2455" t="n">
        <v>0</v>
      </c>
      <c r="R2455" t="n">
        <v>0</v>
      </c>
      <c r="S2455" t="n">
        <v>0</v>
      </c>
      <c r="T2455" t="n">
        <v>0</v>
      </c>
      <c r="U2455" t="n">
        <v>0</v>
      </c>
      <c r="V2455" s="2" t="inlineStr"/>
    </row>
    <row r="2456" ht="15" customHeight="1">
      <c r="A2456" t="inlineStr">
        <is>
          <t>A 67857-2021</t>
        </is>
      </c>
      <c r="B2456" t="inlineStr">
        <is>
          <t>avverkningsanmälan</t>
        </is>
      </c>
      <c r="C2456" t="inlineStr">
        <is>
          <t>Föryngringsavverkning</t>
        </is>
      </c>
      <c r="D2456" s="1" t="n">
        <v>44525</v>
      </c>
      <c r="E2456" s="1" t="n">
        <v>46313</v>
      </c>
      <c r="F2456" t="inlineStr">
        <is>
          <t>SÖDERMANLANDS LÄN</t>
        </is>
      </c>
      <c r="G2456" t="inlineStr">
        <is>
          <t>NYKÖPING</t>
        </is>
      </c>
      <c r="H2456" t="inlineStr">
        <is>
          <t>Sveaskog</t>
        </is>
      </c>
      <c r="I2456" t="n">
        <v>1.2</v>
      </c>
      <c r="J2456" t="n">
        <v>0</v>
      </c>
      <c r="K2456" t="n">
        <v>0</v>
      </c>
      <c r="L2456" t="n">
        <v>0</v>
      </c>
      <c r="M2456" t="n">
        <v>0</v>
      </c>
      <c r="N2456" t="n">
        <v>0</v>
      </c>
      <c r="O2456" t="n">
        <v>0</v>
      </c>
      <c r="P2456" t="n">
        <v>0</v>
      </c>
      <c r="Q2456" t="n">
        <v>0</v>
      </c>
      <c r="R2456" t="n">
        <v>0</v>
      </c>
      <c r="S2456" t="n">
        <v>0</v>
      </c>
      <c r="T2456" t="n">
        <v>0</v>
      </c>
      <c r="U2456" t="n">
        <v>0</v>
      </c>
      <c r="V2456" s="2" t="inlineStr"/>
    </row>
    <row r="2457" ht="15" customHeight="1">
      <c r="A2457" t="inlineStr">
        <is>
          <t>A 30860-2023</t>
        </is>
      </c>
      <c r="B2457" t="inlineStr">
        <is>
          <t>avverkningsanmälan</t>
        </is>
      </c>
      <c r="C2457" t="inlineStr">
        <is>
          <t>Föryngringsavverkning</t>
        </is>
      </c>
      <c r="D2457" s="1" t="n">
        <v>45110</v>
      </c>
      <c r="E2457" s="1" t="n">
        <v>46313</v>
      </c>
      <c r="F2457" t="inlineStr">
        <is>
          <t>SÖDERMANLANDS LÄN</t>
        </is>
      </c>
      <c r="G2457" t="inlineStr">
        <is>
          <t>NYKÖPING</t>
        </is>
      </c>
      <c r="I2457" t="n">
        <v>11.5</v>
      </c>
      <c r="J2457" t="n">
        <v>0</v>
      </c>
      <c r="K2457" t="n">
        <v>0</v>
      </c>
      <c r="L2457" t="n">
        <v>0</v>
      </c>
      <c r="M2457" t="n">
        <v>0</v>
      </c>
      <c r="N2457" t="n">
        <v>0</v>
      </c>
      <c r="O2457" t="n">
        <v>0</v>
      </c>
      <c r="P2457" t="n">
        <v>0</v>
      </c>
      <c r="Q2457" t="n">
        <v>0</v>
      </c>
      <c r="R2457" t="n">
        <v>0</v>
      </c>
      <c r="S2457" t="n">
        <v>0</v>
      </c>
      <c r="T2457" t="n">
        <v>0</v>
      </c>
      <c r="U2457" t="n">
        <v>0</v>
      </c>
      <c r="V2457" s="2" t="inlineStr"/>
    </row>
    <row r="2458" ht="15" customHeight="1">
      <c r="A2458" t="inlineStr">
        <is>
          <t>A 17840-2026</t>
        </is>
      </c>
      <c r="B2458" t="inlineStr">
        <is>
          <t>avverkningsanmälan</t>
        </is>
      </c>
      <c r="C2458" t="inlineStr">
        <is>
          <t>Föryngringsavverkning</t>
        </is>
      </c>
      <c r="D2458" s="1" t="n">
        <v>46121</v>
      </c>
      <c r="E2458" s="1" t="n">
        <v>46313</v>
      </c>
      <c r="F2458" t="inlineStr">
        <is>
          <t>SÖDERMANLANDS LÄN</t>
        </is>
      </c>
      <c r="G2458" t="inlineStr">
        <is>
          <t>FLEN</t>
        </is>
      </c>
      <c r="I2458" t="n">
        <v>1.8</v>
      </c>
      <c r="J2458" t="n">
        <v>0</v>
      </c>
      <c r="K2458" t="n">
        <v>0</v>
      </c>
      <c r="L2458" t="n">
        <v>0</v>
      </c>
      <c r="M2458" t="n">
        <v>0</v>
      </c>
      <c r="N2458" t="n">
        <v>0</v>
      </c>
      <c r="O2458" t="n">
        <v>0</v>
      </c>
      <c r="P2458" t="n">
        <v>0</v>
      </c>
      <c r="Q2458" t="n">
        <v>0</v>
      </c>
      <c r="R2458" t="n">
        <v>0</v>
      </c>
      <c r="S2458" t="n">
        <v>0</v>
      </c>
      <c r="T2458" t="n">
        <v>0</v>
      </c>
      <c r="U2458" t="n">
        <v>0</v>
      </c>
      <c r="V2458" s="2" t="inlineStr"/>
    </row>
    <row r="2459" ht="15" customHeight="1">
      <c r="A2459" t="inlineStr">
        <is>
          <t>A 18971-2026</t>
        </is>
      </c>
      <c r="B2459" t="inlineStr">
        <is>
          <t>avverkningsanmälan</t>
        </is>
      </c>
      <c r="C2459" t="inlineStr">
        <is>
          <t>Föryngringsavverkning</t>
        </is>
      </c>
      <c r="D2459" s="1" t="n">
        <v>46129</v>
      </c>
      <c r="E2459" s="1" t="n">
        <v>46313</v>
      </c>
      <c r="F2459" t="inlineStr">
        <is>
          <t>SÖDERMANLANDS LÄN</t>
        </is>
      </c>
      <c r="G2459" t="inlineStr">
        <is>
          <t>STRÄNGNÄS</t>
        </is>
      </c>
      <c r="I2459" t="n">
        <v>0.8</v>
      </c>
      <c r="J2459" t="n">
        <v>0</v>
      </c>
      <c r="K2459" t="n">
        <v>0</v>
      </c>
      <c r="L2459" t="n">
        <v>0</v>
      </c>
      <c r="M2459" t="n">
        <v>0</v>
      </c>
      <c r="N2459" t="n">
        <v>0</v>
      </c>
      <c r="O2459" t="n">
        <v>0</v>
      </c>
      <c r="P2459" t="n">
        <v>0</v>
      </c>
      <c r="Q2459" t="n">
        <v>0</v>
      </c>
      <c r="R2459" t="n">
        <v>0</v>
      </c>
      <c r="S2459" t="n">
        <v>0</v>
      </c>
      <c r="T2459" t="n">
        <v>0</v>
      </c>
      <c r="U2459" t="n">
        <v>0</v>
      </c>
      <c r="V2459" s="2" t="inlineStr"/>
    </row>
    <row r="2460" ht="15" customHeight="1">
      <c r="A2460" t="inlineStr">
        <is>
          <t>A 10346-2023</t>
        </is>
      </c>
      <c r="B2460" t="inlineStr">
        <is>
          <t>avverkningsanmälan</t>
        </is>
      </c>
      <c r="C2460" t="inlineStr">
        <is>
          <t>Föryngringsavverkning</t>
        </is>
      </c>
      <c r="D2460" s="1" t="n">
        <v>44987</v>
      </c>
      <c r="E2460" s="1" t="n">
        <v>46313</v>
      </c>
      <c r="F2460" t="inlineStr">
        <is>
          <t>SÖDERMANLANDS LÄN</t>
        </is>
      </c>
      <c r="G2460" t="inlineStr">
        <is>
          <t>STRÄNGNÄS</t>
        </is>
      </c>
      <c r="I2460" t="n">
        <v>1.6</v>
      </c>
      <c r="J2460" t="n">
        <v>0</v>
      </c>
      <c r="K2460" t="n">
        <v>0</v>
      </c>
      <c r="L2460" t="n">
        <v>0</v>
      </c>
      <c r="M2460" t="n">
        <v>0</v>
      </c>
      <c r="N2460" t="n">
        <v>0</v>
      </c>
      <c r="O2460" t="n">
        <v>0</v>
      </c>
      <c r="P2460" t="n">
        <v>0</v>
      </c>
      <c r="Q2460" t="n">
        <v>0</v>
      </c>
      <c r="R2460" t="n">
        <v>0</v>
      </c>
      <c r="S2460" t="n">
        <v>0</v>
      </c>
      <c r="T2460" t="n">
        <v>0</v>
      </c>
      <c r="U2460" t="n">
        <v>0</v>
      </c>
      <c r="V2460" s="2" t="inlineStr"/>
    </row>
    <row r="2461" ht="15" customHeight="1">
      <c r="A2461" t="inlineStr">
        <is>
          <t>A 17847-2026</t>
        </is>
      </c>
      <c r="B2461" t="inlineStr">
        <is>
          <t>avverkningsanmälan</t>
        </is>
      </c>
      <c r="C2461" t="inlineStr">
        <is>
          <t>Föryngringsavverkning</t>
        </is>
      </c>
      <c r="D2461" s="1" t="n">
        <v>46121</v>
      </c>
      <c r="E2461" s="1" t="n">
        <v>46313</v>
      </c>
      <c r="F2461" t="inlineStr">
        <is>
          <t>SÖDERMANLANDS LÄN</t>
        </is>
      </c>
      <c r="G2461" t="inlineStr">
        <is>
          <t>FLEN</t>
        </is>
      </c>
      <c r="I2461" t="n">
        <v>3.2</v>
      </c>
      <c r="J2461" t="n">
        <v>0</v>
      </c>
      <c r="K2461" t="n">
        <v>0</v>
      </c>
      <c r="L2461" t="n">
        <v>0</v>
      </c>
      <c r="M2461" t="n">
        <v>0</v>
      </c>
      <c r="N2461" t="n">
        <v>0</v>
      </c>
      <c r="O2461" t="n">
        <v>0</v>
      </c>
      <c r="P2461" t="n">
        <v>0</v>
      </c>
      <c r="Q2461" t="n">
        <v>0</v>
      </c>
      <c r="R2461" t="n">
        <v>0</v>
      </c>
      <c r="S2461" t="n">
        <v>0</v>
      </c>
      <c r="T2461" t="n">
        <v>0</v>
      </c>
      <c r="U2461" t="n">
        <v>0</v>
      </c>
      <c r="V2461" s="2" t="inlineStr"/>
    </row>
    <row r="2462" ht="15" customHeight="1">
      <c r="A2462" t="inlineStr">
        <is>
          <t>A 12812-2025</t>
        </is>
      </c>
      <c r="B2462" t="inlineStr">
        <is>
          <t>avverkningsanmälan</t>
        </is>
      </c>
      <c r="C2462" t="inlineStr">
        <is>
          <t>Föryngringsavverkning</t>
        </is>
      </c>
      <c r="D2462" s="1" t="n">
        <v>45733</v>
      </c>
      <c r="E2462" s="1" t="n">
        <v>46313</v>
      </c>
      <c r="F2462" t="inlineStr">
        <is>
          <t>SÖDERMANLANDS LÄN</t>
        </is>
      </c>
      <c r="G2462" t="inlineStr">
        <is>
          <t>NYKÖPING</t>
        </is>
      </c>
      <c r="H2462" t="inlineStr">
        <is>
          <t>Holmen skog AB</t>
        </is>
      </c>
      <c r="I2462" t="n">
        <v>3.7</v>
      </c>
      <c r="J2462" t="n">
        <v>0</v>
      </c>
      <c r="K2462" t="n">
        <v>0</v>
      </c>
      <c r="L2462" t="n">
        <v>0</v>
      </c>
      <c r="M2462" t="n">
        <v>0</v>
      </c>
      <c r="N2462" t="n">
        <v>0</v>
      </c>
      <c r="O2462" t="n">
        <v>0</v>
      </c>
      <c r="P2462" t="n">
        <v>0</v>
      </c>
      <c r="Q2462" t="n">
        <v>0</v>
      </c>
      <c r="R2462" t="n">
        <v>0</v>
      </c>
      <c r="S2462" t="n">
        <v>0</v>
      </c>
      <c r="T2462" t="n">
        <v>0</v>
      </c>
      <c r="U2462" t="n">
        <v>0</v>
      </c>
      <c r="V2462" s="2" t="inlineStr"/>
    </row>
    <row r="2463" ht="15" customHeight="1">
      <c r="A2463" t="inlineStr">
        <is>
          <t>A 60677-2021</t>
        </is>
      </c>
      <c r="B2463" t="inlineStr">
        <is>
          <t>avverkningsanmälan</t>
        </is>
      </c>
      <c r="C2463" t="inlineStr">
        <is>
          <t>Föryngringsavverkning</t>
        </is>
      </c>
      <c r="D2463" s="1" t="n">
        <v>44495</v>
      </c>
      <c r="E2463" s="1" t="n">
        <v>46313</v>
      </c>
      <c r="F2463" t="inlineStr">
        <is>
          <t>SÖDERMANLANDS LÄN</t>
        </is>
      </c>
      <c r="G2463" t="inlineStr">
        <is>
          <t>KATRINEHOLM</t>
        </is>
      </c>
      <c r="I2463" t="n">
        <v>1.8</v>
      </c>
      <c r="J2463" t="n">
        <v>0</v>
      </c>
      <c r="K2463" t="n">
        <v>0</v>
      </c>
      <c r="L2463" t="n">
        <v>0</v>
      </c>
      <c r="M2463" t="n">
        <v>0</v>
      </c>
      <c r="N2463" t="n">
        <v>0</v>
      </c>
      <c r="O2463" t="n">
        <v>0</v>
      </c>
      <c r="P2463" t="n">
        <v>0</v>
      </c>
      <c r="Q2463" t="n">
        <v>0</v>
      </c>
      <c r="R2463" t="n">
        <v>0</v>
      </c>
      <c r="S2463" t="n">
        <v>0</v>
      </c>
      <c r="T2463" t="n">
        <v>0</v>
      </c>
      <c r="U2463" t="n">
        <v>0</v>
      </c>
      <c r="V2463" s="2" t="inlineStr"/>
    </row>
    <row r="2464" ht="15" customHeight="1">
      <c r="A2464" t="inlineStr">
        <is>
          <t>A 1915-2022</t>
        </is>
      </c>
      <c r="B2464" t="inlineStr">
        <is>
          <t>avverkningsanmälan</t>
        </is>
      </c>
      <c r="C2464" t="inlineStr">
        <is>
          <t>Föryngringsavverkning</t>
        </is>
      </c>
      <c r="D2464" s="1" t="n">
        <v>44575</v>
      </c>
      <c r="E2464" s="1" t="n">
        <v>46313</v>
      </c>
      <c r="F2464" t="inlineStr">
        <is>
          <t>SÖDERMANLANDS LÄN</t>
        </is>
      </c>
      <c r="G2464" t="inlineStr">
        <is>
          <t>NYKÖPING</t>
        </is>
      </c>
      <c r="I2464" t="n">
        <v>1.7</v>
      </c>
      <c r="J2464" t="n">
        <v>0</v>
      </c>
      <c r="K2464" t="n">
        <v>0</v>
      </c>
      <c r="L2464" t="n">
        <v>0</v>
      </c>
      <c r="M2464" t="n">
        <v>0</v>
      </c>
      <c r="N2464" t="n">
        <v>0</v>
      </c>
      <c r="O2464" t="n">
        <v>0</v>
      </c>
      <c r="P2464" t="n">
        <v>0</v>
      </c>
      <c r="Q2464" t="n">
        <v>0</v>
      </c>
      <c r="R2464" t="n">
        <v>0</v>
      </c>
      <c r="S2464" t="n">
        <v>0</v>
      </c>
      <c r="T2464" t="n">
        <v>0</v>
      </c>
      <c r="U2464" t="n">
        <v>0</v>
      </c>
      <c r="V2464" s="2" t="inlineStr"/>
    </row>
    <row r="2465" ht="15" customHeight="1">
      <c r="A2465" t="inlineStr">
        <is>
          <t>A 18965-2026</t>
        </is>
      </c>
      <c r="B2465" t="inlineStr">
        <is>
          <t>avverkningsanmälan</t>
        </is>
      </c>
      <c r="C2465" t="inlineStr">
        <is>
          <t>Föryngringsavverkning</t>
        </is>
      </c>
      <c r="D2465" s="1" t="n">
        <v>46129</v>
      </c>
      <c r="E2465" s="1" t="n">
        <v>46313</v>
      </c>
      <c r="F2465" t="inlineStr">
        <is>
          <t>SÖDERMANLANDS LÄN</t>
        </is>
      </c>
      <c r="G2465" t="inlineStr">
        <is>
          <t>STRÄNGNÄS</t>
        </is>
      </c>
      <c r="I2465" t="n">
        <v>0.6</v>
      </c>
      <c r="J2465" t="n">
        <v>0</v>
      </c>
      <c r="K2465" t="n">
        <v>0</v>
      </c>
      <c r="L2465" t="n">
        <v>0</v>
      </c>
      <c r="M2465" t="n">
        <v>0</v>
      </c>
      <c r="N2465" t="n">
        <v>0</v>
      </c>
      <c r="O2465" t="n">
        <v>0</v>
      </c>
      <c r="P2465" t="n">
        <v>0</v>
      </c>
      <c r="Q2465" t="n">
        <v>0</v>
      </c>
      <c r="R2465" t="n">
        <v>0</v>
      </c>
      <c r="S2465" t="n">
        <v>0</v>
      </c>
      <c r="T2465" t="n">
        <v>0</v>
      </c>
      <c r="U2465" t="n">
        <v>0</v>
      </c>
      <c r="V2465" s="2" t="inlineStr"/>
    </row>
    <row r="2466" ht="15" customHeight="1">
      <c r="A2466" t="inlineStr">
        <is>
          <t>A 18904-2026</t>
        </is>
      </c>
      <c r="B2466" t="inlineStr">
        <is>
          <t>avverkningsanmälan</t>
        </is>
      </c>
      <c r="C2466" t="inlineStr">
        <is>
          <t>Föryngringsavverkning</t>
        </is>
      </c>
      <c r="D2466" s="1" t="n">
        <v>46129</v>
      </c>
      <c r="E2466" s="1" t="n">
        <v>46313</v>
      </c>
      <c r="F2466" t="inlineStr">
        <is>
          <t>SÖDERMANLANDS LÄN</t>
        </is>
      </c>
      <c r="G2466" t="inlineStr">
        <is>
          <t>STRÄNGNÄS</t>
        </is>
      </c>
      <c r="I2466" t="n">
        <v>3.4</v>
      </c>
      <c r="J2466" t="n">
        <v>0</v>
      </c>
      <c r="K2466" t="n">
        <v>0</v>
      </c>
      <c r="L2466" t="n">
        <v>0</v>
      </c>
      <c r="M2466" t="n">
        <v>0</v>
      </c>
      <c r="N2466" t="n">
        <v>0</v>
      </c>
      <c r="O2466" t="n">
        <v>0</v>
      </c>
      <c r="P2466" t="n">
        <v>0</v>
      </c>
      <c r="Q2466" t="n">
        <v>0</v>
      </c>
      <c r="R2466" t="n">
        <v>0</v>
      </c>
      <c r="S2466" t="n">
        <v>0</v>
      </c>
      <c r="T2466" t="n">
        <v>0</v>
      </c>
      <c r="U2466" t="n">
        <v>0</v>
      </c>
      <c r="V2466" s="2" t="inlineStr"/>
    </row>
    <row r="2467" ht="15" customHeight="1">
      <c r="A2467" t="inlineStr">
        <is>
          <t>A 18918-2026</t>
        </is>
      </c>
      <c r="B2467" t="inlineStr">
        <is>
          <t>avverkningsanmälan</t>
        </is>
      </c>
      <c r="C2467" t="inlineStr">
        <is>
          <t>Föryngringsavverkning</t>
        </is>
      </c>
      <c r="D2467" s="1" t="n">
        <v>46129</v>
      </c>
      <c r="E2467" s="1" t="n">
        <v>46313</v>
      </c>
      <c r="F2467" t="inlineStr">
        <is>
          <t>SÖDERMANLANDS LÄN</t>
        </is>
      </c>
      <c r="G2467" t="inlineStr">
        <is>
          <t>FLEN</t>
        </is>
      </c>
      <c r="I2467" t="n">
        <v>0.4</v>
      </c>
      <c r="J2467" t="n">
        <v>0</v>
      </c>
      <c r="K2467" t="n">
        <v>0</v>
      </c>
      <c r="L2467" t="n">
        <v>0</v>
      </c>
      <c r="M2467" t="n">
        <v>0</v>
      </c>
      <c r="N2467" t="n">
        <v>0</v>
      </c>
      <c r="O2467" t="n">
        <v>0</v>
      </c>
      <c r="P2467" t="n">
        <v>0</v>
      </c>
      <c r="Q2467" t="n">
        <v>0</v>
      </c>
      <c r="R2467" t="n">
        <v>0</v>
      </c>
      <c r="S2467" t="n">
        <v>0</v>
      </c>
      <c r="T2467" t="n">
        <v>0</v>
      </c>
      <c r="U2467" t="n">
        <v>0</v>
      </c>
      <c r="V2467" s="2" t="inlineStr"/>
    </row>
    <row r="2468" ht="15" customHeight="1">
      <c r="A2468" t="inlineStr">
        <is>
          <t>A 53569-2022</t>
        </is>
      </c>
      <c r="B2468" t="inlineStr">
        <is>
          <t>avverkningsanmälan</t>
        </is>
      </c>
      <c r="C2468" t="inlineStr">
        <is>
          <t>Föryngringsavverkning</t>
        </is>
      </c>
      <c r="D2468" s="1" t="n">
        <v>44879</v>
      </c>
      <c r="E2468" s="1" t="n">
        <v>46313</v>
      </c>
      <c r="F2468" t="inlineStr">
        <is>
          <t>SÖDERMANLANDS LÄN</t>
        </is>
      </c>
      <c r="G2468" t="inlineStr">
        <is>
          <t>NYKÖPING</t>
        </is>
      </c>
      <c r="H2468" t="inlineStr">
        <is>
          <t>Övriga Aktiebolag</t>
        </is>
      </c>
      <c r="I2468" t="n">
        <v>6.3</v>
      </c>
      <c r="J2468" t="n">
        <v>0</v>
      </c>
      <c r="K2468" t="n">
        <v>0</v>
      </c>
      <c r="L2468" t="n">
        <v>0</v>
      </c>
      <c r="M2468" t="n">
        <v>0</v>
      </c>
      <c r="N2468" t="n">
        <v>0</v>
      </c>
      <c r="O2468" t="n">
        <v>0</v>
      </c>
      <c r="P2468" t="n">
        <v>0</v>
      </c>
      <c r="Q2468" t="n">
        <v>0</v>
      </c>
      <c r="R2468" t="n">
        <v>0</v>
      </c>
      <c r="S2468" t="n">
        <v>0</v>
      </c>
      <c r="T2468" t="n">
        <v>0</v>
      </c>
      <c r="U2468" t="n">
        <v>0</v>
      </c>
      <c r="V2468" s="2" t="inlineStr"/>
    </row>
    <row r="2469" ht="15" customHeight="1">
      <c r="A2469" t="inlineStr">
        <is>
          <t>A 18961-2026</t>
        </is>
      </c>
      <c r="B2469" t="inlineStr">
        <is>
          <t>avverkningsanmälan</t>
        </is>
      </c>
      <c r="C2469" t="inlineStr">
        <is>
          <t>Föryngringsavverkning</t>
        </is>
      </c>
      <c r="D2469" s="1" t="n">
        <v>46129</v>
      </c>
      <c r="E2469" s="1" t="n">
        <v>46313</v>
      </c>
      <c r="F2469" t="inlineStr">
        <is>
          <t>SÖDERMANLANDS LÄN</t>
        </is>
      </c>
      <c r="G2469" t="inlineStr">
        <is>
          <t>STRÄNGNÄS</t>
        </is>
      </c>
      <c r="I2469" t="n">
        <v>2.1</v>
      </c>
      <c r="J2469" t="n">
        <v>0</v>
      </c>
      <c r="K2469" t="n">
        <v>0</v>
      </c>
      <c r="L2469" t="n">
        <v>0</v>
      </c>
      <c r="M2469" t="n">
        <v>0</v>
      </c>
      <c r="N2469" t="n">
        <v>0</v>
      </c>
      <c r="O2469" t="n">
        <v>0</v>
      </c>
      <c r="P2469" t="n">
        <v>0</v>
      </c>
      <c r="Q2469" t="n">
        <v>0</v>
      </c>
      <c r="R2469" t="n">
        <v>0</v>
      </c>
      <c r="S2469" t="n">
        <v>0</v>
      </c>
      <c r="T2469" t="n">
        <v>0</v>
      </c>
      <c r="U2469" t="n">
        <v>0</v>
      </c>
      <c r="V2469" s="2" t="inlineStr"/>
    </row>
    <row r="2470" ht="15" customHeight="1">
      <c r="A2470" t="inlineStr">
        <is>
          <t>A 3986-2024</t>
        </is>
      </c>
      <c r="B2470" t="inlineStr">
        <is>
          <t>avverkningsanmälan</t>
        </is>
      </c>
      <c r="C2470" t="inlineStr">
        <is>
          <t>Föryngringsavverkning</t>
        </is>
      </c>
      <c r="D2470" s="1" t="n">
        <v>45322</v>
      </c>
      <c r="E2470" s="1" t="n">
        <v>46313</v>
      </c>
      <c r="F2470" t="inlineStr">
        <is>
          <t>SÖDERMANLANDS LÄN</t>
        </is>
      </c>
      <c r="G2470" t="inlineStr">
        <is>
          <t>KATRINEHOLM</t>
        </is>
      </c>
      <c r="I2470" t="n">
        <v>1.2</v>
      </c>
      <c r="J2470" t="n">
        <v>0</v>
      </c>
      <c r="K2470" t="n">
        <v>0</v>
      </c>
      <c r="L2470" t="n">
        <v>0</v>
      </c>
      <c r="M2470" t="n">
        <v>0</v>
      </c>
      <c r="N2470" t="n">
        <v>0</v>
      </c>
      <c r="O2470" t="n">
        <v>0</v>
      </c>
      <c r="P2470" t="n">
        <v>0</v>
      </c>
      <c r="Q2470" t="n">
        <v>0</v>
      </c>
      <c r="R2470" t="n">
        <v>0</v>
      </c>
      <c r="S2470" t="n">
        <v>0</v>
      </c>
      <c r="T2470" t="n">
        <v>0</v>
      </c>
      <c r="U2470" t="n">
        <v>0</v>
      </c>
      <c r="V2470" s="2" t="inlineStr"/>
    </row>
    <row r="2471" ht="15" customHeight="1">
      <c r="A2471" t="inlineStr">
        <is>
          <t>A 17848-2026</t>
        </is>
      </c>
      <c r="B2471" t="inlineStr">
        <is>
          <t>avverkningsanmälan</t>
        </is>
      </c>
      <c r="C2471" t="inlineStr">
        <is>
          <t>Föryngringsavverkning</t>
        </is>
      </c>
      <c r="D2471" s="1" t="n">
        <v>46121</v>
      </c>
      <c r="E2471" s="1" t="n">
        <v>46313</v>
      </c>
      <c r="F2471" t="inlineStr">
        <is>
          <t>SÖDERMANLANDS LÄN</t>
        </is>
      </c>
      <c r="G2471" t="inlineStr">
        <is>
          <t>FLEN</t>
        </is>
      </c>
      <c r="I2471" t="n">
        <v>1.1</v>
      </c>
      <c r="J2471" t="n">
        <v>0</v>
      </c>
      <c r="K2471" t="n">
        <v>0</v>
      </c>
      <c r="L2471" t="n">
        <v>0</v>
      </c>
      <c r="M2471" t="n">
        <v>0</v>
      </c>
      <c r="N2471" t="n">
        <v>0</v>
      </c>
      <c r="O2471" t="n">
        <v>0</v>
      </c>
      <c r="P2471" t="n">
        <v>0</v>
      </c>
      <c r="Q2471" t="n">
        <v>0</v>
      </c>
      <c r="R2471" t="n">
        <v>0</v>
      </c>
      <c r="S2471" t="n">
        <v>0</v>
      </c>
      <c r="T2471" t="n">
        <v>0</v>
      </c>
      <c r="U2471" t="n">
        <v>0</v>
      </c>
      <c r="V2471" s="2" t="inlineStr"/>
    </row>
    <row r="2472" ht="15" customHeight="1">
      <c r="A2472" t="inlineStr">
        <is>
          <t>A 28978-2026</t>
        </is>
      </c>
      <c r="B2472" t="inlineStr">
        <is>
          <t>avverkningsanmälan</t>
        </is>
      </c>
      <c r="C2472" t="inlineStr">
        <is>
          <t>Föryngringsavverkning</t>
        </is>
      </c>
      <c r="D2472" s="1" t="n">
        <v>46199</v>
      </c>
      <c r="E2472" s="1" t="n">
        <v>46313</v>
      </c>
      <c r="F2472" t="inlineStr">
        <is>
          <t>SÖDERMANLANDS LÄN</t>
        </is>
      </c>
      <c r="G2472" t="inlineStr">
        <is>
          <t>KATRINEHOLM</t>
        </is>
      </c>
      <c r="I2472" t="n">
        <v>1.2</v>
      </c>
      <c r="J2472" t="n">
        <v>0</v>
      </c>
      <c r="K2472" t="n">
        <v>0</v>
      </c>
      <c r="L2472" t="n">
        <v>0</v>
      </c>
      <c r="M2472" t="n">
        <v>0</v>
      </c>
      <c r="N2472" t="n">
        <v>0</v>
      </c>
      <c r="O2472" t="n">
        <v>0</v>
      </c>
      <c r="P2472" t="n">
        <v>0</v>
      </c>
      <c r="Q2472" t="n">
        <v>0</v>
      </c>
      <c r="R2472" t="n">
        <v>0</v>
      </c>
      <c r="S2472" t="n">
        <v>0</v>
      </c>
      <c r="T2472" t="n">
        <v>0</v>
      </c>
      <c r="U2472" t="n">
        <v>0</v>
      </c>
      <c r="V2472" s="2" t="inlineStr"/>
    </row>
    <row r="2473" ht="15" customHeight="1">
      <c r="A2473" t="inlineStr">
        <is>
          <t>A 45923-2023</t>
        </is>
      </c>
      <c r="B2473" t="inlineStr">
        <is>
          <t>avverkningsanmälan</t>
        </is>
      </c>
      <c r="C2473" t="inlineStr">
        <is>
          <t>Föryngringsavverkning</t>
        </is>
      </c>
      <c r="D2473" s="1" t="n">
        <v>45189</v>
      </c>
      <c r="E2473" s="1" t="n">
        <v>46313</v>
      </c>
      <c r="F2473" t="inlineStr">
        <is>
          <t>SÖDERMANLANDS LÄN</t>
        </is>
      </c>
      <c r="G2473" t="inlineStr">
        <is>
          <t>FLEN</t>
        </is>
      </c>
      <c r="H2473" t="inlineStr">
        <is>
          <t>Övriga statliga verk och myndigheter</t>
        </is>
      </c>
      <c r="I2473" t="n">
        <v>1.3</v>
      </c>
      <c r="J2473" t="n">
        <v>0</v>
      </c>
      <c r="K2473" t="n">
        <v>0</v>
      </c>
      <c r="L2473" t="n">
        <v>0</v>
      </c>
      <c r="M2473" t="n">
        <v>0</v>
      </c>
      <c r="N2473" t="n">
        <v>0</v>
      </c>
      <c r="O2473" t="n">
        <v>0</v>
      </c>
      <c r="P2473" t="n">
        <v>0</v>
      </c>
      <c r="Q2473" t="n">
        <v>0</v>
      </c>
      <c r="R2473" t="n">
        <v>0</v>
      </c>
      <c r="S2473" t="n">
        <v>0</v>
      </c>
      <c r="T2473" t="n">
        <v>0</v>
      </c>
      <c r="U2473" t="n">
        <v>0</v>
      </c>
      <c r="V2473" s="2" t="inlineStr"/>
    </row>
    <row r="2474" ht="15" customHeight="1">
      <c r="A2474" t="inlineStr">
        <is>
          <t>A 44627-2023</t>
        </is>
      </c>
      <c r="B2474" t="inlineStr">
        <is>
          <t>avverkningsanmälan</t>
        </is>
      </c>
      <c r="C2474" t="inlineStr">
        <is>
          <t>Föryngringsavverkning</t>
        </is>
      </c>
      <c r="D2474" s="1" t="n">
        <v>45189</v>
      </c>
      <c r="E2474" s="1" t="n">
        <v>46313</v>
      </c>
      <c r="F2474" t="inlineStr">
        <is>
          <t>SÖDERMANLANDS LÄN</t>
        </is>
      </c>
      <c r="G2474" t="inlineStr">
        <is>
          <t>GNESTA</t>
        </is>
      </c>
      <c r="I2474" t="n">
        <v>1.9</v>
      </c>
      <c r="J2474" t="n">
        <v>0</v>
      </c>
      <c r="K2474" t="n">
        <v>0</v>
      </c>
      <c r="L2474" t="n">
        <v>0</v>
      </c>
      <c r="M2474" t="n">
        <v>0</v>
      </c>
      <c r="N2474" t="n">
        <v>0</v>
      </c>
      <c r="O2474" t="n">
        <v>0</v>
      </c>
      <c r="P2474" t="n">
        <v>0</v>
      </c>
      <c r="Q2474" t="n">
        <v>0</v>
      </c>
      <c r="R2474" t="n">
        <v>0</v>
      </c>
      <c r="S2474" t="n">
        <v>0</v>
      </c>
      <c r="T2474" t="n">
        <v>0</v>
      </c>
      <c r="U2474" t="n">
        <v>0</v>
      </c>
      <c r="V2474" s="2" t="inlineStr"/>
    </row>
    <row r="2475" ht="15" customHeight="1">
      <c r="A2475" t="inlineStr">
        <is>
          <t>A 24348-2023</t>
        </is>
      </c>
      <c r="B2475" t="inlineStr">
        <is>
          <t>avverkningsanmälan</t>
        </is>
      </c>
      <c r="C2475" t="inlineStr">
        <is>
          <t>Föryngringsavverkning</t>
        </is>
      </c>
      <c r="D2475" s="1" t="n">
        <v>45082</v>
      </c>
      <c r="E2475" s="1" t="n">
        <v>46313</v>
      </c>
      <c r="F2475" t="inlineStr">
        <is>
          <t>SÖDERMANLANDS LÄN</t>
        </is>
      </c>
      <c r="G2475" t="inlineStr">
        <is>
          <t>FLEN</t>
        </is>
      </c>
      <c r="I2475" t="n">
        <v>2.3</v>
      </c>
      <c r="J2475" t="n">
        <v>0</v>
      </c>
      <c r="K2475" t="n">
        <v>0</v>
      </c>
      <c r="L2475" t="n">
        <v>0</v>
      </c>
      <c r="M2475" t="n">
        <v>0</v>
      </c>
      <c r="N2475" t="n">
        <v>0</v>
      </c>
      <c r="O2475" t="n">
        <v>0</v>
      </c>
      <c r="P2475" t="n">
        <v>0</v>
      </c>
      <c r="Q2475" t="n">
        <v>0</v>
      </c>
      <c r="R2475" t="n">
        <v>0</v>
      </c>
      <c r="S2475" t="n">
        <v>0</v>
      </c>
      <c r="T2475" t="n">
        <v>0</v>
      </c>
      <c r="U2475" t="n">
        <v>0</v>
      </c>
      <c r="V2475" s="2" t="inlineStr"/>
    </row>
    <row r="2476" ht="15" customHeight="1">
      <c r="A2476" t="inlineStr">
        <is>
          <t>A 27206-2023</t>
        </is>
      </c>
      <c r="B2476" t="inlineStr">
        <is>
          <t>avverkningsanmälan</t>
        </is>
      </c>
      <c r="C2476" t="inlineStr">
        <is>
          <t>Föryngringsavverkning</t>
        </is>
      </c>
      <c r="D2476" s="1" t="n">
        <v>45096</v>
      </c>
      <c r="E2476" s="1" t="n">
        <v>46313</v>
      </c>
      <c r="F2476" t="inlineStr">
        <is>
          <t>SÖDERMANLANDS LÄN</t>
        </is>
      </c>
      <c r="G2476" t="inlineStr">
        <is>
          <t>NYKÖPING</t>
        </is>
      </c>
      <c r="H2476" t="inlineStr">
        <is>
          <t>Övriga Aktiebolag</t>
        </is>
      </c>
      <c r="I2476" t="n">
        <v>0.6</v>
      </c>
      <c r="J2476" t="n">
        <v>0</v>
      </c>
      <c r="K2476" t="n">
        <v>0</v>
      </c>
      <c r="L2476" t="n">
        <v>0</v>
      </c>
      <c r="M2476" t="n">
        <v>0</v>
      </c>
      <c r="N2476" t="n">
        <v>0</v>
      </c>
      <c r="O2476" t="n">
        <v>0</v>
      </c>
      <c r="P2476" t="n">
        <v>0</v>
      </c>
      <c r="Q2476" t="n">
        <v>0</v>
      </c>
      <c r="R2476" t="n">
        <v>0</v>
      </c>
      <c r="S2476" t="n">
        <v>0</v>
      </c>
      <c r="T2476" t="n">
        <v>0</v>
      </c>
      <c r="U2476" t="n">
        <v>0</v>
      </c>
      <c r="V2476" s="2" t="inlineStr"/>
    </row>
    <row r="2477" ht="15" customHeight="1">
      <c r="A2477" t="inlineStr">
        <is>
          <t>A 53181-2024</t>
        </is>
      </c>
      <c r="B2477" t="inlineStr">
        <is>
          <t>avverkningsanmälan</t>
        </is>
      </c>
      <c r="C2477" t="inlineStr">
        <is>
          <t>Föryngringsavverkning</t>
        </is>
      </c>
      <c r="D2477" s="1" t="n">
        <v>45611</v>
      </c>
      <c r="E2477" s="1" t="n">
        <v>46313</v>
      </c>
      <c r="F2477" t="inlineStr">
        <is>
          <t>SÖDERMANLANDS LÄN</t>
        </is>
      </c>
      <c r="G2477" t="inlineStr">
        <is>
          <t>ESKILSTUNA</t>
        </is>
      </c>
      <c r="I2477" t="n">
        <v>2.4</v>
      </c>
      <c r="J2477" t="n">
        <v>0</v>
      </c>
      <c r="K2477" t="n">
        <v>0</v>
      </c>
      <c r="L2477" t="n">
        <v>0</v>
      </c>
      <c r="M2477" t="n">
        <v>0</v>
      </c>
      <c r="N2477" t="n">
        <v>0</v>
      </c>
      <c r="O2477" t="n">
        <v>0</v>
      </c>
      <c r="P2477" t="n">
        <v>0</v>
      </c>
      <c r="Q2477" t="n">
        <v>0</v>
      </c>
      <c r="R2477" t="n">
        <v>0</v>
      </c>
      <c r="S2477" t="n">
        <v>0</v>
      </c>
      <c r="T2477" t="n">
        <v>0</v>
      </c>
      <c r="U2477" t="n">
        <v>0</v>
      </c>
      <c r="V2477" s="2" t="inlineStr"/>
    </row>
    <row r="2478" ht="15" customHeight="1">
      <c r="A2478" t="inlineStr">
        <is>
          <t>A 5107-2023</t>
        </is>
      </c>
      <c r="B2478" t="inlineStr">
        <is>
          <t>avverkningsanmälan</t>
        </is>
      </c>
      <c r="C2478" t="inlineStr">
        <is>
          <t>Föryngringsavverkning</t>
        </is>
      </c>
      <c r="D2478" s="1" t="n">
        <v>44958</v>
      </c>
      <c r="E2478" s="1" t="n">
        <v>46313</v>
      </c>
      <c r="F2478" t="inlineStr">
        <is>
          <t>SÖDERMANLANDS LÄN</t>
        </is>
      </c>
      <c r="G2478" t="inlineStr">
        <is>
          <t>NYKÖPING</t>
        </is>
      </c>
      <c r="I2478" t="n">
        <v>4.4</v>
      </c>
      <c r="J2478" t="n">
        <v>0</v>
      </c>
      <c r="K2478" t="n">
        <v>0</v>
      </c>
      <c r="L2478" t="n">
        <v>0</v>
      </c>
      <c r="M2478" t="n">
        <v>0</v>
      </c>
      <c r="N2478" t="n">
        <v>0</v>
      </c>
      <c r="O2478" t="n">
        <v>0</v>
      </c>
      <c r="P2478" t="n">
        <v>0</v>
      </c>
      <c r="Q2478" t="n">
        <v>0</v>
      </c>
      <c r="R2478" t="n">
        <v>0</v>
      </c>
      <c r="S2478" t="n">
        <v>0</v>
      </c>
      <c r="T2478" t="n">
        <v>0</v>
      </c>
      <c r="U2478" t="n">
        <v>0</v>
      </c>
      <c r="V2478" s="2" t="inlineStr"/>
    </row>
    <row r="2479" ht="15" customHeight="1">
      <c r="A2479" t="inlineStr">
        <is>
          <t>A 3939-2022</t>
        </is>
      </c>
      <c r="B2479" t="inlineStr">
        <is>
          <t>avverkningsanmälan</t>
        </is>
      </c>
      <c r="C2479" t="inlineStr">
        <is>
          <t>Föryngringsavverkning</t>
        </is>
      </c>
      <c r="D2479" s="1" t="n">
        <v>44587</v>
      </c>
      <c r="E2479" s="1" t="n">
        <v>46313</v>
      </c>
      <c r="F2479" t="inlineStr">
        <is>
          <t>SÖDERMANLANDS LÄN</t>
        </is>
      </c>
      <c r="G2479" t="inlineStr">
        <is>
          <t>KATRINEHOLM</t>
        </is>
      </c>
      <c r="I2479" t="n">
        <v>0.8</v>
      </c>
      <c r="J2479" t="n">
        <v>0</v>
      </c>
      <c r="K2479" t="n">
        <v>0</v>
      </c>
      <c r="L2479" t="n">
        <v>0</v>
      </c>
      <c r="M2479" t="n">
        <v>0</v>
      </c>
      <c r="N2479" t="n">
        <v>0</v>
      </c>
      <c r="O2479" t="n">
        <v>0</v>
      </c>
      <c r="P2479" t="n">
        <v>0</v>
      </c>
      <c r="Q2479" t="n">
        <v>0</v>
      </c>
      <c r="R2479" t="n">
        <v>0</v>
      </c>
      <c r="S2479" t="n">
        <v>0</v>
      </c>
      <c r="T2479" t="n">
        <v>0</v>
      </c>
      <c r="U2479" t="n">
        <v>0</v>
      </c>
      <c r="V2479" s="2" t="inlineStr"/>
    </row>
    <row r="2480" ht="15" customHeight="1">
      <c r="A2480" t="inlineStr">
        <is>
          <t>A 19072-2026</t>
        </is>
      </c>
      <c r="B2480" t="inlineStr">
        <is>
          <t>avverkningsanmälan</t>
        </is>
      </c>
      <c r="C2480" t="inlineStr">
        <is>
          <t>Föryngringsavverkning</t>
        </is>
      </c>
      <c r="D2480" s="1" t="n">
        <v>46132</v>
      </c>
      <c r="E2480" s="1" t="n">
        <v>46313</v>
      </c>
      <c r="F2480" t="inlineStr">
        <is>
          <t>SÖDERMANLANDS LÄN</t>
        </is>
      </c>
      <c r="G2480" t="inlineStr">
        <is>
          <t>FLEN</t>
        </is>
      </c>
      <c r="H2480" t="inlineStr">
        <is>
          <t>Holmen skog AB</t>
        </is>
      </c>
      <c r="I2480" t="n">
        <v>5.6</v>
      </c>
      <c r="J2480" t="n">
        <v>0</v>
      </c>
      <c r="K2480" t="n">
        <v>0</v>
      </c>
      <c r="L2480" t="n">
        <v>0</v>
      </c>
      <c r="M2480" t="n">
        <v>0</v>
      </c>
      <c r="N2480" t="n">
        <v>0</v>
      </c>
      <c r="O2480" t="n">
        <v>0</v>
      </c>
      <c r="P2480" t="n">
        <v>0</v>
      </c>
      <c r="Q2480" t="n">
        <v>0</v>
      </c>
      <c r="R2480" t="n">
        <v>0</v>
      </c>
      <c r="S2480" t="n">
        <v>0</v>
      </c>
      <c r="T2480" t="n">
        <v>0</v>
      </c>
      <c r="U2480" t="n">
        <v>0</v>
      </c>
      <c r="V2480" s="2" t="inlineStr"/>
    </row>
    <row r="2481" ht="15" customHeight="1">
      <c r="A2481" t="inlineStr">
        <is>
          <t>A 19187-2026</t>
        </is>
      </c>
      <c r="B2481" t="inlineStr">
        <is>
          <t>avverkningsanmälan</t>
        </is>
      </c>
      <c r="C2481" t="inlineStr">
        <is>
          <t>Föryngringsavverkning</t>
        </is>
      </c>
      <c r="D2481" s="1" t="n">
        <v>46132</v>
      </c>
      <c r="E2481" s="1" t="n">
        <v>46313</v>
      </c>
      <c r="F2481" t="inlineStr">
        <is>
          <t>SÖDERMANLANDS LÄN</t>
        </is>
      </c>
      <c r="G2481" t="inlineStr">
        <is>
          <t>KATRINEHOLM</t>
        </is>
      </c>
      <c r="I2481" t="n">
        <v>3.7</v>
      </c>
      <c r="J2481" t="n">
        <v>0</v>
      </c>
      <c r="K2481" t="n">
        <v>0</v>
      </c>
      <c r="L2481" t="n">
        <v>0</v>
      </c>
      <c r="M2481" t="n">
        <v>0</v>
      </c>
      <c r="N2481" t="n">
        <v>0</v>
      </c>
      <c r="O2481" t="n">
        <v>0</v>
      </c>
      <c r="P2481" t="n">
        <v>0</v>
      </c>
      <c r="Q2481" t="n">
        <v>0</v>
      </c>
      <c r="R2481" t="n">
        <v>0</v>
      </c>
      <c r="S2481" t="n">
        <v>0</v>
      </c>
      <c r="T2481" t="n">
        <v>0</v>
      </c>
      <c r="U2481" t="n">
        <v>0</v>
      </c>
      <c r="V2481" s="2" t="inlineStr"/>
    </row>
    <row r="2482" ht="15" customHeight="1">
      <c r="A2482" t="inlineStr">
        <is>
          <t>A 2683-2025</t>
        </is>
      </c>
      <c r="B2482" t="inlineStr">
        <is>
          <t>avverkningsanmälan</t>
        </is>
      </c>
      <c r="C2482" t="inlineStr">
        <is>
          <t>Avverkning för annat ändamål</t>
        </is>
      </c>
      <c r="D2482" s="1" t="n">
        <v>45677</v>
      </c>
      <c r="E2482" s="1" t="n">
        <v>46313</v>
      </c>
      <c r="F2482" t="inlineStr">
        <is>
          <t>SÖDERMANLANDS LÄN</t>
        </is>
      </c>
      <c r="G2482" t="inlineStr">
        <is>
          <t>KATRINEHOLM</t>
        </is>
      </c>
      <c r="I2482" t="n">
        <v>0.8</v>
      </c>
      <c r="J2482" t="n">
        <v>0</v>
      </c>
      <c r="K2482" t="n">
        <v>0</v>
      </c>
      <c r="L2482" t="n">
        <v>0</v>
      </c>
      <c r="M2482" t="n">
        <v>0</v>
      </c>
      <c r="N2482" t="n">
        <v>0</v>
      </c>
      <c r="O2482" t="n">
        <v>0</v>
      </c>
      <c r="P2482" t="n">
        <v>0</v>
      </c>
      <c r="Q2482" t="n">
        <v>0</v>
      </c>
      <c r="R2482" t="n">
        <v>0</v>
      </c>
      <c r="S2482" t="n">
        <v>0</v>
      </c>
      <c r="T2482" t="n">
        <v>0</v>
      </c>
      <c r="U2482" t="n">
        <v>0</v>
      </c>
      <c r="V2482" s="2" t="inlineStr"/>
    </row>
    <row r="2483" ht="15" customHeight="1">
      <c r="A2483" t="inlineStr">
        <is>
          <t>A 19098-2026</t>
        </is>
      </c>
      <c r="B2483" t="inlineStr">
        <is>
          <t>avverkningsanmälan</t>
        </is>
      </c>
      <c r="C2483" t="inlineStr">
        <is>
          <t>Föryngringsavverkning</t>
        </is>
      </c>
      <c r="D2483" s="1" t="n">
        <v>46132</v>
      </c>
      <c r="E2483" s="1" t="n">
        <v>46313</v>
      </c>
      <c r="F2483" t="inlineStr">
        <is>
          <t>SÖDERMANLANDS LÄN</t>
        </is>
      </c>
      <c r="G2483" t="inlineStr">
        <is>
          <t>KATRINEHOLM</t>
        </is>
      </c>
      <c r="I2483" t="n">
        <v>1.2</v>
      </c>
      <c r="J2483" t="n">
        <v>0</v>
      </c>
      <c r="K2483" t="n">
        <v>0</v>
      </c>
      <c r="L2483" t="n">
        <v>0</v>
      </c>
      <c r="M2483" t="n">
        <v>0</v>
      </c>
      <c r="N2483" t="n">
        <v>0</v>
      </c>
      <c r="O2483" t="n">
        <v>0</v>
      </c>
      <c r="P2483" t="n">
        <v>0</v>
      </c>
      <c r="Q2483" t="n">
        <v>0</v>
      </c>
      <c r="R2483" t="n">
        <v>0</v>
      </c>
      <c r="S2483" t="n">
        <v>0</v>
      </c>
      <c r="T2483" t="n">
        <v>0</v>
      </c>
      <c r="U2483" t="n">
        <v>0</v>
      </c>
      <c r="V2483" s="2" t="inlineStr"/>
    </row>
    <row r="2484" ht="15" customHeight="1">
      <c r="A2484" t="inlineStr">
        <is>
          <t>A 14847-2023</t>
        </is>
      </c>
      <c r="B2484" t="inlineStr">
        <is>
          <t>avverkningsanmälan</t>
        </is>
      </c>
      <c r="C2484" t="inlineStr">
        <is>
          <t>Föryngringsavverkning</t>
        </is>
      </c>
      <c r="D2484" s="1" t="n">
        <v>45014</v>
      </c>
      <c r="E2484" s="1" t="n">
        <v>46313</v>
      </c>
      <c r="F2484" t="inlineStr">
        <is>
          <t>SÖDERMANLANDS LÄN</t>
        </is>
      </c>
      <c r="G2484" t="inlineStr">
        <is>
          <t>STRÄNGNÄS</t>
        </is>
      </c>
      <c r="H2484" t="inlineStr">
        <is>
          <t>Allmännings- och besparingsskogar</t>
        </is>
      </c>
      <c r="I2484" t="n">
        <v>0.9</v>
      </c>
      <c r="J2484" t="n">
        <v>0</v>
      </c>
      <c r="K2484" t="n">
        <v>0</v>
      </c>
      <c r="L2484" t="n">
        <v>0</v>
      </c>
      <c r="M2484" t="n">
        <v>0</v>
      </c>
      <c r="N2484" t="n">
        <v>0</v>
      </c>
      <c r="O2484" t="n">
        <v>0</v>
      </c>
      <c r="P2484" t="n">
        <v>0</v>
      </c>
      <c r="Q2484" t="n">
        <v>0</v>
      </c>
      <c r="R2484" t="n">
        <v>0</v>
      </c>
      <c r="S2484" t="n">
        <v>0</v>
      </c>
      <c r="T2484" t="n">
        <v>0</v>
      </c>
      <c r="U2484" t="n">
        <v>0</v>
      </c>
      <c r="V2484" s="2" t="inlineStr"/>
    </row>
    <row r="2485" ht="15" customHeight="1">
      <c r="A2485" t="inlineStr">
        <is>
          <t>A 16580-2023</t>
        </is>
      </c>
      <c r="B2485" t="inlineStr">
        <is>
          <t>avverkningsanmälan</t>
        </is>
      </c>
      <c r="C2485" t="inlineStr">
        <is>
          <t>Föryngringsavverkning</t>
        </is>
      </c>
      <c r="D2485" s="1" t="n">
        <v>45030</v>
      </c>
      <c r="E2485" s="1" t="n">
        <v>46313</v>
      </c>
      <c r="F2485" t="inlineStr">
        <is>
          <t>SÖDERMANLANDS LÄN</t>
        </is>
      </c>
      <c r="G2485" t="inlineStr">
        <is>
          <t>FLEN</t>
        </is>
      </c>
      <c r="I2485" t="n">
        <v>0.9</v>
      </c>
      <c r="J2485" t="n">
        <v>0</v>
      </c>
      <c r="K2485" t="n">
        <v>0</v>
      </c>
      <c r="L2485" t="n">
        <v>0</v>
      </c>
      <c r="M2485" t="n">
        <v>0</v>
      </c>
      <c r="N2485" t="n">
        <v>0</v>
      </c>
      <c r="O2485" t="n">
        <v>0</v>
      </c>
      <c r="P2485" t="n">
        <v>0</v>
      </c>
      <c r="Q2485" t="n">
        <v>0</v>
      </c>
      <c r="R2485" t="n">
        <v>0</v>
      </c>
      <c r="S2485" t="n">
        <v>0</v>
      </c>
      <c r="T2485" t="n">
        <v>0</v>
      </c>
      <c r="U2485" t="n">
        <v>0</v>
      </c>
      <c r="V2485" s="2" t="inlineStr"/>
    </row>
    <row r="2486" ht="15" customHeight="1">
      <c r="A2486" t="inlineStr">
        <is>
          <t>A 7214-2023</t>
        </is>
      </c>
      <c r="B2486" t="inlineStr">
        <is>
          <t>avverkningsanmälan</t>
        </is>
      </c>
      <c r="C2486" t="inlineStr">
        <is>
          <t>Föryngringsavverkning</t>
        </is>
      </c>
      <c r="D2486" s="1" t="n">
        <v>44970</v>
      </c>
      <c r="E2486" s="1" t="n">
        <v>46313</v>
      </c>
      <c r="F2486" t="inlineStr">
        <is>
          <t>SÖDERMANLANDS LÄN</t>
        </is>
      </c>
      <c r="G2486" t="inlineStr">
        <is>
          <t>GNESTA</t>
        </is>
      </c>
      <c r="I2486" t="n">
        <v>0.5</v>
      </c>
      <c r="J2486" t="n">
        <v>0</v>
      </c>
      <c r="K2486" t="n">
        <v>0</v>
      </c>
      <c r="L2486" t="n">
        <v>0</v>
      </c>
      <c r="M2486" t="n">
        <v>0</v>
      </c>
      <c r="N2486" t="n">
        <v>0</v>
      </c>
      <c r="O2486" t="n">
        <v>0</v>
      </c>
      <c r="P2486" t="n">
        <v>0</v>
      </c>
      <c r="Q2486" t="n">
        <v>0</v>
      </c>
      <c r="R2486" t="n">
        <v>0</v>
      </c>
      <c r="S2486" t="n">
        <v>0</v>
      </c>
      <c r="T2486" t="n">
        <v>0</v>
      </c>
      <c r="U2486" t="n">
        <v>0</v>
      </c>
      <c r="V2486" s="2" t="inlineStr"/>
    </row>
    <row r="2487" ht="15" customHeight="1">
      <c r="A2487" t="inlineStr">
        <is>
          <t>A 19102-2026</t>
        </is>
      </c>
      <c r="B2487" t="inlineStr">
        <is>
          <t>avverkningsanmälan</t>
        </is>
      </c>
      <c r="C2487" t="inlineStr">
        <is>
          <t>Föryngringsavverkning</t>
        </is>
      </c>
      <c r="D2487" s="1" t="n">
        <v>46132</v>
      </c>
      <c r="E2487" s="1" t="n">
        <v>46313</v>
      </c>
      <c r="F2487" t="inlineStr">
        <is>
          <t>SÖDERMANLANDS LÄN</t>
        </is>
      </c>
      <c r="G2487" t="inlineStr">
        <is>
          <t>FLEN</t>
        </is>
      </c>
      <c r="H2487" t="inlineStr">
        <is>
          <t>Holmen skog AB</t>
        </is>
      </c>
      <c r="I2487" t="n">
        <v>1.9</v>
      </c>
      <c r="J2487" t="n">
        <v>0</v>
      </c>
      <c r="K2487" t="n">
        <v>0</v>
      </c>
      <c r="L2487" t="n">
        <v>0</v>
      </c>
      <c r="M2487" t="n">
        <v>0</v>
      </c>
      <c r="N2487" t="n">
        <v>0</v>
      </c>
      <c r="O2487" t="n">
        <v>0</v>
      </c>
      <c r="P2487" t="n">
        <v>0</v>
      </c>
      <c r="Q2487" t="n">
        <v>0</v>
      </c>
      <c r="R2487" t="n">
        <v>0</v>
      </c>
      <c r="S2487" t="n">
        <v>0</v>
      </c>
      <c r="T2487" t="n">
        <v>0</v>
      </c>
      <c r="U2487" t="n">
        <v>0</v>
      </c>
      <c r="V2487" s="2" t="inlineStr"/>
    </row>
    <row r="2488" ht="15" customHeight="1">
      <c r="A2488" t="inlineStr">
        <is>
          <t>A 3216-2023</t>
        </is>
      </c>
      <c r="B2488" t="inlineStr">
        <is>
          <t>avverkningsanmälan</t>
        </is>
      </c>
      <c r="C2488" t="inlineStr">
        <is>
          <t>Föryngringsavverkning</t>
        </is>
      </c>
      <c r="D2488" s="1" t="n">
        <v>44946</v>
      </c>
      <c r="E2488" s="1" t="n">
        <v>46313</v>
      </c>
      <c r="F2488" t="inlineStr">
        <is>
          <t>SÖDERMANLANDS LÄN</t>
        </is>
      </c>
      <c r="G2488" t="inlineStr">
        <is>
          <t>NYKÖPING</t>
        </is>
      </c>
      <c r="I2488" t="n">
        <v>0.6</v>
      </c>
      <c r="J2488" t="n">
        <v>0</v>
      </c>
      <c r="K2488" t="n">
        <v>0</v>
      </c>
      <c r="L2488" t="n">
        <v>0</v>
      </c>
      <c r="M2488" t="n">
        <v>0</v>
      </c>
      <c r="N2488" t="n">
        <v>0</v>
      </c>
      <c r="O2488" t="n">
        <v>0</v>
      </c>
      <c r="P2488" t="n">
        <v>0</v>
      </c>
      <c r="Q2488" t="n">
        <v>0</v>
      </c>
      <c r="R2488" t="n">
        <v>0</v>
      </c>
      <c r="S2488" t="n">
        <v>0</v>
      </c>
      <c r="T2488" t="n">
        <v>0</v>
      </c>
      <c r="U2488" t="n">
        <v>0</v>
      </c>
      <c r="V2488" s="2" t="inlineStr"/>
    </row>
    <row r="2489" ht="15" customHeight="1">
      <c r="A2489" t="inlineStr">
        <is>
          <t>A 19792-2026</t>
        </is>
      </c>
      <c r="B2489" t="inlineStr">
        <is>
          <t>avverkningsanmälan</t>
        </is>
      </c>
      <c r="C2489" t="inlineStr">
        <is>
          <t>Föryngringsavverkning</t>
        </is>
      </c>
      <c r="D2489" s="1" t="n">
        <v>46135</v>
      </c>
      <c r="E2489" s="1" t="n">
        <v>46313</v>
      </c>
      <c r="F2489" t="inlineStr">
        <is>
          <t>SÖDERMANLANDS LÄN</t>
        </is>
      </c>
      <c r="G2489" t="inlineStr">
        <is>
          <t>VINGÅKER</t>
        </is>
      </c>
      <c r="I2489" t="n">
        <v>0.9</v>
      </c>
      <c r="J2489" t="n">
        <v>0</v>
      </c>
      <c r="K2489" t="n">
        <v>0</v>
      </c>
      <c r="L2489" t="n">
        <v>0</v>
      </c>
      <c r="M2489" t="n">
        <v>0</v>
      </c>
      <c r="N2489" t="n">
        <v>0</v>
      </c>
      <c r="O2489" t="n">
        <v>0</v>
      </c>
      <c r="P2489" t="n">
        <v>0</v>
      </c>
      <c r="Q2489" t="n">
        <v>0</v>
      </c>
      <c r="R2489" t="n">
        <v>0</v>
      </c>
      <c r="S2489" t="n">
        <v>0</v>
      </c>
      <c r="T2489" t="n">
        <v>0</v>
      </c>
      <c r="U2489" t="n">
        <v>0</v>
      </c>
      <c r="V2489" s="2" t="inlineStr"/>
    </row>
    <row r="2490" ht="15" customHeight="1">
      <c r="A2490" t="inlineStr">
        <is>
          <t>A 3317-2023</t>
        </is>
      </c>
      <c r="B2490" t="inlineStr">
        <is>
          <t>avverkningsanmälan</t>
        </is>
      </c>
      <c r="C2490" t="inlineStr">
        <is>
          <t>Föryngringsavverkning</t>
        </is>
      </c>
      <c r="D2490" s="1" t="n">
        <v>44945</v>
      </c>
      <c r="E2490" s="1" t="n">
        <v>46313</v>
      </c>
      <c r="F2490" t="inlineStr">
        <is>
          <t>SÖDERMANLANDS LÄN</t>
        </is>
      </c>
      <c r="G2490" t="inlineStr">
        <is>
          <t>KATRINEHOLM</t>
        </is>
      </c>
      <c r="I2490" t="n">
        <v>3.2</v>
      </c>
      <c r="J2490" t="n">
        <v>0</v>
      </c>
      <c r="K2490" t="n">
        <v>0</v>
      </c>
      <c r="L2490" t="n">
        <v>0</v>
      </c>
      <c r="M2490" t="n">
        <v>0</v>
      </c>
      <c r="N2490" t="n">
        <v>0</v>
      </c>
      <c r="O2490" t="n">
        <v>0</v>
      </c>
      <c r="P2490" t="n">
        <v>0</v>
      </c>
      <c r="Q2490" t="n">
        <v>0</v>
      </c>
      <c r="R2490" t="n">
        <v>0</v>
      </c>
      <c r="S2490" t="n">
        <v>0</v>
      </c>
      <c r="T2490" t="n">
        <v>0</v>
      </c>
      <c r="U2490" t="n">
        <v>0</v>
      </c>
      <c r="V2490" s="2" t="inlineStr"/>
    </row>
    <row r="2491" ht="15" customHeight="1">
      <c r="A2491" t="inlineStr">
        <is>
          <t>A 19860-2023</t>
        </is>
      </c>
      <c r="B2491" t="inlineStr">
        <is>
          <t>avverkningsanmälan</t>
        </is>
      </c>
      <c r="C2491" t="inlineStr">
        <is>
          <t>Föryngringsavverkning</t>
        </is>
      </c>
      <c r="D2491" s="1" t="n">
        <v>45053</v>
      </c>
      <c r="E2491" s="1" t="n">
        <v>46313</v>
      </c>
      <c r="F2491" t="inlineStr">
        <is>
          <t>SÖDERMANLANDS LÄN</t>
        </is>
      </c>
      <c r="G2491" t="inlineStr">
        <is>
          <t>VINGÅKER</t>
        </is>
      </c>
      <c r="I2491" t="n">
        <v>0.5</v>
      </c>
      <c r="J2491" t="n">
        <v>0</v>
      </c>
      <c r="K2491" t="n">
        <v>0</v>
      </c>
      <c r="L2491" t="n">
        <v>0</v>
      </c>
      <c r="M2491" t="n">
        <v>0</v>
      </c>
      <c r="N2491" t="n">
        <v>0</v>
      </c>
      <c r="O2491" t="n">
        <v>0</v>
      </c>
      <c r="P2491" t="n">
        <v>0</v>
      </c>
      <c r="Q2491" t="n">
        <v>0</v>
      </c>
      <c r="R2491" t="n">
        <v>0</v>
      </c>
      <c r="S2491" t="n">
        <v>0</v>
      </c>
      <c r="T2491" t="n">
        <v>0</v>
      </c>
      <c r="U2491" t="n">
        <v>0</v>
      </c>
      <c r="V2491" s="2" t="inlineStr"/>
    </row>
    <row r="2492" ht="15" customHeight="1">
      <c r="A2492" t="inlineStr">
        <is>
          <t>A 19807-2026</t>
        </is>
      </c>
      <c r="B2492" t="inlineStr">
        <is>
          <t>avverkningsanmälan</t>
        </is>
      </c>
      <c r="C2492" t="inlineStr">
        <is>
          <t>Föryngringsavverkning</t>
        </is>
      </c>
      <c r="D2492" s="1" t="n">
        <v>46135</v>
      </c>
      <c r="E2492" s="1" t="n">
        <v>46313</v>
      </c>
      <c r="F2492" t="inlineStr">
        <is>
          <t>SÖDERMANLANDS LÄN</t>
        </is>
      </c>
      <c r="G2492" t="inlineStr">
        <is>
          <t>NYKÖPING</t>
        </is>
      </c>
      <c r="I2492" t="n">
        <v>3.2</v>
      </c>
      <c r="J2492" t="n">
        <v>0</v>
      </c>
      <c r="K2492" t="n">
        <v>0</v>
      </c>
      <c r="L2492" t="n">
        <v>0</v>
      </c>
      <c r="M2492" t="n">
        <v>0</v>
      </c>
      <c r="N2492" t="n">
        <v>0</v>
      </c>
      <c r="O2492" t="n">
        <v>0</v>
      </c>
      <c r="P2492" t="n">
        <v>0</v>
      </c>
      <c r="Q2492" t="n">
        <v>0</v>
      </c>
      <c r="R2492" t="n">
        <v>0</v>
      </c>
      <c r="S2492" t="n">
        <v>0</v>
      </c>
      <c r="T2492" t="n">
        <v>0</v>
      </c>
      <c r="U2492" t="n">
        <v>0</v>
      </c>
      <c r="V2492" s="2" t="inlineStr"/>
    </row>
    <row r="2493" ht="15" customHeight="1">
      <c r="A2493" t="inlineStr">
        <is>
          <t>A 39149-2023</t>
        </is>
      </c>
      <c r="B2493" t="inlineStr">
        <is>
          <t>avverkningsanmälan</t>
        </is>
      </c>
      <c r="C2493" t="inlineStr">
        <is>
          <t>Föryngringsavverkning</t>
        </is>
      </c>
      <c r="D2493" s="1" t="n">
        <v>45166</v>
      </c>
      <c r="E2493" s="1" t="n">
        <v>46313</v>
      </c>
      <c r="F2493" t="inlineStr">
        <is>
          <t>SÖDERMANLANDS LÄN</t>
        </is>
      </c>
      <c r="G2493" t="inlineStr">
        <is>
          <t>NYKÖPING</t>
        </is>
      </c>
      <c r="H2493" t="inlineStr">
        <is>
          <t>Holmen skog AB</t>
        </is>
      </c>
      <c r="I2493" t="n">
        <v>0.6</v>
      </c>
      <c r="J2493" t="n">
        <v>0</v>
      </c>
      <c r="K2493" t="n">
        <v>0</v>
      </c>
      <c r="L2493" t="n">
        <v>0</v>
      </c>
      <c r="M2493" t="n">
        <v>0</v>
      </c>
      <c r="N2493" t="n">
        <v>0</v>
      </c>
      <c r="O2493" t="n">
        <v>0</v>
      </c>
      <c r="P2493" t="n">
        <v>0</v>
      </c>
      <c r="Q2493" t="n">
        <v>0</v>
      </c>
      <c r="R2493" t="n">
        <v>0</v>
      </c>
      <c r="S2493" t="n">
        <v>0</v>
      </c>
      <c r="T2493" t="n">
        <v>0</v>
      </c>
      <c r="U2493" t="n">
        <v>0</v>
      </c>
      <c r="V2493" s="2" t="inlineStr"/>
    </row>
    <row r="2494" ht="15" customHeight="1">
      <c r="A2494" t="inlineStr">
        <is>
          <t>A 41132-2024</t>
        </is>
      </c>
      <c r="B2494" t="inlineStr">
        <is>
          <t>avverkningsanmälan</t>
        </is>
      </c>
      <c r="C2494" t="inlineStr">
        <is>
          <t>Föryngringsavverkning</t>
        </is>
      </c>
      <c r="D2494" s="1" t="n">
        <v>45559</v>
      </c>
      <c r="E2494" s="1" t="n">
        <v>46313</v>
      </c>
      <c r="F2494" t="inlineStr">
        <is>
          <t>SÖDERMANLANDS LÄN</t>
        </is>
      </c>
      <c r="G2494" t="inlineStr">
        <is>
          <t>NYKÖPING</t>
        </is>
      </c>
      <c r="I2494" t="n">
        <v>1.5</v>
      </c>
      <c r="J2494" t="n">
        <v>0</v>
      </c>
      <c r="K2494" t="n">
        <v>0</v>
      </c>
      <c r="L2494" t="n">
        <v>0</v>
      </c>
      <c r="M2494" t="n">
        <v>0</v>
      </c>
      <c r="N2494" t="n">
        <v>0</v>
      </c>
      <c r="O2494" t="n">
        <v>0</v>
      </c>
      <c r="P2494" t="n">
        <v>0</v>
      </c>
      <c r="Q2494" t="n">
        <v>0</v>
      </c>
      <c r="R2494" t="n">
        <v>0</v>
      </c>
      <c r="S2494" t="n">
        <v>0</v>
      </c>
      <c r="T2494" t="n">
        <v>0</v>
      </c>
      <c r="U2494" t="n">
        <v>0</v>
      </c>
      <c r="V2494" s="2" t="inlineStr"/>
    </row>
    <row r="2495" ht="15" customHeight="1">
      <c r="A2495" t="inlineStr">
        <is>
          <t>A 466-2024</t>
        </is>
      </c>
      <c r="B2495" t="inlineStr">
        <is>
          <t>avverkningsanmälan</t>
        </is>
      </c>
      <c r="C2495" t="inlineStr">
        <is>
          <t>Föryngringsavverkning</t>
        </is>
      </c>
      <c r="D2495" s="1" t="n">
        <v>45297</v>
      </c>
      <c r="E2495" s="1" t="n">
        <v>46313</v>
      </c>
      <c r="F2495" t="inlineStr">
        <is>
          <t>SÖDERMANLANDS LÄN</t>
        </is>
      </c>
      <c r="G2495" t="inlineStr">
        <is>
          <t>VINGÅKER</t>
        </is>
      </c>
      <c r="I2495" t="n">
        <v>2.9</v>
      </c>
      <c r="J2495" t="n">
        <v>0</v>
      </c>
      <c r="K2495" t="n">
        <v>0</v>
      </c>
      <c r="L2495" t="n">
        <v>0</v>
      </c>
      <c r="M2495" t="n">
        <v>0</v>
      </c>
      <c r="N2495" t="n">
        <v>0</v>
      </c>
      <c r="O2495" t="n">
        <v>0</v>
      </c>
      <c r="P2495" t="n">
        <v>0</v>
      </c>
      <c r="Q2495" t="n">
        <v>0</v>
      </c>
      <c r="R2495" t="n">
        <v>0</v>
      </c>
      <c r="S2495" t="n">
        <v>0</v>
      </c>
      <c r="T2495" t="n">
        <v>0</v>
      </c>
      <c r="U2495" t="n">
        <v>0</v>
      </c>
      <c r="V2495" s="2" t="inlineStr"/>
    </row>
    <row r="2496" ht="15" customHeight="1">
      <c r="A2496" t="inlineStr">
        <is>
          <t>A 59733-2021</t>
        </is>
      </c>
      <c r="B2496" t="inlineStr">
        <is>
          <t>avverkningsanmälan</t>
        </is>
      </c>
      <c r="C2496" t="inlineStr">
        <is>
          <t>Föryngringsavverkning</t>
        </is>
      </c>
      <c r="D2496" s="1" t="n">
        <v>44494</v>
      </c>
      <c r="E2496" s="1" t="n">
        <v>46313</v>
      </c>
      <c r="F2496" t="inlineStr">
        <is>
          <t>SÖDERMANLANDS LÄN</t>
        </is>
      </c>
      <c r="G2496" t="inlineStr">
        <is>
          <t>NYKÖPING</t>
        </is>
      </c>
      <c r="I2496" t="n">
        <v>1.4</v>
      </c>
      <c r="J2496" t="n">
        <v>0</v>
      </c>
      <c r="K2496" t="n">
        <v>0</v>
      </c>
      <c r="L2496" t="n">
        <v>0</v>
      </c>
      <c r="M2496" t="n">
        <v>0</v>
      </c>
      <c r="N2496" t="n">
        <v>0</v>
      </c>
      <c r="O2496" t="n">
        <v>0</v>
      </c>
      <c r="P2496" t="n">
        <v>0</v>
      </c>
      <c r="Q2496" t="n">
        <v>0</v>
      </c>
      <c r="R2496" t="n">
        <v>0</v>
      </c>
      <c r="S2496" t="n">
        <v>0</v>
      </c>
      <c r="T2496" t="n">
        <v>0</v>
      </c>
      <c r="U2496" t="n">
        <v>0</v>
      </c>
      <c r="V2496" s="2" t="inlineStr"/>
    </row>
    <row r="2497" ht="15" customHeight="1">
      <c r="A2497" t="inlineStr">
        <is>
          <t>A 12300-2023</t>
        </is>
      </c>
      <c r="B2497" t="inlineStr">
        <is>
          <t>avverkningsanmälan</t>
        </is>
      </c>
      <c r="C2497" t="inlineStr">
        <is>
          <t>Föryngringsavverkning</t>
        </is>
      </c>
      <c r="D2497" s="1" t="n">
        <v>44998</v>
      </c>
      <c r="E2497" s="1" t="n">
        <v>46313</v>
      </c>
      <c r="F2497" t="inlineStr">
        <is>
          <t>SÖDERMANLANDS LÄN</t>
        </is>
      </c>
      <c r="G2497" t="inlineStr">
        <is>
          <t>ESKILSTUNA</t>
        </is>
      </c>
      <c r="I2497" t="n">
        <v>2.5</v>
      </c>
      <c r="J2497" t="n">
        <v>0</v>
      </c>
      <c r="K2497" t="n">
        <v>0</v>
      </c>
      <c r="L2497" t="n">
        <v>0</v>
      </c>
      <c r="M2497" t="n">
        <v>0</v>
      </c>
      <c r="N2497" t="n">
        <v>0</v>
      </c>
      <c r="O2497" t="n">
        <v>0</v>
      </c>
      <c r="P2497" t="n">
        <v>0</v>
      </c>
      <c r="Q2497" t="n">
        <v>0</v>
      </c>
      <c r="R2497" t="n">
        <v>0</v>
      </c>
      <c r="S2497" t="n">
        <v>0</v>
      </c>
      <c r="T2497" t="n">
        <v>0</v>
      </c>
      <c r="U2497" t="n">
        <v>0</v>
      </c>
      <c r="V2497" s="2" t="inlineStr"/>
    </row>
    <row r="2498" ht="15" customHeight="1">
      <c r="A2498" t="inlineStr">
        <is>
          <t>A 4115-2025</t>
        </is>
      </c>
      <c r="B2498" t="inlineStr">
        <is>
          <t>avverkningsanmälan</t>
        </is>
      </c>
      <c r="C2498" t="inlineStr">
        <is>
          <t>Föryngringsavverkning</t>
        </is>
      </c>
      <c r="D2498" s="1" t="n">
        <v>45684</v>
      </c>
      <c r="E2498" s="1" t="n">
        <v>46313</v>
      </c>
      <c r="F2498" t="inlineStr">
        <is>
          <t>SÖDERMANLANDS LÄN</t>
        </is>
      </c>
      <c r="G2498" t="inlineStr">
        <is>
          <t>STRÄNGNÄS</t>
        </is>
      </c>
      <c r="I2498" t="n">
        <v>1.8</v>
      </c>
      <c r="J2498" t="n">
        <v>0</v>
      </c>
      <c r="K2498" t="n">
        <v>0</v>
      </c>
      <c r="L2498" t="n">
        <v>0</v>
      </c>
      <c r="M2498" t="n">
        <v>0</v>
      </c>
      <c r="N2498" t="n">
        <v>0</v>
      </c>
      <c r="O2498" t="n">
        <v>0</v>
      </c>
      <c r="P2498" t="n">
        <v>0</v>
      </c>
      <c r="Q2498" t="n">
        <v>0</v>
      </c>
      <c r="R2498" t="n">
        <v>0</v>
      </c>
      <c r="S2498" t="n">
        <v>0</v>
      </c>
      <c r="T2498" t="n">
        <v>0</v>
      </c>
      <c r="U2498" t="n">
        <v>0</v>
      </c>
      <c r="V2498" s="2" t="inlineStr"/>
    </row>
    <row r="2499" ht="15" customHeight="1">
      <c r="A2499" t="inlineStr">
        <is>
          <t>A 11742-2024</t>
        </is>
      </c>
      <c r="B2499" t="inlineStr">
        <is>
          <t>avverkningsanmälan</t>
        </is>
      </c>
      <c r="C2499" t="inlineStr">
        <is>
          <t>Föryngringsavverkning</t>
        </is>
      </c>
      <c r="D2499" s="1" t="n">
        <v>45373</v>
      </c>
      <c r="E2499" s="1" t="n">
        <v>46313</v>
      </c>
      <c r="F2499" t="inlineStr">
        <is>
          <t>SÖDERMANLANDS LÄN</t>
        </is>
      </c>
      <c r="G2499" t="inlineStr">
        <is>
          <t>TROSA</t>
        </is>
      </c>
      <c r="H2499" t="inlineStr">
        <is>
          <t>Kommuner</t>
        </is>
      </c>
      <c r="I2499" t="n">
        <v>8.199999999999999</v>
      </c>
      <c r="J2499" t="n">
        <v>0</v>
      </c>
      <c r="K2499" t="n">
        <v>0</v>
      </c>
      <c r="L2499" t="n">
        <v>0</v>
      </c>
      <c r="M2499" t="n">
        <v>0</v>
      </c>
      <c r="N2499" t="n">
        <v>0</v>
      </c>
      <c r="O2499" t="n">
        <v>0</v>
      </c>
      <c r="P2499" t="n">
        <v>0</v>
      </c>
      <c r="Q2499" t="n">
        <v>0</v>
      </c>
      <c r="R2499" t="n">
        <v>0</v>
      </c>
      <c r="S2499" t="n">
        <v>0</v>
      </c>
      <c r="T2499" t="n">
        <v>0</v>
      </c>
      <c r="U2499" t="n">
        <v>0</v>
      </c>
      <c r="V2499" s="2" t="inlineStr"/>
    </row>
    <row r="2500" ht="15" customHeight="1">
      <c r="A2500" t="inlineStr">
        <is>
          <t>A 11743-2024</t>
        </is>
      </c>
      <c r="B2500" t="inlineStr">
        <is>
          <t>avverkningsanmälan</t>
        </is>
      </c>
      <c r="C2500" t="inlineStr">
        <is>
          <t>Föryngringsavverkning</t>
        </is>
      </c>
      <c r="D2500" s="1" t="n">
        <v>45373</v>
      </c>
      <c r="E2500" s="1" t="n">
        <v>46313</v>
      </c>
      <c r="F2500" t="inlineStr">
        <is>
          <t>SÖDERMANLANDS LÄN</t>
        </is>
      </c>
      <c r="G2500" t="inlineStr">
        <is>
          <t>TROSA</t>
        </is>
      </c>
      <c r="I2500" t="n">
        <v>4.2</v>
      </c>
      <c r="J2500" t="n">
        <v>0</v>
      </c>
      <c r="K2500" t="n">
        <v>0</v>
      </c>
      <c r="L2500" t="n">
        <v>0</v>
      </c>
      <c r="M2500" t="n">
        <v>0</v>
      </c>
      <c r="N2500" t="n">
        <v>0</v>
      </c>
      <c r="O2500" t="n">
        <v>0</v>
      </c>
      <c r="P2500" t="n">
        <v>0</v>
      </c>
      <c r="Q2500" t="n">
        <v>0</v>
      </c>
      <c r="R2500" t="n">
        <v>0</v>
      </c>
      <c r="S2500" t="n">
        <v>0</v>
      </c>
      <c r="T2500" t="n">
        <v>0</v>
      </c>
      <c r="U2500" t="n">
        <v>0</v>
      </c>
      <c r="V2500" s="2" t="inlineStr"/>
    </row>
    <row r="2501" ht="15" customHeight="1">
      <c r="A2501" t="inlineStr">
        <is>
          <t>A 32944-2023</t>
        </is>
      </c>
      <c r="B2501" t="inlineStr">
        <is>
          <t>avverkningsanmälan</t>
        </is>
      </c>
      <c r="C2501" t="inlineStr">
        <is>
          <t>Föryngringsavverkning</t>
        </is>
      </c>
      <c r="D2501" s="1" t="n">
        <v>45125</v>
      </c>
      <c r="E2501" s="1" t="n">
        <v>46313</v>
      </c>
      <c r="F2501" t="inlineStr">
        <is>
          <t>SÖDERMANLANDS LÄN</t>
        </is>
      </c>
      <c r="G2501" t="inlineStr">
        <is>
          <t>KATRINEHOLM</t>
        </is>
      </c>
      <c r="I2501" t="n">
        <v>1.7</v>
      </c>
      <c r="J2501" t="n">
        <v>0</v>
      </c>
      <c r="K2501" t="n">
        <v>0</v>
      </c>
      <c r="L2501" t="n">
        <v>0</v>
      </c>
      <c r="M2501" t="n">
        <v>0</v>
      </c>
      <c r="N2501" t="n">
        <v>0</v>
      </c>
      <c r="O2501" t="n">
        <v>0</v>
      </c>
      <c r="P2501" t="n">
        <v>0</v>
      </c>
      <c r="Q2501" t="n">
        <v>0</v>
      </c>
      <c r="R2501" t="n">
        <v>0</v>
      </c>
      <c r="S2501" t="n">
        <v>0</v>
      </c>
      <c r="T2501" t="n">
        <v>0</v>
      </c>
      <c r="U2501" t="n">
        <v>0</v>
      </c>
      <c r="V2501" s="2" t="inlineStr"/>
    </row>
    <row r="2502" ht="15" customHeight="1">
      <c r="A2502" t="inlineStr">
        <is>
          <t>A 61298-2022</t>
        </is>
      </c>
      <c r="B2502" t="inlineStr">
        <is>
          <t>avverkningsanmälan</t>
        </is>
      </c>
      <c r="C2502" t="inlineStr">
        <is>
          <t>Föryngringsavverkning</t>
        </is>
      </c>
      <c r="D2502" s="1" t="n">
        <v>44915</v>
      </c>
      <c r="E2502" s="1" t="n">
        <v>46313</v>
      </c>
      <c r="F2502" t="inlineStr">
        <is>
          <t>SÖDERMANLANDS LÄN</t>
        </is>
      </c>
      <c r="G2502" t="inlineStr">
        <is>
          <t>ESKILSTUNA</t>
        </is>
      </c>
      <c r="I2502" t="n">
        <v>6.3</v>
      </c>
      <c r="J2502" t="n">
        <v>0</v>
      </c>
      <c r="K2502" t="n">
        <v>0</v>
      </c>
      <c r="L2502" t="n">
        <v>0</v>
      </c>
      <c r="M2502" t="n">
        <v>0</v>
      </c>
      <c r="N2502" t="n">
        <v>0</v>
      </c>
      <c r="O2502" t="n">
        <v>0</v>
      </c>
      <c r="P2502" t="n">
        <v>0</v>
      </c>
      <c r="Q2502" t="n">
        <v>0</v>
      </c>
      <c r="R2502" t="n">
        <v>0</v>
      </c>
      <c r="S2502" t="n">
        <v>0</v>
      </c>
      <c r="T2502" t="n">
        <v>0</v>
      </c>
      <c r="U2502" t="n">
        <v>0</v>
      </c>
      <c r="V2502" s="2" t="inlineStr"/>
    </row>
    <row r="2503" ht="15" customHeight="1">
      <c r="A2503" t="inlineStr">
        <is>
          <t>A 6725-2023</t>
        </is>
      </c>
      <c r="B2503" t="inlineStr">
        <is>
          <t>avverkningsanmälan</t>
        </is>
      </c>
      <c r="C2503" t="inlineStr">
        <is>
          <t>Föryngringsavverkning</t>
        </is>
      </c>
      <c r="D2503" s="1" t="n">
        <v>44966</v>
      </c>
      <c r="E2503" s="1" t="n">
        <v>46313</v>
      </c>
      <c r="F2503" t="inlineStr">
        <is>
          <t>SÖDERMANLANDS LÄN</t>
        </is>
      </c>
      <c r="G2503" t="inlineStr">
        <is>
          <t>ESKILSTUNA</t>
        </is>
      </c>
      <c r="I2503" t="n">
        <v>2.4</v>
      </c>
      <c r="J2503" t="n">
        <v>0</v>
      </c>
      <c r="K2503" t="n">
        <v>0</v>
      </c>
      <c r="L2503" t="n">
        <v>0</v>
      </c>
      <c r="M2503" t="n">
        <v>0</v>
      </c>
      <c r="N2503" t="n">
        <v>0</v>
      </c>
      <c r="O2503" t="n">
        <v>0</v>
      </c>
      <c r="P2503" t="n">
        <v>0</v>
      </c>
      <c r="Q2503" t="n">
        <v>0</v>
      </c>
      <c r="R2503" t="n">
        <v>0</v>
      </c>
      <c r="S2503" t="n">
        <v>0</v>
      </c>
      <c r="T2503" t="n">
        <v>0</v>
      </c>
      <c r="U2503" t="n">
        <v>0</v>
      </c>
      <c r="V2503" s="2" t="inlineStr"/>
    </row>
    <row r="2504" ht="15" customHeight="1">
      <c r="A2504" t="inlineStr">
        <is>
          <t>A 29198-2023</t>
        </is>
      </c>
      <c r="B2504" t="inlineStr">
        <is>
          <t>avverkningsanmälan</t>
        </is>
      </c>
      <c r="C2504" t="inlineStr">
        <is>
          <t>Föryngringsavverkning</t>
        </is>
      </c>
      <c r="D2504" s="1" t="n">
        <v>45105</v>
      </c>
      <c r="E2504" s="1" t="n">
        <v>46313</v>
      </c>
      <c r="F2504" t="inlineStr">
        <is>
          <t>SÖDERMANLANDS LÄN</t>
        </is>
      </c>
      <c r="G2504" t="inlineStr">
        <is>
          <t>KATRINEHOLM</t>
        </is>
      </c>
      <c r="H2504" t="inlineStr">
        <is>
          <t>Övriga Aktiebolag</t>
        </is>
      </c>
      <c r="I2504" t="n">
        <v>1</v>
      </c>
      <c r="J2504" t="n">
        <v>0</v>
      </c>
      <c r="K2504" t="n">
        <v>0</v>
      </c>
      <c r="L2504" t="n">
        <v>0</v>
      </c>
      <c r="M2504" t="n">
        <v>0</v>
      </c>
      <c r="N2504" t="n">
        <v>0</v>
      </c>
      <c r="O2504" t="n">
        <v>0</v>
      </c>
      <c r="P2504" t="n">
        <v>0</v>
      </c>
      <c r="Q2504" t="n">
        <v>0</v>
      </c>
      <c r="R2504" t="n">
        <v>0</v>
      </c>
      <c r="S2504" t="n">
        <v>0</v>
      </c>
      <c r="T2504" t="n">
        <v>0</v>
      </c>
      <c r="U2504" t="n">
        <v>0</v>
      </c>
      <c r="V2504" s="2" t="inlineStr"/>
    </row>
    <row r="2505" ht="15" customHeight="1">
      <c r="A2505" t="inlineStr">
        <is>
          <t>A 41952-2022</t>
        </is>
      </c>
      <c r="B2505" t="inlineStr">
        <is>
          <t>avverkningsanmälan</t>
        </is>
      </c>
      <c r="C2505" t="inlineStr">
        <is>
          <t>Föryngringsavverkning</t>
        </is>
      </c>
      <c r="D2505" s="1" t="n">
        <v>44830</v>
      </c>
      <c r="E2505" s="1" t="n">
        <v>46313</v>
      </c>
      <c r="F2505" t="inlineStr">
        <is>
          <t>SÖDERMANLANDS LÄN</t>
        </is>
      </c>
      <c r="G2505" t="inlineStr">
        <is>
          <t>VINGÅKER</t>
        </is>
      </c>
      <c r="I2505" t="n">
        <v>0.9</v>
      </c>
      <c r="J2505" t="n">
        <v>0</v>
      </c>
      <c r="K2505" t="n">
        <v>0</v>
      </c>
      <c r="L2505" t="n">
        <v>0</v>
      </c>
      <c r="M2505" t="n">
        <v>0</v>
      </c>
      <c r="N2505" t="n">
        <v>0</v>
      </c>
      <c r="O2505" t="n">
        <v>0</v>
      </c>
      <c r="P2505" t="n">
        <v>0</v>
      </c>
      <c r="Q2505" t="n">
        <v>0</v>
      </c>
      <c r="R2505" t="n">
        <v>0</v>
      </c>
      <c r="S2505" t="n">
        <v>0</v>
      </c>
      <c r="T2505" t="n">
        <v>0</v>
      </c>
      <c r="U2505" t="n">
        <v>0</v>
      </c>
      <c r="V2505" s="2" t="inlineStr"/>
    </row>
    <row r="2506" ht="15" customHeight="1">
      <c r="A2506" t="inlineStr">
        <is>
          <t>A 50310-2022</t>
        </is>
      </c>
      <c r="B2506" t="inlineStr">
        <is>
          <t>avverkningsanmälan</t>
        </is>
      </c>
      <c r="C2506" t="inlineStr">
        <is>
          <t>Föryngringsavverkning</t>
        </is>
      </c>
      <c r="D2506" s="1" t="n">
        <v>44865</v>
      </c>
      <c r="E2506" s="1" t="n">
        <v>46313</v>
      </c>
      <c r="F2506" t="inlineStr">
        <is>
          <t>SÖDERMANLANDS LÄN</t>
        </is>
      </c>
      <c r="G2506" t="inlineStr">
        <is>
          <t>ESKILSTUNA</t>
        </is>
      </c>
      <c r="H2506" t="inlineStr">
        <is>
          <t>Kyrkan</t>
        </is>
      </c>
      <c r="I2506" t="n">
        <v>2.3</v>
      </c>
      <c r="J2506" t="n">
        <v>0</v>
      </c>
      <c r="K2506" t="n">
        <v>0</v>
      </c>
      <c r="L2506" t="n">
        <v>0</v>
      </c>
      <c r="M2506" t="n">
        <v>0</v>
      </c>
      <c r="N2506" t="n">
        <v>0</v>
      </c>
      <c r="O2506" t="n">
        <v>0</v>
      </c>
      <c r="P2506" t="n">
        <v>0</v>
      </c>
      <c r="Q2506" t="n">
        <v>0</v>
      </c>
      <c r="R2506" t="n">
        <v>0</v>
      </c>
      <c r="S2506" t="n">
        <v>0</v>
      </c>
      <c r="T2506" t="n">
        <v>0</v>
      </c>
      <c r="U2506" t="n">
        <v>0</v>
      </c>
      <c r="V2506" s="2" t="inlineStr"/>
    </row>
    <row r="2507" ht="15" customHeight="1">
      <c r="A2507" t="inlineStr">
        <is>
          <t>A 30350-2025</t>
        </is>
      </c>
      <c r="B2507" t="inlineStr">
        <is>
          <t>avverkningsanmälan</t>
        </is>
      </c>
      <c r="C2507" t="inlineStr">
        <is>
          <t>Föryngringsavverkning</t>
        </is>
      </c>
      <c r="D2507" s="1" t="n">
        <v>45827</v>
      </c>
      <c r="E2507" s="1" t="n">
        <v>46313</v>
      </c>
      <c r="F2507" t="inlineStr">
        <is>
          <t>SÖDERMANLANDS LÄN</t>
        </is>
      </c>
      <c r="G2507" t="inlineStr">
        <is>
          <t>KATRINEHOLM</t>
        </is>
      </c>
      <c r="I2507" t="n">
        <v>1.2</v>
      </c>
      <c r="J2507" t="n">
        <v>0</v>
      </c>
      <c r="K2507" t="n">
        <v>0</v>
      </c>
      <c r="L2507" t="n">
        <v>0</v>
      </c>
      <c r="M2507" t="n">
        <v>0</v>
      </c>
      <c r="N2507" t="n">
        <v>0</v>
      </c>
      <c r="O2507" t="n">
        <v>0</v>
      </c>
      <c r="P2507" t="n">
        <v>0</v>
      </c>
      <c r="Q2507" t="n">
        <v>0</v>
      </c>
      <c r="R2507" t="n">
        <v>0</v>
      </c>
      <c r="S2507" t="n">
        <v>0</v>
      </c>
      <c r="T2507" t="n">
        <v>0</v>
      </c>
      <c r="U2507" t="n">
        <v>0</v>
      </c>
      <c r="V2507" s="2" t="inlineStr"/>
    </row>
    <row r="2508" ht="15" customHeight="1">
      <c r="A2508" t="inlineStr">
        <is>
          <t>A 36469-2023</t>
        </is>
      </c>
      <c r="B2508" t="inlineStr">
        <is>
          <t>avverkningsanmälan</t>
        </is>
      </c>
      <c r="C2508" t="inlineStr">
        <is>
          <t>Föryngringsavverkning</t>
        </is>
      </c>
      <c r="D2508" s="1" t="n">
        <v>45152</v>
      </c>
      <c r="E2508" s="1" t="n">
        <v>46313</v>
      </c>
      <c r="F2508" t="inlineStr">
        <is>
          <t>SÖDERMANLANDS LÄN</t>
        </is>
      </c>
      <c r="G2508" t="inlineStr">
        <is>
          <t>STRÄNGNÄS</t>
        </is>
      </c>
      <c r="H2508" t="inlineStr">
        <is>
          <t>Sveaskog</t>
        </is>
      </c>
      <c r="I2508" t="n">
        <v>3.2</v>
      </c>
      <c r="J2508" t="n">
        <v>0</v>
      </c>
      <c r="K2508" t="n">
        <v>0</v>
      </c>
      <c r="L2508" t="n">
        <v>0</v>
      </c>
      <c r="M2508" t="n">
        <v>0</v>
      </c>
      <c r="N2508" t="n">
        <v>0</v>
      </c>
      <c r="O2508" t="n">
        <v>0</v>
      </c>
      <c r="P2508" t="n">
        <v>0</v>
      </c>
      <c r="Q2508" t="n">
        <v>0</v>
      </c>
      <c r="R2508" t="n">
        <v>0</v>
      </c>
      <c r="S2508" t="n">
        <v>0</v>
      </c>
      <c r="T2508" t="n">
        <v>0</v>
      </c>
      <c r="U2508" t="n">
        <v>0</v>
      </c>
      <c r="V2508" s="2" t="inlineStr"/>
    </row>
    <row r="2509" ht="15" customHeight="1">
      <c r="A2509" t="inlineStr">
        <is>
          <t>A 55445-2022</t>
        </is>
      </c>
      <c r="B2509" t="inlineStr">
        <is>
          <t>avverkningsanmälan</t>
        </is>
      </c>
      <c r="C2509" t="inlineStr">
        <is>
          <t>Föryngringsavverkning</t>
        </is>
      </c>
      <c r="D2509" s="1" t="n">
        <v>44887</v>
      </c>
      <c r="E2509" s="1" t="n">
        <v>46313</v>
      </c>
      <c r="F2509" t="inlineStr">
        <is>
          <t>SÖDERMANLANDS LÄN</t>
        </is>
      </c>
      <c r="G2509" t="inlineStr">
        <is>
          <t>FLEN</t>
        </is>
      </c>
      <c r="I2509" t="n">
        <v>1.7</v>
      </c>
      <c r="J2509" t="n">
        <v>0</v>
      </c>
      <c r="K2509" t="n">
        <v>0</v>
      </c>
      <c r="L2509" t="n">
        <v>0</v>
      </c>
      <c r="M2509" t="n">
        <v>0</v>
      </c>
      <c r="N2509" t="n">
        <v>0</v>
      </c>
      <c r="O2509" t="n">
        <v>0</v>
      </c>
      <c r="P2509" t="n">
        <v>0</v>
      </c>
      <c r="Q2509" t="n">
        <v>0</v>
      </c>
      <c r="R2509" t="n">
        <v>0</v>
      </c>
      <c r="S2509" t="n">
        <v>0</v>
      </c>
      <c r="T2509" t="n">
        <v>0</v>
      </c>
      <c r="U2509" t="n">
        <v>0</v>
      </c>
      <c r="V2509" s="2" t="inlineStr"/>
    </row>
    <row r="2510" ht="15" customHeight="1">
      <c r="A2510" t="inlineStr">
        <is>
          <t>A 45246-2023</t>
        </is>
      </c>
      <c r="B2510" t="inlineStr">
        <is>
          <t>avverkningsanmälan</t>
        </is>
      </c>
      <c r="C2510" t="inlineStr">
        <is>
          <t>Föryngringsavverkning</t>
        </is>
      </c>
      <c r="D2510" s="1" t="n">
        <v>45191</v>
      </c>
      <c r="E2510" s="1" t="n">
        <v>46313</v>
      </c>
      <c r="F2510" t="inlineStr">
        <is>
          <t>SÖDERMANLANDS LÄN</t>
        </is>
      </c>
      <c r="G2510" t="inlineStr">
        <is>
          <t>KATRINEHOLM</t>
        </is>
      </c>
      <c r="I2510" t="n">
        <v>1.2</v>
      </c>
      <c r="J2510" t="n">
        <v>0</v>
      </c>
      <c r="K2510" t="n">
        <v>0</v>
      </c>
      <c r="L2510" t="n">
        <v>0</v>
      </c>
      <c r="M2510" t="n">
        <v>0</v>
      </c>
      <c r="N2510" t="n">
        <v>0</v>
      </c>
      <c r="O2510" t="n">
        <v>0</v>
      </c>
      <c r="P2510" t="n">
        <v>0</v>
      </c>
      <c r="Q2510" t="n">
        <v>0</v>
      </c>
      <c r="R2510" t="n">
        <v>0</v>
      </c>
      <c r="S2510" t="n">
        <v>0</v>
      </c>
      <c r="T2510" t="n">
        <v>0</v>
      </c>
      <c r="U2510" t="n">
        <v>0</v>
      </c>
      <c r="V2510" s="2" t="inlineStr"/>
    </row>
    <row r="2511" ht="15" customHeight="1">
      <c r="A2511" t="inlineStr">
        <is>
          <t>A 40286-2023</t>
        </is>
      </c>
      <c r="B2511" t="inlineStr">
        <is>
          <t>avverkningsanmälan</t>
        </is>
      </c>
      <c r="C2511" t="inlineStr">
        <is>
          <t>Föryngringsavverkning</t>
        </is>
      </c>
      <c r="D2511" s="1" t="n">
        <v>45169</v>
      </c>
      <c r="E2511" s="1" t="n">
        <v>46313</v>
      </c>
      <c r="F2511" t="inlineStr">
        <is>
          <t>SÖDERMANLANDS LÄN</t>
        </is>
      </c>
      <c r="G2511" t="inlineStr">
        <is>
          <t>FLEN</t>
        </is>
      </c>
      <c r="I2511" t="n">
        <v>4.1</v>
      </c>
      <c r="J2511" t="n">
        <v>0</v>
      </c>
      <c r="K2511" t="n">
        <v>0</v>
      </c>
      <c r="L2511" t="n">
        <v>0</v>
      </c>
      <c r="M2511" t="n">
        <v>0</v>
      </c>
      <c r="N2511" t="n">
        <v>0</v>
      </c>
      <c r="O2511" t="n">
        <v>0</v>
      </c>
      <c r="P2511" t="n">
        <v>0</v>
      </c>
      <c r="Q2511" t="n">
        <v>0</v>
      </c>
      <c r="R2511" t="n">
        <v>0</v>
      </c>
      <c r="S2511" t="n">
        <v>0</v>
      </c>
      <c r="T2511" t="n">
        <v>0</v>
      </c>
      <c r="U2511" t="n">
        <v>0</v>
      </c>
      <c r="V2511" s="2" t="inlineStr"/>
    </row>
    <row r="2512" ht="15" customHeight="1">
      <c r="A2512" t="inlineStr">
        <is>
          <t>A 30855-2023</t>
        </is>
      </c>
      <c r="B2512" t="inlineStr">
        <is>
          <t>avverkningsanmälan</t>
        </is>
      </c>
      <c r="C2512" t="inlineStr">
        <is>
          <t>Föryngringsavverkning</t>
        </is>
      </c>
      <c r="D2512" s="1" t="n">
        <v>45110</v>
      </c>
      <c r="E2512" s="1" t="n">
        <v>46313</v>
      </c>
      <c r="F2512" t="inlineStr">
        <is>
          <t>SÖDERMANLANDS LÄN</t>
        </is>
      </c>
      <c r="G2512" t="inlineStr">
        <is>
          <t>NYKÖPING</t>
        </is>
      </c>
      <c r="I2512" t="n">
        <v>0.9</v>
      </c>
      <c r="J2512" t="n">
        <v>0</v>
      </c>
      <c r="K2512" t="n">
        <v>0</v>
      </c>
      <c r="L2512" t="n">
        <v>0</v>
      </c>
      <c r="M2512" t="n">
        <v>0</v>
      </c>
      <c r="N2512" t="n">
        <v>0</v>
      </c>
      <c r="O2512" t="n">
        <v>0</v>
      </c>
      <c r="P2512" t="n">
        <v>0</v>
      </c>
      <c r="Q2512" t="n">
        <v>0</v>
      </c>
      <c r="R2512" t="n">
        <v>0</v>
      </c>
      <c r="S2512" t="n">
        <v>0</v>
      </c>
      <c r="T2512" t="n">
        <v>0</v>
      </c>
      <c r="U2512" t="n">
        <v>0</v>
      </c>
      <c r="V2512" s="2" t="inlineStr"/>
    </row>
    <row r="2513" ht="15" customHeight="1">
      <c r="A2513" t="inlineStr">
        <is>
          <t>A 20191-2026</t>
        </is>
      </c>
      <c r="B2513" t="inlineStr">
        <is>
          <t>avverkningsanmälan</t>
        </is>
      </c>
      <c r="C2513" t="inlineStr">
        <is>
          <t>Föryngringsavverkning</t>
        </is>
      </c>
      <c r="D2513" s="1" t="n">
        <v>46139</v>
      </c>
      <c r="E2513" s="1" t="n">
        <v>46313</v>
      </c>
      <c r="F2513" t="inlineStr">
        <is>
          <t>SÖDERMANLANDS LÄN</t>
        </is>
      </c>
      <c r="G2513" t="inlineStr">
        <is>
          <t>TROSA</t>
        </is>
      </c>
      <c r="I2513" t="n">
        <v>1.2</v>
      </c>
      <c r="J2513" t="n">
        <v>0</v>
      </c>
      <c r="K2513" t="n">
        <v>0</v>
      </c>
      <c r="L2513" t="n">
        <v>0</v>
      </c>
      <c r="M2513" t="n">
        <v>0</v>
      </c>
      <c r="N2513" t="n">
        <v>0</v>
      </c>
      <c r="O2513" t="n">
        <v>0</v>
      </c>
      <c r="P2513" t="n">
        <v>0</v>
      </c>
      <c r="Q2513" t="n">
        <v>0</v>
      </c>
      <c r="R2513" t="n">
        <v>0</v>
      </c>
      <c r="S2513" t="n">
        <v>0</v>
      </c>
      <c r="T2513" t="n">
        <v>0</v>
      </c>
      <c r="U2513" t="n">
        <v>0</v>
      </c>
      <c r="V2513" s="2" t="inlineStr"/>
    </row>
    <row r="2514" ht="15" customHeight="1">
      <c r="A2514" t="inlineStr">
        <is>
          <t>A 41870-2023</t>
        </is>
      </c>
      <c r="B2514" t="inlineStr">
        <is>
          <t>avverkningsanmälan</t>
        </is>
      </c>
      <c r="C2514" t="inlineStr">
        <is>
          <t>Avverkning för annat ändamål</t>
        </is>
      </c>
      <c r="D2514" s="1" t="n">
        <v>45174</v>
      </c>
      <c r="E2514" s="1" t="n">
        <v>46313</v>
      </c>
      <c r="F2514" t="inlineStr">
        <is>
          <t>SÖDERMANLANDS LÄN</t>
        </is>
      </c>
      <c r="G2514" t="inlineStr">
        <is>
          <t>VINGÅKER</t>
        </is>
      </c>
      <c r="I2514" t="n">
        <v>1.8</v>
      </c>
      <c r="J2514" t="n">
        <v>0</v>
      </c>
      <c r="K2514" t="n">
        <v>0</v>
      </c>
      <c r="L2514" t="n">
        <v>0</v>
      </c>
      <c r="M2514" t="n">
        <v>0</v>
      </c>
      <c r="N2514" t="n">
        <v>0</v>
      </c>
      <c r="O2514" t="n">
        <v>0</v>
      </c>
      <c r="P2514" t="n">
        <v>0</v>
      </c>
      <c r="Q2514" t="n">
        <v>0</v>
      </c>
      <c r="R2514" t="n">
        <v>0</v>
      </c>
      <c r="S2514" t="n">
        <v>0</v>
      </c>
      <c r="T2514" t="n">
        <v>0</v>
      </c>
      <c r="U2514" t="n">
        <v>0</v>
      </c>
      <c r="V2514" s="2" t="inlineStr"/>
    </row>
    <row r="2515" ht="15" customHeight="1">
      <c r="A2515" t="inlineStr">
        <is>
          <t>A 54340-2023</t>
        </is>
      </c>
      <c r="B2515" t="inlineStr">
        <is>
          <t>avverkningsanmälan</t>
        </is>
      </c>
      <c r="C2515" t="inlineStr">
        <is>
          <t>Föryngringsavverkning</t>
        </is>
      </c>
      <c r="D2515" s="1" t="n">
        <v>45225</v>
      </c>
      <c r="E2515" s="1" t="n">
        <v>46313</v>
      </c>
      <c r="F2515" t="inlineStr">
        <is>
          <t>SÖDERMANLANDS LÄN</t>
        </is>
      </c>
      <c r="G2515" t="inlineStr">
        <is>
          <t>FLEN</t>
        </is>
      </c>
      <c r="I2515" t="n">
        <v>5.3</v>
      </c>
      <c r="J2515" t="n">
        <v>0</v>
      </c>
      <c r="K2515" t="n">
        <v>0</v>
      </c>
      <c r="L2515" t="n">
        <v>0</v>
      </c>
      <c r="M2515" t="n">
        <v>0</v>
      </c>
      <c r="N2515" t="n">
        <v>0</v>
      </c>
      <c r="O2515" t="n">
        <v>0</v>
      </c>
      <c r="P2515" t="n">
        <v>0</v>
      </c>
      <c r="Q2515" t="n">
        <v>0</v>
      </c>
      <c r="R2515" t="n">
        <v>0</v>
      </c>
      <c r="S2515" t="n">
        <v>0</v>
      </c>
      <c r="T2515" t="n">
        <v>0</v>
      </c>
      <c r="U2515" t="n">
        <v>0</v>
      </c>
      <c r="V2515" s="2" t="inlineStr"/>
    </row>
    <row r="2516" ht="15" customHeight="1">
      <c r="A2516" t="inlineStr">
        <is>
          <t>A 54065-2025</t>
        </is>
      </c>
      <c r="B2516" t="inlineStr">
        <is>
          <t>avverkningsanmälan</t>
        </is>
      </c>
      <c r="C2516" t="inlineStr">
        <is>
          <t>Föryngringsavverkning</t>
        </is>
      </c>
      <c r="D2516" s="1" t="n">
        <v>45964</v>
      </c>
      <c r="E2516" s="1" t="n">
        <v>46313</v>
      </c>
      <c r="F2516" t="inlineStr">
        <is>
          <t>SÖDERMANLANDS LÄN</t>
        </is>
      </c>
      <c r="G2516" t="inlineStr">
        <is>
          <t>NYKÖPING</t>
        </is>
      </c>
      <c r="H2516" t="inlineStr">
        <is>
          <t>Holmen skog AB</t>
        </is>
      </c>
      <c r="I2516" t="n">
        <v>0.9</v>
      </c>
      <c r="J2516" t="n">
        <v>0</v>
      </c>
      <c r="K2516" t="n">
        <v>0</v>
      </c>
      <c r="L2516" t="n">
        <v>0</v>
      </c>
      <c r="M2516" t="n">
        <v>0</v>
      </c>
      <c r="N2516" t="n">
        <v>0</v>
      </c>
      <c r="O2516" t="n">
        <v>0</v>
      </c>
      <c r="P2516" t="n">
        <v>0</v>
      </c>
      <c r="Q2516" t="n">
        <v>0</v>
      </c>
      <c r="R2516" t="n">
        <v>0</v>
      </c>
      <c r="S2516" t="n">
        <v>0</v>
      </c>
      <c r="T2516" t="n">
        <v>0</v>
      </c>
      <c r="U2516" t="n">
        <v>0</v>
      </c>
      <c r="V2516" s="2" t="inlineStr"/>
    </row>
    <row r="2517" ht="15" customHeight="1">
      <c r="A2517" t="inlineStr">
        <is>
          <t>A 31028-2024</t>
        </is>
      </c>
      <c r="B2517" t="inlineStr">
        <is>
          <t>avverkningsanmälan</t>
        </is>
      </c>
      <c r="C2517" t="inlineStr">
        <is>
          <t>Föryngringsavverkning</t>
        </is>
      </c>
      <c r="D2517" s="1" t="n">
        <v>45501</v>
      </c>
      <c r="E2517" s="1" t="n">
        <v>46313</v>
      </c>
      <c r="F2517" t="inlineStr">
        <is>
          <t>SÖDERMANLANDS LÄN</t>
        </is>
      </c>
      <c r="G2517" t="inlineStr">
        <is>
          <t>FLEN</t>
        </is>
      </c>
      <c r="I2517" t="n">
        <v>3.3</v>
      </c>
      <c r="J2517" t="n">
        <v>0</v>
      </c>
      <c r="K2517" t="n">
        <v>0</v>
      </c>
      <c r="L2517" t="n">
        <v>0</v>
      </c>
      <c r="M2517" t="n">
        <v>0</v>
      </c>
      <c r="N2517" t="n">
        <v>0</v>
      </c>
      <c r="O2517" t="n">
        <v>0</v>
      </c>
      <c r="P2517" t="n">
        <v>0</v>
      </c>
      <c r="Q2517" t="n">
        <v>0</v>
      </c>
      <c r="R2517" t="n">
        <v>0</v>
      </c>
      <c r="S2517" t="n">
        <v>0</v>
      </c>
      <c r="T2517" t="n">
        <v>0</v>
      </c>
      <c r="U2517" t="n">
        <v>0</v>
      </c>
      <c r="V2517" s="2" t="inlineStr"/>
    </row>
    <row r="2518" ht="15" customHeight="1">
      <c r="A2518" t="inlineStr">
        <is>
          <t>A 55171-2023</t>
        </is>
      </c>
      <c r="B2518" t="inlineStr">
        <is>
          <t>avverkningsanmälan</t>
        </is>
      </c>
      <c r="C2518" t="inlineStr">
        <is>
          <t>Föryngringsavverkning</t>
        </is>
      </c>
      <c r="D2518" s="1" t="n">
        <v>45231</v>
      </c>
      <c r="E2518" s="1" t="n">
        <v>46313</v>
      </c>
      <c r="F2518" t="inlineStr">
        <is>
          <t>SÖDERMANLANDS LÄN</t>
        </is>
      </c>
      <c r="G2518" t="inlineStr">
        <is>
          <t>KATRINEHOLM</t>
        </is>
      </c>
      <c r="I2518" t="n">
        <v>4.2</v>
      </c>
      <c r="J2518" t="n">
        <v>0</v>
      </c>
      <c r="K2518" t="n">
        <v>0</v>
      </c>
      <c r="L2518" t="n">
        <v>0</v>
      </c>
      <c r="M2518" t="n">
        <v>0</v>
      </c>
      <c r="N2518" t="n">
        <v>0</v>
      </c>
      <c r="O2518" t="n">
        <v>0</v>
      </c>
      <c r="P2518" t="n">
        <v>0</v>
      </c>
      <c r="Q2518" t="n">
        <v>0</v>
      </c>
      <c r="R2518" t="n">
        <v>0</v>
      </c>
      <c r="S2518" t="n">
        <v>0</v>
      </c>
      <c r="T2518" t="n">
        <v>0</v>
      </c>
      <c r="U2518" t="n">
        <v>0</v>
      </c>
      <c r="V2518" s="2" t="inlineStr"/>
    </row>
    <row r="2519" ht="15" customHeight="1">
      <c r="A2519" t="inlineStr">
        <is>
          <t>A 4621-2022</t>
        </is>
      </c>
      <c r="B2519" t="inlineStr">
        <is>
          <t>avverkningsanmälan</t>
        </is>
      </c>
      <c r="C2519" t="inlineStr">
        <is>
          <t>Föryngringsavverkning</t>
        </is>
      </c>
      <c r="D2519" s="1" t="n">
        <v>44592</v>
      </c>
      <c r="E2519" s="1" t="n">
        <v>46313</v>
      </c>
      <c r="F2519" t="inlineStr">
        <is>
          <t>SÖDERMANLANDS LÄN</t>
        </is>
      </c>
      <c r="G2519" t="inlineStr">
        <is>
          <t>ESKILSTUNA</t>
        </is>
      </c>
      <c r="I2519" t="n">
        <v>5.1</v>
      </c>
      <c r="J2519" t="n">
        <v>0</v>
      </c>
      <c r="K2519" t="n">
        <v>0</v>
      </c>
      <c r="L2519" t="n">
        <v>0</v>
      </c>
      <c r="M2519" t="n">
        <v>0</v>
      </c>
      <c r="N2519" t="n">
        <v>0</v>
      </c>
      <c r="O2519" t="n">
        <v>0</v>
      </c>
      <c r="P2519" t="n">
        <v>0</v>
      </c>
      <c r="Q2519" t="n">
        <v>0</v>
      </c>
      <c r="R2519" t="n">
        <v>0</v>
      </c>
      <c r="S2519" t="n">
        <v>0</v>
      </c>
      <c r="T2519" t="n">
        <v>0</v>
      </c>
      <c r="U2519" t="n">
        <v>0</v>
      </c>
      <c r="V2519" s="2" t="inlineStr"/>
    </row>
    <row r="2520" ht="15" customHeight="1">
      <c r="A2520" t="inlineStr">
        <is>
          <t>A 33126-2023</t>
        </is>
      </c>
      <c r="B2520" t="inlineStr">
        <is>
          <t>avverkningsanmälan</t>
        </is>
      </c>
      <c r="C2520" t="inlineStr">
        <is>
          <t>Föryngringsavverkning</t>
        </is>
      </c>
      <c r="D2520" s="1" t="n">
        <v>45114</v>
      </c>
      <c r="E2520" s="1" t="n">
        <v>46313</v>
      </c>
      <c r="F2520" t="inlineStr">
        <is>
          <t>SÖDERMANLANDS LÄN</t>
        </is>
      </c>
      <c r="G2520" t="inlineStr">
        <is>
          <t>NYKÖPING</t>
        </is>
      </c>
      <c r="I2520" t="n">
        <v>3.8</v>
      </c>
      <c r="J2520" t="n">
        <v>0</v>
      </c>
      <c r="K2520" t="n">
        <v>0</v>
      </c>
      <c r="L2520" t="n">
        <v>0</v>
      </c>
      <c r="M2520" t="n">
        <v>0</v>
      </c>
      <c r="N2520" t="n">
        <v>0</v>
      </c>
      <c r="O2520" t="n">
        <v>0</v>
      </c>
      <c r="P2520" t="n">
        <v>0</v>
      </c>
      <c r="Q2520" t="n">
        <v>0</v>
      </c>
      <c r="R2520" t="n">
        <v>0</v>
      </c>
      <c r="S2520" t="n">
        <v>0</v>
      </c>
      <c r="T2520" t="n">
        <v>0</v>
      </c>
      <c r="U2520" t="n">
        <v>0</v>
      </c>
      <c r="V2520" s="2" t="inlineStr"/>
    </row>
    <row r="2521" ht="15" customHeight="1">
      <c r="A2521" t="inlineStr">
        <is>
          <t>A 39171-2025</t>
        </is>
      </c>
      <c r="B2521" t="inlineStr">
        <is>
          <t>avverkningsanmälan</t>
        </is>
      </c>
      <c r="C2521" t="inlineStr">
        <is>
          <t>Föryngringsavverkning</t>
        </is>
      </c>
      <c r="D2521" s="1" t="n">
        <v>45888</v>
      </c>
      <c r="E2521" s="1" t="n">
        <v>46313</v>
      </c>
      <c r="F2521" t="inlineStr">
        <is>
          <t>SÖDERMANLANDS LÄN</t>
        </is>
      </c>
      <c r="G2521" t="inlineStr">
        <is>
          <t>FLEN</t>
        </is>
      </c>
      <c r="I2521" t="n">
        <v>3.1</v>
      </c>
      <c r="J2521" t="n">
        <v>0</v>
      </c>
      <c r="K2521" t="n">
        <v>0</v>
      </c>
      <c r="L2521" t="n">
        <v>0</v>
      </c>
      <c r="M2521" t="n">
        <v>0</v>
      </c>
      <c r="N2521" t="n">
        <v>0</v>
      </c>
      <c r="O2521" t="n">
        <v>0</v>
      </c>
      <c r="P2521" t="n">
        <v>0</v>
      </c>
      <c r="Q2521" t="n">
        <v>0</v>
      </c>
      <c r="R2521" t="n">
        <v>0</v>
      </c>
      <c r="S2521" t="n">
        <v>0</v>
      </c>
      <c r="T2521" t="n">
        <v>0</v>
      </c>
      <c r="U2521" t="n">
        <v>0</v>
      </c>
      <c r="V2521" s="2" t="inlineStr"/>
    </row>
    <row r="2522" ht="15" customHeight="1">
      <c r="A2522" t="inlineStr">
        <is>
          <t>A 48097-2023</t>
        </is>
      </c>
      <c r="B2522" t="inlineStr">
        <is>
          <t>avverkningsanmälan</t>
        </is>
      </c>
      <c r="C2522" t="inlineStr">
        <is>
          <t>Föryngringsavverkning</t>
        </is>
      </c>
      <c r="D2522" s="1" t="n">
        <v>45205</v>
      </c>
      <c r="E2522" s="1" t="n">
        <v>46313</v>
      </c>
      <c r="F2522" t="inlineStr">
        <is>
          <t>SÖDERMANLANDS LÄN</t>
        </is>
      </c>
      <c r="G2522" t="inlineStr">
        <is>
          <t>KATRINEHOLM</t>
        </is>
      </c>
      <c r="I2522" t="n">
        <v>2.3</v>
      </c>
      <c r="J2522" t="n">
        <v>0</v>
      </c>
      <c r="K2522" t="n">
        <v>0</v>
      </c>
      <c r="L2522" t="n">
        <v>0</v>
      </c>
      <c r="M2522" t="n">
        <v>0</v>
      </c>
      <c r="N2522" t="n">
        <v>0</v>
      </c>
      <c r="O2522" t="n">
        <v>0</v>
      </c>
      <c r="P2522" t="n">
        <v>0</v>
      </c>
      <c r="Q2522" t="n">
        <v>0</v>
      </c>
      <c r="R2522" t="n">
        <v>0</v>
      </c>
      <c r="S2522" t="n">
        <v>0</v>
      </c>
      <c r="T2522" t="n">
        <v>0</v>
      </c>
      <c r="U2522" t="n">
        <v>0</v>
      </c>
      <c r="V2522" s="2" t="inlineStr"/>
    </row>
    <row r="2523" ht="15" customHeight="1">
      <c r="A2523" t="inlineStr">
        <is>
          <t>A 25730-2024</t>
        </is>
      </c>
      <c r="B2523" t="inlineStr">
        <is>
          <t>avverkningsanmälan</t>
        </is>
      </c>
      <c r="C2523" t="inlineStr">
        <is>
          <t>Föryngringsavverkning</t>
        </is>
      </c>
      <c r="D2523" s="1" t="n">
        <v>45464</v>
      </c>
      <c r="E2523" s="1" t="n">
        <v>46313</v>
      </c>
      <c r="F2523" t="inlineStr">
        <is>
          <t>SÖDERMANLANDS LÄN</t>
        </is>
      </c>
      <c r="G2523" t="inlineStr">
        <is>
          <t>ESKILSTUNA</t>
        </is>
      </c>
      <c r="I2523" t="n">
        <v>0.9</v>
      </c>
      <c r="J2523" t="n">
        <v>0</v>
      </c>
      <c r="K2523" t="n">
        <v>0</v>
      </c>
      <c r="L2523" t="n">
        <v>0</v>
      </c>
      <c r="M2523" t="n">
        <v>0</v>
      </c>
      <c r="N2523" t="n">
        <v>0</v>
      </c>
      <c r="O2523" t="n">
        <v>0</v>
      </c>
      <c r="P2523" t="n">
        <v>0</v>
      </c>
      <c r="Q2523" t="n">
        <v>0</v>
      </c>
      <c r="R2523" t="n">
        <v>0</v>
      </c>
      <c r="S2523" t="n">
        <v>0</v>
      </c>
      <c r="T2523" t="n">
        <v>0</v>
      </c>
      <c r="U2523" t="n">
        <v>0</v>
      </c>
      <c r="V2523" s="2" t="inlineStr"/>
    </row>
    <row r="2524" ht="15" customHeight="1">
      <c r="A2524" t="inlineStr">
        <is>
          <t>A 44862-2025</t>
        </is>
      </c>
      <c r="B2524" t="inlineStr">
        <is>
          <t>avverkningsanmälan</t>
        </is>
      </c>
      <c r="C2524" t="inlineStr">
        <is>
          <t>Föryngringsavverkning</t>
        </is>
      </c>
      <c r="D2524" s="1" t="n">
        <v>45918</v>
      </c>
      <c r="E2524" s="1" t="n">
        <v>46313</v>
      </c>
      <c r="F2524" t="inlineStr">
        <is>
          <t>SÖDERMANLANDS LÄN</t>
        </is>
      </c>
      <c r="G2524" t="inlineStr">
        <is>
          <t>ESKILSTUNA</t>
        </is>
      </c>
      <c r="I2524" t="n">
        <v>1.5</v>
      </c>
      <c r="J2524" t="n">
        <v>0</v>
      </c>
      <c r="K2524" t="n">
        <v>0</v>
      </c>
      <c r="L2524" t="n">
        <v>0</v>
      </c>
      <c r="M2524" t="n">
        <v>0</v>
      </c>
      <c r="N2524" t="n">
        <v>0</v>
      </c>
      <c r="O2524" t="n">
        <v>0</v>
      </c>
      <c r="P2524" t="n">
        <v>0</v>
      </c>
      <c r="Q2524" t="n">
        <v>0</v>
      </c>
      <c r="R2524" t="n">
        <v>0</v>
      </c>
      <c r="S2524" t="n">
        <v>0</v>
      </c>
      <c r="T2524" t="n">
        <v>0</v>
      </c>
      <c r="U2524" t="n">
        <v>0</v>
      </c>
      <c r="V2524" s="2" t="inlineStr"/>
    </row>
    <row r="2525" ht="15" customHeight="1">
      <c r="A2525" t="inlineStr">
        <is>
          <t>A 39779-2024</t>
        </is>
      </c>
      <c r="B2525" t="inlineStr">
        <is>
          <t>avverkningsanmälan</t>
        </is>
      </c>
      <c r="C2525" t="inlineStr">
        <is>
          <t>Föryngringsavverkning</t>
        </is>
      </c>
      <c r="D2525" s="1" t="n">
        <v>45552</v>
      </c>
      <c r="E2525" s="1" t="n">
        <v>46313</v>
      </c>
      <c r="F2525" t="inlineStr">
        <is>
          <t>SÖDERMANLANDS LÄN</t>
        </is>
      </c>
      <c r="G2525" t="inlineStr">
        <is>
          <t>VINGÅKER</t>
        </is>
      </c>
      <c r="I2525" t="n">
        <v>1.3</v>
      </c>
      <c r="J2525" t="n">
        <v>0</v>
      </c>
      <c r="K2525" t="n">
        <v>0</v>
      </c>
      <c r="L2525" t="n">
        <v>0</v>
      </c>
      <c r="M2525" t="n">
        <v>0</v>
      </c>
      <c r="N2525" t="n">
        <v>0</v>
      </c>
      <c r="O2525" t="n">
        <v>0</v>
      </c>
      <c r="P2525" t="n">
        <v>0</v>
      </c>
      <c r="Q2525" t="n">
        <v>0</v>
      </c>
      <c r="R2525" t="n">
        <v>0</v>
      </c>
      <c r="S2525" t="n">
        <v>0</v>
      </c>
      <c r="T2525" t="n">
        <v>0</v>
      </c>
      <c r="U2525" t="n">
        <v>0</v>
      </c>
      <c r="V2525" s="2" t="inlineStr"/>
    </row>
    <row r="2526" ht="15" customHeight="1">
      <c r="A2526" t="inlineStr">
        <is>
          <t>A 40420-2024</t>
        </is>
      </c>
      <c r="B2526" t="inlineStr">
        <is>
          <t>avverkningsanmälan</t>
        </is>
      </c>
      <c r="C2526" t="inlineStr">
        <is>
          <t>Föryngringsavverkning</t>
        </is>
      </c>
      <c r="D2526" s="1" t="n">
        <v>45555</v>
      </c>
      <c r="E2526" s="1" t="n">
        <v>46313</v>
      </c>
      <c r="F2526" t="inlineStr">
        <is>
          <t>SÖDERMANLANDS LÄN</t>
        </is>
      </c>
      <c r="G2526" t="inlineStr">
        <is>
          <t>FLEN</t>
        </is>
      </c>
      <c r="I2526" t="n">
        <v>0.9</v>
      </c>
      <c r="J2526" t="n">
        <v>0</v>
      </c>
      <c r="K2526" t="n">
        <v>0</v>
      </c>
      <c r="L2526" t="n">
        <v>0</v>
      </c>
      <c r="M2526" t="n">
        <v>0</v>
      </c>
      <c r="N2526" t="n">
        <v>0</v>
      </c>
      <c r="O2526" t="n">
        <v>0</v>
      </c>
      <c r="P2526" t="n">
        <v>0</v>
      </c>
      <c r="Q2526" t="n">
        <v>0</v>
      </c>
      <c r="R2526" t="n">
        <v>0</v>
      </c>
      <c r="S2526" t="n">
        <v>0</v>
      </c>
      <c r="T2526" t="n">
        <v>0</v>
      </c>
      <c r="U2526" t="n">
        <v>0</v>
      </c>
      <c r="V2526" s="2" t="inlineStr"/>
    </row>
    <row r="2527" ht="15" customHeight="1">
      <c r="A2527" t="inlineStr">
        <is>
          <t>A 59773-2025</t>
        </is>
      </c>
      <c r="B2527" t="inlineStr">
        <is>
          <t>avverkningsanmälan</t>
        </is>
      </c>
      <c r="C2527" t="inlineStr">
        <is>
          <t>Föryngringsavverkning</t>
        </is>
      </c>
      <c r="D2527" s="1" t="n">
        <v>45992</v>
      </c>
      <c r="E2527" s="1" t="n">
        <v>46313</v>
      </c>
      <c r="F2527" t="inlineStr">
        <is>
          <t>SÖDERMANLANDS LÄN</t>
        </is>
      </c>
      <c r="G2527" t="inlineStr">
        <is>
          <t>ESKILSTUNA</t>
        </is>
      </c>
      <c r="I2527" t="n">
        <v>10.8</v>
      </c>
      <c r="J2527" t="n">
        <v>0</v>
      </c>
      <c r="K2527" t="n">
        <v>0</v>
      </c>
      <c r="L2527" t="n">
        <v>0</v>
      </c>
      <c r="M2527" t="n">
        <v>0</v>
      </c>
      <c r="N2527" t="n">
        <v>0</v>
      </c>
      <c r="O2527" t="n">
        <v>0</v>
      </c>
      <c r="P2527" t="n">
        <v>0</v>
      </c>
      <c r="Q2527" t="n">
        <v>0</v>
      </c>
      <c r="R2527" t="n">
        <v>0</v>
      </c>
      <c r="S2527" t="n">
        <v>0</v>
      </c>
      <c r="T2527" t="n">
        <v>0</v>
      </c>
      <c r="U2527" t="n">
        <v>0</v>
      </c>
      <c r="V2527" s="2" t="inlineStr"/>
    </row>
    <row r="2528" ht="15" customHeight="1">
      <c r="A2528" t="inlineStr">
        <is>
          <t>A 20202-2026</t>
        </is>
      </c>
      <c r="B2528" t="inlineStr">
        <is>
          <t>avverkningsanmälan</t>
        </is>
      </c>
      <c r="C2528" t="inlineStr">
        <is>
          <t>Föryngringsavverkning</t>
        </is>
      </c>
      <c r="D2528" s="1" t="n">
        <v>46136</v>
      </c>
      <c r="E2528" s="1" t="n">
        <v>46313</v>
      </c>
      <c r="F2528" t="inlineStr">
        <is>
          <t>SÖDERMANLANDS LÄN</t>
        </is>
      </c>
      <c r="G2528" t="inlineStr">
        <is>
          <t>KATRINEHOLM</t>
        </is>
      </c>
      <c r="I2528" t="n">
        <v>1.2</v>
      </c>
      <c r="J2528" t="n">
        <v>0</v>
      </c>
      <c r="K2528" t="n">
        <v>0</v>
      </c>
      <c r="L2528" t="n">
        <v>0</v>
      </c>
      <c r="M2528" t="n">
        <v>0</v>
      </c>
      <c r="N2528" t="n">
        <v>0</v>
      </c>
      <c r="O2528" t="n">
        <v>0</v>
      </c>
      <c r="P2528" t="n">
        <v>0</v>
      </c>
      <c r="Q2528" t="n">
        <v>0</v>
      </c>
      <c r="R2528" t="n">
        <v>0</v>
      </c>
      <c r="S2528" t="n">
        <v>0</v>
      </c>
      <c r="T2528" t="n">
        <v>0</v>
      </c>
      <c r="U2528" t="n">
        <v>0</v>
      </c>
      <c r="V2528" s="2" t="inlineStr"/>
    </row>
    <row r="2529" ht="15" customHeight="1">
      <c r="A2529" t="inlineStr">
        <is>
          <t>A 41222-2023</t>
        </is>
      </c>
      <c r="B2529" t="inlineStr">
        <is>
          <t>avverkningsanmälan</t>
        </is>
      </c>
      <c r="C2529" t="inlineStr">
        <is>
          <t>Föryngringsavverkning</t>
        </is>
      </c>
      <c r="D2529" s="1" t="n">
        <v>45170</v>
      </c>
      <c r="E2529" s="1" t="n">
        <v>46313</v>
      </c>
      <c r="F2529" t="inlineStr">
        <is>
          <t>SÖDERMANLANDS LÄN</t>
        </is>
      </c>
      <c r="G2529" t="inlineStr">
        <is>
          <t>NYKÖPING</t>
        </is>
      </c>
      <c r="I2529" t="n">
        <v>3.4</v>
      </c>
      <c r="J2529" t="n">
        <v>0</v>
      </c>
      <c r="K2529" t="n">
        <v>0</v>
      </c>
      <c r="L2529" t="n">
        <v>0</v>
      </c>
      <c r="M2529" t="n">
        <v>0</v>
      </c>
      <c r="N2529" t="n">
        <v>0</v>
      </c>
      <c r="O2529" t="n">
        <v>0</v>
      </c>
      <c r="P2529" t="n">
        <v>0</v>
      </c>
      <c r="Q2529" t="n">
        <v>0</v>
      </c>
      <c r="R2529" t="n">
        <v>0</v>
      </c>
      <c r="S2529" t="n">
        <v>0</v>
      </c>
      <c r="T2529" t="n">
        <v>0</v>
      </c>
      <c r="U2529" t="n">
        <v>0</v>
      </c>
      <c r="V2529" s="2" t="inlineStr"/>
    </row>
    <row r="2530" ht="15" customHeight="1">
      <c r="A2530" t="inlineStr">
        <is>
          <t>A 58241-2022</t>
        </is>
      </c>
      <c r="B2530" t="inlineStr">
        <is>
          <t>avverkningsanmälan</t>
        </is>
      </c>
      <c r="C2530" t="inlineStr">
        <is>
          <t>Föryngringsavverkning</t>
        </is>
      </c>
      <c r="D2530" s="1" t="n">
        <v>44901</v>
      </c>
      <c r="E2530" s="1" t="n">
        <v>46313</v>
      </c>
      <c r="F2530" t="inlineStr">
        <is>
          <t>SÖDERMANLANDS LÄN</t>
        </is>
      </c>
      <c r="G2530" t="inlineStr">
        <is>
          <t>STRÄNGNÄS</t>
        </is>
      </c>
      <c r="I2530" t="n">
        <v>0.4</v>
      </c>
      <c r="J2530" t="n">
        <v>0</v>
      </c>
      <c r="K2530" t="n">
        <v>0</v>
      </c>
      <c r="L2530" t="n">
        <v>0</v>
      </c>
      <c r="M2530" t="n">
        <v>0</v>
      </c>
      <c r="N2530" t="n">
        <v>0</v>
      </c>
      <c r="O2530" t="n">
        <v>0</v>
      </c>
      <c r="P2530" t="n">
        <v>0</v>
      </c>
      <c r="Q2530" t="n">
        <v>0</v>
      </c>
      <c r="R2530" t="n">
        <v>0</v>
      </c>
      <c r="S2530" t="n">
        <v>0</v>
      </c>
      <c r="T2530" t="n">
        <v>0</v>
      </c>
      <c r="U2530" t="n">
        <v>0</v>
      </c>
      <c r="V2530" s="2" t="inlineStr"/>
    </row>
    <row r="2531" ht="15" customHeight="1">
      <c r="A2531" t="inlineStr">
        <is>
          <t>A 58281-2022</t>
        </is>
      </c>
      <c r="B2531" t="inlineStr">
        <is>
          <t>avverkningsanmälan</t>
        </is>
      </c>
      <c r="C2531" t="inlineStr">
        <is>
          <t>Föryngringsavverkning</t>
        </is>
      </c>
      <c r="D2531" s="1" t="n">
        <v>44901</v>
      </c>
      <c r="E2531" s="1" t="n">
        <v>46313</v>
      </c>
      <c r="F2531" t="inlineStr">
        <is>
          <t>SÖDERMANLANDS LÄN</t>
        </is>
      </c>
      <c r="G2531" t="inlineStr">
        <is>
          <t>NYKÖPING</t>
        </is>
      </c>
      <c r="H2531" t="inlineStr">
        <is>
          <t>Holmen skog AB</t>
        </is>
      </c>
      <c r="I2531" t="n">
        <v>1.2</v>
      </c>
      <c r="J2531" t="n">
        <v>0</v>
      </c>
      <c r="K2531" t="n">
        <v>0</v>
      </c>
      <c r="L2531" t="n">
        <v>0</v>
      </c>
      <c r="M2531" t="n">
        <v>0</v>
      </c>
      <c r="N2531" t="n">
        <v>0</v>
      </c>
      <c r="O2531" t="n">
        <v>0</v>
      </c>
      <c r="P2531" t="n">
        <v>0</v>
      </c>
      <c r="Q2531" t="n">
        <v>0</v>
      </c>
      <c r="R2531" t="n">
        <v>0</v>
      </c>
      <c r="S2531" t="n">
        <v>0</v>
      </c>
      <c r="T2531" t="n">
        <v>0</v>
      </c>
      <c r="U2531" t="n">
        <v>0</v>
      </c>
      <c r="V2531" s="2" t="inlineStr"/>
    </row>
    <row r="2532" ht="15" customHeight="1">
      <c r="A2532" t="inlineStr">
        <is>
          <t>A 7753-2024</t>
        </is>
      </c>
      <c r="B2532" t="inlineStr">
        <is>
          <t>avverkningsanmälan</t>
        </is>
      </c>
      <c r="C2532" t="inlineStr">
        <is>
          <t>Föryngringsavverkning</t>
        </is>
      </c>
      <c r="D2532" s="1" t="n">
        <v>45348</v>
      </c>
      <c r="E2532" s="1" t="n">
        <v>46313</v>
      </c>
      <c r="F2532" t="inlineStr">
        <is>
          <t>SÖDERMANLANDS LÄN</t>
        </is>
      </c>
      <c r="G2532" t="inlineStr">
        <is>
          <t>KATRINEHOLM</t>
        </is>
      </c>
      <c r="I2532" t="n">
        <v>13.4</v>
      </c>
      <c r="J2532" t="n">
        <v>0</v>
      </c>
      <c r="K2532" t="n">
        <v>0</v>
      </c>
      <c r="L2532" t="n">
        <v>0</v>
      </c>
      <c r="M2532" t="n">
        <v>0</v>
      </c>
      <c r="N2532" t="n">
        <v>0</v>
      </c>
      <c r="O2532" t="n">
        <v>0</v>
      </c>
      <c r="P2532" t="n">
        <v>0</v>
      </c>
      <c r="Q2532" t="n">
        <v>0</v>
      </c>
      <c r="R2532" t="n">
        <v>0</v>
      </c>
      <c r="S2532" t="n">
        <v>0</v>
      </c>
      <c r="T2532" t="n">
        <v>0</v>
      </c>
      <c r="U2532" t="n">
        <v>0</v>
      </c>
      <c r="V2532" s="2" t="inlineStr"/>
    </row>
    <row r="2533" ht="15" customHeight="1">
      <c r="A2533" t="inlineStr">
        <is>
          <t>A 26253-2025</t>
        </is>
      </c>
      <c r="B2533" t="inlineStr">
        <is>
          <t>avverkningsanmälan</t>
        </is>
      </c>
      <c r="C2533" t="inlineStr">
        <is>
          <t>Föryngringsavverkning</t>
        </is>
      </c>
      <c r="D2533" s="1" t="n">
        <v>45805</v>
      </c>
      <c r="E2533" s="1" t="n">
        <v>46313</v>
      </c>
      <c r="F2533" t="inlineStr">
        <is>
          <t>SÖDERMANLANDS LÄN</t>
        </is>
      </c>
      <c r="G2533" t="inlineStr">
        <is>
          <t>FLEN</t>
        </is>
      </c>
      <c r="I2533" t="n">
        <v>1.6</v>
      </c>
      <c r="J2533" t="n">
        <v>0</v>
      </c>
      <c r="K2533" t="n">
        <v>0</v>
      </c>
      <c r="L2533" t="n">
        <v>0</v>
      </c>
      <c r="M2533" t="n">
        <v>0</v>
      </c>
      <c r="N2533" t="n">
        <v>0</v>
      </c>
      <c r="O2533" t="n">
        <v>0</v>
      </c>
      <c r="P2533" t="n">
        <v>0</v>
      </c>
      <c r="Q2533" t="n">
        <v>0</v>
      </c>
      <c r="R2533" t="n">
        <v>0</v>
      </c>
      <c r="S2533" t="n">
        <v>0</v>
      </c>
      <c r="T2533" t="n">
        <v>0</v>
      </c>
      <c r="U2533" t="n">
        <v>0</v>
      </c>
      <c r="V2533" s="2" t="inlineStr"/>
    </row>
    <row r="2534" ht="15" customHeight="1">
      <c r="A2534" t="inlineStr">
        <is>
          <t>A 56384-2025</t>
        </is>
      </c>
      <c r="B2534" t="inlineStr">
        <is>
          <t>avverkningsanmälan</t>
        </is>
      </c>
      <c r="C2534" t="inlineStr">
        <is>
          <t>Föryngringsavverkning</t>
        </is>
      </c>
      <c r="D2534" s="1" t="n">
        <v>45974</v>
      </c>
      <c r="E2534" s="1" t="n">
        <v>46313</v>
      </c>
      <c r="F2534" t="inlineStr">
        <is>
          <t>SÖDERMANLANDS LÄN</t>
        </is>
      </c>
      <c r="G2534" t="inlineStr">
        <is>
          <t>ESKILSTUNA</t>
        </is>
      </c>
      <c r="I2534" t="n">
        <v>2.2</v>
      </c>
      <c r="J2534" t="n">
        <v>0</v>
      </c>
      <c r="K2534" t="n">
        <v>0</v>
      </c>
      <c r="L2534" t="n">
        <v>0</v>
      </c>
      <c r="M2534" t="n">
        <v>0</v>
      </c>
      <c r="N2534" t="n">
        <v>0</v>
      </c>
      <c r="O2534" t="n">
        <v>0</v>
      </c>
      <c r="P2534" t="n">
        <v>0</v>
      </c>
      <c r="Q2534" t="n">
        <v>0</v>
      </c>
      <c r="R2534" t="n">
        <v>0</v>
      </c>
      <c r="S2534" t="n">
        <v>0</v>
      </c>
      <c r="T2534" t="n">
        <v>0</v>
      </c>
      <c r="U2534" t="n">
        <v>0</v>
      </c>
      <c r="V2534" s="2" t="inlineStr"/>
    </row>
    <row r="2535" ht="15" customHeight="1">
      <c r="A2535" t="inlineStr">
        <is>
          <t>A 23662-2026</t>
        </is>
      </c>
      <c r="B2535" t="inlineStr">
        <is>
          <t>avverkningsanmälan</t>
        </is>
      </c>
      <c r="C2535" t="inlineStr">
        <is>
          <t>Föryngringsavverkning</t>
        </is>
      </c>
      <c r="D2535" s="1" t="n">
        <v>46164</v>
      </c>
      <c r="E2535" s="1" t="n">
        <v>46313</v>
      </c>
      <c r="F2535" t="inlineStr">
        <is>
          <t>SÖDERMANLANDS LÄN</t>
        </is>
      </c>
      <c r="G2535" t="inlineStr">
        <is>
          <t>ESKILSTUNA</t>
        </is>
      </c>
      <c r="I2535" t="n">
        <v>1.8</v>
      </c>
      <c r="J2535" t="n">
        <v>0</v>
      </c>
      <c r="K2535" t="n">
        <v>0</v>
      </c>
      <c r="L2535" t="n">
        <v>0</v>
      </c>
      <c r="M2535" t="n">
        <v>0</v>
      </c>
      <c r="N2535" t="n">
        <v>0</v>
      </c>
      <c r="O2535" t="n">
        <v>0</v>
      </c>
      <c r="P2535" t="n">
        <v>0</v>
      </c>
      <c r="Q2535" t="n">
        <v>0</v>
      </c>
      <c r="R2535" t="n">
        <v>0</v>
      </c>
      <c r="S2535" t="n">
        <v>0</v>
      </c>
      <c r="T2535" t="n">
        <v>0</v>
      </c>
      <c r="U2535" t="n">
        <v>0</v>
      </c>
      <c r="V2535" s="2" t="inlineStr"/>
    </row>
    <row r="2536" ht="15" customHeight="1">
      <c r="A2536" t="inlineStr">
        <is>
          <t>A 22767-2026</t>
        </is>
      </c>
      <c r="B2536" t="inlineStr">
        <is>
          <t>avverkningsanmälan</t>
        </is>
      </c>
      <c r="C2536" t="inlineStr">
        <is>
          <t>Föryngringsavverkning</t>
        </is>
      </c>
      <c r="D2536" s="1" t="n">
        <v>46157</v>
      </c>
      <c r="E2536" s="1" t="n">
        <v>46313</v>
      </c>
      <c r="F2536" t="inlineStr">
        <is>
          <t>SÖDERMANLANDS LÄN</t>
        </is>
      </c>
      <c r="G2536" t="inlineStr">
        <is>
          <t>ESKILSTUNA</t>
        </is>
      </c>
      <c r="I2536" t="n">
        <v>2.2</v>
      </c>
      <c r="J2536" t="n">
        <v>0</v>
      </c>
      <c r="K2536" t="n">
        <v>0</v>
      </c>
      <c r="L2536" t="n">
        <v>0</v>
      </c>
      <c r="M2536" t="n">
        <v>0</v>
      </c>
      <c r="N2536" t="n">
        <v>0</v>
      </c>
      <c r="O2536" t="n">
        <v>0</v>
      </c>
      <c r="P2536" t="n">
        <v>0</v>
      </c>
      <c r="Q2536" t="n">
        <v>0</v>
      </c>
      <c r="R2536" t="n">
        <v>0</v>
      </c>
      <c r="S2536" t="n">
        <v>0</v>
      </c>
      <c r="T2536" t="n">
        <v>0</v>
      </c>
      <c r="U2536" t="n">
        <v>0</v>
      </c>
      <c r="V2536" s="2" t="inlineStr"/>
    </row>
    <row r="2537" ht="15" customHeight="1">
      <c r="A2537" t="inlineStr">
        <is>
          <t>A 16071-2023</t>
        </is>
      </c>
      <c r="B2537" t="inlineStr">
        <is>
          <t>avverkningsanmälan</t>
        </is>
      </c>
      <c r="C2537" t="inlineStr">
        <is>
          <t>Föryngringsavverkning</t>
        </is>
      </c>
      <c r="D2537" s="1" t="n">
        <v>45021</v>
      </c>
      <c r="E2537" s="1" t="n">
        <v>46313</v>
      </c>
      <c r="F2537" t="inlineStr">
        <is>
          <t>SÖDERMANLANDS LÄN</t>
        </is>
      </c>
      <c r="G2537" t="inlineStr">
        <is>
          <t>VINGÅKER</t>
        </is>
      </c>
      <c r="I2537" t="n">
        <v>0.3</v>
      </c>
      <c r="J2537" t="n">
        <v>0</v>
      </c>
      <c r="K2537" t="n">
        <v>0</v>
      </c>
      <c r="L2537" t="n">
        <v>0</v>
      </c>
      <c r="M2537" t="n">
        <v>0</v>
      </c>
      <c r="N2537" t="n">
        <v>0</v>
      </c>
      <c r="O2537" t="n">
        <v>0</v>
      </c>
      <c r="P2537" t="n">
        <v>0</v>
      </c>
      <c r="Q2537" t="n">
        <v>0</v>
      </c>
      <c r="R2537" t="n">
        <v>0</v>
      </c>
      <c r="S2537" t="n">
        <v>0</v>
      </c>
      <c r="T2537" t="n">
        <v>0</v>
      </c>
      <c r="U2537" t="n">
        <v>0</v>
      </c>
      <c r="V2537" s="2" t="inlineStr"/>
    </row>
    <row r="2538" ht="15" customHeight="1">
      <c r="A2538" t="inlineStr">
        <is>
          <t>A 18551-2024</t>
        </is>
      </c>
      <c r="B2538" t="inlineStr">
        <is>
          <t>avverkningsanmälan</t>
        </is>
      </c>
      <c r="C2538" t="inlineStr">
        <is>
          <t>Avverkning för annat ändamål</t>
        </is>
      </c>
      <c r="D2538" s="1" t="n">
        <v>45425</v>
      </c>
      <c r="E2538" s="1" t="n">
        <v>46313</v>
      </c>
      <c r="F2538" t="inlineStr">
        <is>
          <t>SÖDERMANLANDS LÄN</t>
        </is>
      </c>
      <c r="G2538" t="inlineStr">
        <is>
          <t>NYKÖPING</t>
        </is>
      </c>
      <c r="H2538" t="inlineStr">
        <is>
          <t>Kommuner</t>
        </is>
      </c>
      <c r="I2538" t="n">
        <v>2.7</v>
      </c>
      <c r="J2538" t="n">
        <v>0</v>
      </c>
      <c r="K2538" t="n">
        <v>0</v>
      </c>
      <c r="L2538" t="n">
        <v>0</v>
      </c>
      <c r="M2538" t="n">
        <v>0</v>
      </c>
      <c r="N2538" t="n">
        <v>0</v>
      </c>
      <c r="O2538" t="n">
        <v>0</v>
      </c>
      <c r="P2538" t="n">
        <v>0</v>
      </c>
      <c r="Q2538" t="n">
        <v>0</v>
      </c>
      <c r="R2538" t="n">
        <v>0</v>
      </c>
      <c r="S2538" t="n">
        <v>0</v>
      </c>
      <c r="T2538" t="n">
        <v>0</v>
      </c>
      <c r="U2538" t="n">
        <v>0</v>
      </c>
      <c r="V2538" s="2" t="inlineStr"/>
    </row>
    <row r="2539" ht="15" customHeight="1">
      <c r="A2539" t="inlineStr">
        <is>
          <t>A 18478-2025</t>
        </is>
      </c>
      <c r="B2539" t="inlineStr">
        <is>
          <t>avverkningsanmälan</t>
        </is>
      </c>
      <c r="C2539" t="inlineStr">
        <is>
          <t>Föryngringsavverkning</t>
        </is>
      </c>
      <c r="D2539" s="1" t="n">
        <v>45762</v>
      </c>
      <c r="E2539" s="1" t="n">
        <v>46313</v>
      </c>
      <c r="F2539" t="inlineStr">
        <is>
          <t>SÖDERMANLANDS LÄN</t>
        </is>
      </c>
      <c r="G2539" t="inlineStr">
        <is>
          <t>NYKÖPING</t>
        </is>
      </c>
      <c r="I2539" t="n">
        <v>1.7</v>
      </c>
      <c r="J2539" t="n">
        <v>0</v>
      </c>
      <c r="K2539" t="n">
        <v>0</v>
      </c>
      <c r="L2539" t="n">
        <v>0</v>
      </c>
      <c r="M2539" t="n">
        <v>0</v>
      </c>
      <c r="N2539" t="n">
        <v>0</v>
      </c>
      <c r="O2539" t="n">
        <v>0</v>
      </c>
      <c r="P2539" t="n">
        <v>0</v>
      </c>
      <c r="Q2539" t="n">
        <v>0</v>
      </c>
      <c r="R2539" t="n">
        <v>0</v>
      </c>
      <c r="S2539" t="n">
        <v>0</v>
      </c>
      <c r="T2539" t="n">
        <v>0</v>
      </c>
      <c r="U2539" t="n">
        <v>0</v>
      </c>
      <c r="V2539" s="2" t="inlineStr"/>
    </row>
    <row r="2540" ht="15" customHeight="1">
      <c r="A2540" t="inlineStr">
        <is>
          <t>A 56732-2023</t>
        </is>
      </c>
      <c r="B2540" t="inlineStr">
        <is>
          <t>avverkningsanmälan</t>
        </is>
      </c>
      <c r="C2540" t="inlineStr">
        <is>
          <t>Föryngringsavverkning</t>
        </is>
      </c>
      <c r="D2540" s="1" t="n">
        <v>45238</v>
      </c>
      <c r="E2540" s="1" t="n">
        <v>46313</v>
      </c>
      <c r="F2540" t="inlineStr">
        <is>
          <t>SÖDERMANLANDS LÄN</t>
        </is>
      </c>
      <c r="G2540" t="inlineStr">
        <is>
          <t>GNESTA</t>
        </is>
      </c>
      <c r="I2540" t="n">
        <v>2.1</v>
      </c>
      <c r="J2540" t="n">
        <v>0</v>
      </c>
      <c r="K2540" t="n">
        <v>0</v>
      </c>
      <c r="L2540" t="n">
        <v>0</v>
      </c>
      <c r="M2540" t="n">
        <v>0</v>
      </c>
      <c r="N2540" t="n">
        <v>0</v>
      </c>
      <c r="O2540" t="n">
        <v>0</v>
      </c>
      <c r="P2540" t="n">
        <v>0</v>
      </c>
      <c r="Q2540" t="n">
        <v>0</v>
      </c>
      <c r="R2540" t="n">
        <v>0</v>
      </c>
      <c r="S2540" t="n">
        <v>0</v>
      </c>
      <c r="T2540" t="n">
        <v>0</v>
      </c>
      <c r="U2540" t="n">
        <v>0</v>
      </c>
      <c r="V2540" s="2" t="inlineStr"/>
    </row>
    <row r="2541" ht="15" customHeight="1">
      <c r="A2541" t="inlineStr">
        <is>
          <t>A 9979-2025</t>
        </is>
      </c>
      <c r="B2541" t="inlineStr">
        <is>
          <t>avverkningsanmälan</t>
        </is>
      </c>
      <c r="C2541" t="inlineStr">
        <is>
          <t>Föryngringsavverkning</t>
        </is>
      </c>
      <c r="D2541" s="1" t="n">
        <v>45718</v>
      </c>
      <c r="E2541" s="1" t="n">
        <v>46313</v>
      </c>
      <c r="F2541" t="inlineStr">
        <is>
          <t>SÖDERMANLANDS LÄN</t>
        </is>
      </c>
      <c r="G2541" t="inlineStr">
        <is>
          <t>FLEN</t>
        </is>
      </c>
      <c r="I2541" t="n">
        <v>1.8</v>
      </c>
      <c r="J2541" t="n">
        <v>0</v>
      </c>
      <c r="K2541" t="n">
        <v>0</v>
      </c>
      <c r="L2541" t="n">
        <v>0</v>
      </c>
      <c r="M2541" t="n">
        <v>0</v>
      </c>
      <c r="N2541" t="n">
        <v>0</v>
      </c>
      <c r="O2541" t="n">
        <v>0</v>
      </c>
      <c r="P2541" t="n">
        <v>0</v>
      </c>
      <c r="Q2541" t="n">
        <v>0</v>
      </c>
      <c r="R2541" t="n">
        <v>0</v>
      </c>
      <c r="S2541" t="n">
        <v>0</v>
      </c>
      <c r="T2541" t="n">
        <v>0</v>
      </c>
      <c r="U2541" t="n">
        <v>0</v>
      </c>
      <c r="V2541" s="2" t="inlineStr"/>
    </row>
    <row r="2542" ht="15" customHeight="1">
      <c r="A2542" t="inlineStr">
        <is>
          <t>A 35367-2024</t>
        </is>
      </c>
      <c r="B2542" t="inlineStr">
        <is>
          <t>avverkningsanmälan</t>
        </is>
      </c>
      <c r="C2542" t="inlineStr">
        <is>
          <t>Föryngringsavverkning</t>
        </is>
      </c>
      <c r="D2542" s="1" t="n">
        <v>45531</v>
      </c>
      <c r="E2542" s="1" t="n">
        <v>46313</v>
      </c>
      <c r="F2542" t="inlineStr">
        <is>
          <t>SÖDERMANLANDS LÄN</t>
        </is>
      </c>
      <c r="G2542" t="inlineStr">
        <is>
          <t>ESKILSTUNA</t>
        </is>
      </c>
      <c r="I2542" t="n">
        <v>3.3</v>
      </c>
      <c r="J2542" t="n">
        <v>0</v>
      </c>
      <c r="K2542" t="n">
        <v>0</v>
      </c>
      <c r="L2542" t="n">
        <v>0</v>
      </c>
      <c r="M2542" t="n">
        <v>0</v>
      </c>
      <c r="N2542" t="n">
        <v>0</v>
      </c>
      <c r="O2542" t="n">
        <v>0</v>
      </c>
      <c r="P2542" t="n">
        <v>0</v>
      </c>
      <c r="Q2542" t="n">
        <v>0</v>
      </c>
      <c r="R2542" t="n">
        <v>0</v>
      </c>
      <c r="S2542" t="n">
        <v>0</v>
      </c>
      <c r="T2542" t="n">
        <v>0</v>
      </c>
      <c r="U2542" t="n">
        <v>0</v>
      </c>
      <c r="V2542" s="2" t="inlineStr"/>
    </row>
    <row r="2543" ht="15" customHeight="1">
      <c r="A2543" t="inlineStr">
        <is>
          <t>A 61915-2021</t>
        </is>
      </c>
      <c r="B2543" t="inlineStr">
        <is>
          <t>avverkningsanmälan</t>
        </is>
      </c>
      <c r="C2543" t="inlineStr">
        <is>
          <t>Föryngringsavverkning</t>
        </is>
      </c>
      <c r="D2543" s="1" t="n">
        <v>44502</v>
      </c>
      <c r="E2543" s="1" t="n">
        <v>46313</v>
      </c>
      <c r="F2543" t="inlineStr">
        <is>
          <t>SÖDERMANLANDS LÄN</t>
        </is>
      </c>
      <c r="G2543" t="inlineStr">
        <is>
          <t>KATRINEHOLM</t>
        </is>
      </c>
      <c r="I2543" t="n">
        <v>2.6</v>
      </c>
      <c r="J2543" t="n">
        <v>0</v>
      </c>
      <c r="K2543" t="n">
        <v>0</v>
      </c>
      <c r="L2543" t="n">
        <v>0</v>
      </c>
      <c r="M2543" t="n">
        <v>0</v>
      </c>
      <c r="N2543" t="n">
        <v>0</v>
      </c>
      <c r="O2543" t="n">
        <v>0</v>
      </c>
      <c r="P2543" t="n">
        <v>0</v>
      </c>
      <c r="Q2543" t="n">
        <v>0</v>
      </c>
      <c r="R2543" t="n">
        <v>0</v>
      </c>
      <c r="S2543" t="n">
        <v>0</v>
      </c>
      <c r="T2543" t="n">
        <v>0</v>
      </c>
      <c r="U2543" t="n">
        <v>0</v>
      </c>
      <c r="V2543" s="2" t="inlineStr"/>
    </row>
    <row r="2544" ht="15" customHeight="1">
      <c r="A2544" t="inlineStr">
        <is>
          <t>A 55795-2023</t>
        </is>
      </c>
      <c r="B2544" t="inlineStr">
        <is>
          <t>avverkningsanmälan</t>
        </is>
      </c>
      <c r="C2544" t="inlineStr">
        <is>
          <t>Föryngringsavverkning</t>
        </is>
      </c>
      <c r="D2544" s="1" t="n">
        <v>45239</v>
      </c>
      <c r="E2544" s="1" t="n">
        <v>46313</v>
      </c>
      <c r="F2544" t="inlineStr">
        <is>
          <t>SÖDERMANLANDS LÄN</t>
        </is>
      </c>
      <c r="G2544" t="inlineStr">
        <is>
          <t>KATRINEHOLM</t>
        </is>
      </c>
      <c r="I2544" t="n">
        <v>7</v>
      </c>
      <c r="J2544" t="n">
        <v>0</v>
      </c>
      <c r="K2544" t="n">
        <v>0</v>
      </c>
      <c r="L2544" t="n">
        <v>0</v>
      </c>
      <c r="M2544" t="n">
        <v>0</v>
      </c>
      <c r="N2544" t="n">
        <v>0</v>
      </c>
      <c r="O2544" t="n">
        <v>0</v>
      </c>
      <c r="P2544" t="n">
        <v>0</v>
      </c>
      <c r="Q2544" t="n">
        <v>0</v>
      </c>
      <c r="R2544" t="n">
        <v>0</v>
      </c>
      <c r="S2544" t="n">
        <v>0</v>
      </c>
      <c r="T2544" t="n">
        <v>0</v>
      </c>
      <c r="U2544" t="n">
        <v>0</v>
      </c>
      <c r="V2544" s="2" t="inlineStr"/>
    </row>
    <row r="2545" ht="15" customHeight="1">
      <c r="A2545" t="inlineStr">
        <is>
          <t>A 30135-2026</t>
        </is>
      </c>
      <c r="B2545" t="inlineStr">
        <is>
          <t>avverkningsanmälan</t>
        </is>
      </c>
      <c r="C2545" t="inlineStr">
        <is>
          <t>Föryngringsavverkning</t>
        </is>
      </c>
      <c r="D2545" s="1" t="n">
        <v>46206</v>
      </c>
      <c r="E2545" s="1" t="n">
        <v>46313</v>
      </c>
      <c r="F2545" t="inlineStr">
        <is>
          <t>SÖDERMANLANDS LÄN</t>
        </is>
      </c>
      <c r="G2545" t="inlineStr">
        <is>
          <t>GNESTA</t>
        </is>
      </c>
      <c r="I2545" t="n">
        <v>4.1</v>
      </c>
      <c r="J2545" t="n">
        <v>0</v>
      </c>
      <c r="K2545" t="n">
        <v>0</v>
      </c>
      <c r="L2545" t="n">
        <v>0</v>
      </c>
      <c r="M2545" t="n">
        <v>0</v>
      </c>
      <c r="N2545" t="n">
        <v>0</v>
      </c>
      <c r="O2545" t="n">
        <v>0</v>
      </c>
      <c r="P2545" t="n">
        <v>0</v>
      </c>
      <c r="Q2545" t="n">
        <v>0</v>
      </c>
      <c r="R2545" t="n">
        <v>0</v>
      </c>
      <c r="S2545" t="n">
        <v>0</v>
      </c>
      <c r="T2545" t="n">
        <v>0</v>
      </c>
      <c r="U2545" t="n">
        <v>0</v>
      </c>
      <c r="V2545" s="2" t="inlineStr"/>
    </row>
    <row r="2546" ht="15" customHeight="1">
      <c r="A2546" t="inlineStr">
        <is>
          <t>A 20768-2022</t>
        </is>
      </c>
      <c r="B2546" t="inlineStr">
        <is>
          <t>avverkningsanmälan</t>
        </is>
      </c>
      <c r="C2546" t="inlineStr">
        <is>
          <t>Föryngringsavverkning</t>
        </is>
      </c>
      <c r="D2546" s="1" t="n">
        <v>44701</v>
      </c>
      <c r="E2546" s="1" t="n">
        <v>46313</v>
      </c>
      <c r="F2546" t="inlineStr">
        <is>
          <t>SÖDERMANLANDS LÄN</t>
        </is>
      </c>
      <c r="G2546" t="inlineStr">
        <is>
          <t>KATRINEHOLM</t>
        </is>
      </c>
      <c r="I2546" t="n">
        <v>3.5</v>
      </c>
      <c r="J2546" t="n">
        <v>0</v>
      </c>
      <c r="K2546" t="n">
        <v>0</v>
      </c>
      <c r="L2546" t="n">
        <v>0</v>
      </c>
      <c r="M2546" t="n">
        <v>0</v>
      </c>
      <c r="N2546" t="n">
        <v>0</v>
      </c>
      <c r="O2546" t="n">
        <v>0</v>
      </c>
      <c r="P2546" t="n">
        <v>0</v>
      </c>
      <c r="Q2546" t="n">
        <v>0</v>
      </c>
      <c r="R2546" t="n">
        <v>0</v>
      </c>
      <c r="S2546" t="n">
        <v>0</v>
      </c>
      <c r="T2546" t="n">
        <v>0</v>
      </c>
      <c r="U2546" t="n">
        <v>0</v>
      </c>
      <c r="V2546" s="2" t="inlineStr"/>
    </row>
    <row r="2547" ht="15" customHeight="1">
      <c r="A2547" t="inlineStr">
        <is>
          <t>A 46401-2022</t>
        </is>
      </c>
      <c r="B2547" t="inlineStr">
        <is>
          <t>avverkningsanmälan</t>
        </is>
      </c>
      <c r="C2547" t="inlineStr">
        <is>
          <t>Föryngringsavverkning</t>
        </is>
      </c>
      <c r="D2547" s="1" t="n">
        <v>44846</v>
      </c>
      <c r="E2547" s="1" t="n">
        <v>46313</v>
      </c>
      <c r="F2547" t="inlineStr">
        <is>
          <t>SÖDERMANLANDS LÄN</t>
        </is>
      </c>
      <c r="G2547" t="inlineStr">
        <is>
          <t>FLEN</t>
        </is>
      </c>
      <c r="H2547" t="inlineStr">
        <is>
          <t>Kyrkan</t>
        </is>
      </c>
      <c r="I2547" t="n">
        <v>0.9</v>
      </c>
      <c r="J2547" t="n">
        <v>0</v>
      </c>
      <c r="K2547" t="n">
        <v>0</v>
      </c>
      <c r="L2547" t="n">
        <v>0</v>
      </c>
      <c r="M2547" t="n">
        <v>0</v>
      </c>
      <c r="N2547" t="n">
        <v>0</v>
      </c>
      <c r="O2547" t="n">
        <v>0</v>
      </c>
      <c r="P2547" t="n">
        <v>0</v>
      </c>
      <c r="Q2547" t="n">
        <v>0</v>
      </c>
      <c r="R2547" t="n">
        <v>0</v>
      </c>
      <c r="S2547" t="n">
        <v>0</v>
      </c>
      <c r="T2547" t="n">
        <v>0</v>
      </c>
      <c r="U2547" t="n">
        <v>0</v>
      </c>
      <c r="V2547" s="2" t="inlineStr"/>
    </row>
    <row r="2548" ht="15" customHeight="1">
      <c r="A2548" t="inlineStr">
        <is>
          <t>A 55846-2022</t>
        </is>
      </c>
      <c r="B2548" t="inlineStr">
        <is>
          <t>avverkningsanmälan</t>
        </is>
      </c>
      <c r="C2548" t="inlineStr">
        <is>
          <t>Föryngringsavverkning</t>
        </is>
      </c>
      <c r="D2548" s="1" t="n">
        <v>44888</v>
      </c>
      <c r="E2548" s="1" t="n">
        <v>46313</v>
      </c>
      <c r="F2548" t="inlineStr">
        <is>
          <t>SÖDERMANLANDS LÄN</t>
        </is>
      </c>
      <c r="G2548" t="inlineStr">
        <is>
          <t>KATRINEHOLM</t>
        </is>
      </c>
      <c r="I2548" t="n">
        <v>6.5</v>
      </c>
      <c r="J2548" t="n">
        <v>0</v>
      </c>
      <c r="K2548" t="n">
        <v>0</v>
      </c>
      <c r="L2548" t="n">
        <v>0</v>
      </c>
      <c r="M2548" t="n">
        <v>0</v>
      </c>
      <c r="N2548" t="n">
        <v>0</v>
      </c>
      <c r="O2548" t="n">
        <v>0</v>
      </c>
      <c r="P2548" t="n">
        <v>0</v>
      </c>
      <c r="Q2548" t="n">
        <v>0</v>
      </c>
      <c r="R2548" t="n">
        <v>0</v>
      </c>
      <c r="S2548" t="n">
        <v>0</v>
      </c>
      <c r="T2548" t="n">
        <v>0</v>
      </c>
      <c r="U2548" t="n">
        <v>0</v>
      </c>
      <c r="V2548" s="2" t="inlineStr"/>
    </row>
    <row r="2549" ht="15" customHeight="1">
      <c r="A2549" t="inlineStr">
        <is>
          <t>A 54395-2025</t>
        </is>
      </c>
      <c r="B2549" t="inlineStr">
        <is>
          <t>avverkningsanmälan</t>
        </is>
      </c>
      <c r="C2549" t="inlineStr">
        <is>
          <t>Föryngringsavverkning</t>
        </is>
      </c>
      <c r="D2549" s="1" t="n">
        <v>45964</v>
      </c>
      <c r="E2549" s="1" t="n">
        <v>46313</v>
      </c>
      <c r="F2549" t="inlineStr">
        <is>
          <t>SÖDERMANLANDS LÄN</t>
        </is>
      </c>
      <c r="G2549" t="inlineStr">
        <is>
          <t>KATRINEHOLM</t>
        </is>
      </c>
      <c r="I2549" t="n">
        <v>0.7</v>
      </c>
      <c r="J2549" t="n">
        <v>0</v>
      </c>
      <c r="K2549" t="n">
        <v>0</v>
      </c>
      <c r="L2549" t="n">
        <v>0</v>
      </c>
      <c r="M2549" t="n">
        <v>0</v>
      </c>
      <c r="N2549" t="n">
        <v>0</v>
      </c>
      <c r="O2549" t="n">
        <v>0</v>
      </c>
      <c r="P2549" t="n">
        <v>0</v>
      </c>
      <c r="Q2549" t="n">
        <v>0</v>
      </c>
      <c r="R2549" t="n">
        <v>0</v>
      </c>
      <c r="S2549" t="n">
        <v>0</v>
      </c>
      <c r="T2549" t="n">
        <v>0</v>
      </c>
      <c r="U2549" t="n">
        <v>0</v>
      </c>
      <c r="V2549" s="2" t="inlineStr"/>
    </row>
    <row r="2550" ht="15" customHeight="1">
      <c r="A2550" t="inlineStr">
        <is>
          <t>A 38209-2023</t>
        </is>
      </c>
      <c r="B2550" t="inlineStr">
        <is>
          <t>avverkningsanmälan</t>
        </is>
      </c>
      <c r="C2550" t="inlineStr">
        <is>
          <t>Föryngringsavverkning</t>
        </is>
      </c>
      <c r="D2550" s="1" t="n">
        <v>45161</v>
      </c>
      <c r="E2550" s="1" t="n">
        <v>46313</v>
      </c>
      <c r="F2550" t="inlineStr">
        <is>
          <t>SÖDERMANLANDS LÄN</t>
        </is>
      </c>
      <c r="G2550" t="inlineStr">
        <is>
          <t>FLEN</t>
        </is>
      </c>
      <c r="I2550" t="n">
        <v>2.7</v>
      </c>
      <c r="J2550" t="n">
        <v>0</v>
      </c>
      <c r="K2550" t="n">
        <v>0</v>
      </c>
      <c r="L2550" t="n">
        <v>0</v>
      </c>
      <c r="M2550" t="n">
        <v>0</v>
      </c>
      <c r="N2550" t="n">
        <v>0</v>
      </c>
      <c r="O2550" t="n">
        <v>0</v>
      </c>
      <c r="P2550" t="n">
        <v>0</v>
      </c>
      <c r="Q2550" t="n">
        <v>0</v>
      </c>
      <c r="R2550" t="n">
        <v>0</v>
      </c>
      <c r="S2550" t="n">
        <v>0</v>
      </c>
      <c r="T2550" t="n">
        <v>0</v>
      </c>
      <c r="U2550" t="n">
        <v>0</v>
      </c>
      <c r="V2550" s="2" t="inlineStr"/>
    </row>
    <row r="2551" ht="15" customHeight="1">
      <c r="A2551" t="inlineStr">
        <is>
          <t>A 21917-2022</t>
        </is>
      </c>
      <c r="B2551" t="inlineStr">
        <is>
          <t>avverkningsanmälan</t>
        </is>
      </c>
      <c r="C2551" t="inlineStr">
        <is>
          <t>Föryngringsavverkning</t>
        </is>
      </c>
      <c r="D2551" s="1" t="n">
        <v>44711</v>
      </c>
      <c r="E2551" s="1" t="n">
        <v>46313</v>
      </c>
      <c r="F2551" t="inlineStr">
        <is>
          <t>SÖDERMANLANDS LÄN</t>
        </is>
      </c>
      <c r="G2551" t="inlineStr">
        <is>
          <t>NYKÖPING</t>
        </is>
      </c>
      <c r="I2551" t="n">
        <v>1.8</v>
      </c>
      <c r="J2551" t="n">
        <v>0</v>
      </c>
      <c r="K2551" t="n">
        <v>0</v>
      </c>
      <c r="L2551" t="n">
        <v>0</v>
      </c>
      <c r="M2551" t="n">
        <v>0</v>
      </c>
      <c r="N2551" t="n">
        <v>0</v>
      </c>
      <c r="O2551" t="n">
        <v>0</v>
      </c>
      <c r="P2551" t="n">
        <v>0</v>
      </c>
      <c r="Q2551" t="n">
        <v>0</v>
      </c>
      <c r="R2551" t="n">
        <v>0</v>
      </c>
      <c r="S2551" t="n">
        <v>0</v>
      </c>
      <c r="T2551" t="n">
        <v>0</v>
      </c>
      <c r="U2551" t="n">
        <v>0</v>
      </c>
      <c r="V2551" s="2" t="inlineStr"/>
    </row>
    <row r="2552" ht="15" customHeight="1">
      <c r="A2552" t="inlineStr">
        <is>
          <t>A 30130-2026</t>
        </is>
      </c>
      <c r="B2552" t="inlineStr">
        <is>
          <t>avverkningsanmälan</t>
        </is>
      </c>
      <c r="C2552" t="inlineStr">
        <is>
          <t>Föryngringsavverkning</t>
        </is>
      </c>
      <c r="D2552" s="1" t="n">
        <v>46206</v>
      </c>
      <c r="E2552" s="1" t="n">
        <v>46313</v>
      </c>
      <c r="F2552" t="inlineStr">
        <is>
          <t>SÖDERMANLANDS LÄN</t>
        </is>
      </c>
      <c r="G2552" t="inlineStr">
        <is>
          <t>GNESTA</t>
        </is>
      </c>
      <c r="I2552" t="n">
        <v>1.4</v>
      </c>
      <c r="J2552" t="n">
        <v>0</v>
      </c>
      <c r="K2552" t="n">
        <v>0</v>
      </c>
      <c r="L2552" t="n">
        <v>0</v>
      </c>
      <c r="M2552" t="n">
        <v>0</v>
      </c>
      <c r="N2552" t="n">
        <v>0</v>
      </c>
      <c r="O2552" t="n">
        <v>0</v>
      </c>
      <c r="P2552" t="n">
        <v>0</v>
      </c>
      <c r="Q2552" t="n">
        <v>0</v>
      </c>
      <c r="R2552" t="n">
        <v>0</v>
      </c>
      <c r="S2552" t="n">
        <v>0</v>
      </c>
      <c r="T2552" t="n">
        <v>0</v>
      </c>
      <c r="U2552" t="n">
        <v>0</v>
      </c>
      <c r="V2552" s="2" t="inlineStr"/>
    </row>
    <row r="2553" ht="15" customHeight="1">
      <c r="A2553" t="inlineStr">
        <is>
          <t>A 55829-2025</t>
        </is>
      </c>
      <c r="B2553" t="inlineStr">
        <is>
          <t>avverkningsanmälan</t>
        </is>
      </c>
      <c r="C2553" t="inlineStr">
        <is>
          <t>Föryngringsavverkning</t>
        </is>
      </c>
      <c r="D2553" s="1" t="n">
        <v>45972</v>
      </c>
      <c r="E2553" s="1" t="n">
        <v>46313</v>
      </c>
      <c r="F2553" t="inlineStr">
        <is>
          <t>SÖDERMANLANDS LÄN</t>
        </is>
      </c>
      <c r="G2553" t="inlineStr">
        <is>
          <t>KATRINEHOLM</t>
        </is>
      </c>
      <c r="I2553" t="n">
        <v>3.2</v>
      </c>
      <c r="J2553" t="n">
        <v>0</v>
      </c>
      <c r="K2553" t="n">
        <v>0</v>
      </c>
      <c r="L2553" t="n">
        <v>0</v>
      </c>
      <c r="M2553" t="n">
        <v>0</v>
      </c>
      <c r="N2553" t="n">
        <v>0</v>
      </c>
      <c r="O2553" t="n">
        <v>0</v>
      </c>
      <c r="P2553" t="n">
        <v>0</v>
      </c>
      <c r="Q2553" t="n">
        <v>0</v>
      </c>
      <c r="R2553" t="n">
        <v>0</v>
      </c>
      <c r="S2553" t="n">
        <v>0</v>
      </c>
      <c r="T2553" t="n">
        <v>0</v>
      </c>
      <c r="U2553" t="n">
        <v>0</v>
      </c>
      <c r="V2553" s="2" t="inlineStr"/>
    </row>
    <row r="2554" ht="15" customHeight="1">
      <c r="A2554" t="inlineStr">
        <is>
          <t>A 1020-2026</t>
        </is>
      </c>
      <c r="B2554" t="inlineStr">
        <is>
          <t>avverkningsanmälan</t>
        </is>
      </c>
      <c r="C2554" t="inlineStr">
        <is>
          <t>Föryngringsavverkning</t>
        </is>
      </c>
      <c r="D2554" s="1" t="n">
        <v>46030</v>
      </c>
      <c r="E2554" s="1" t="n">
        <v>46313</v>
      </c>
      <c r="F2554" t="inlineStr">
        <is>
          <t>SÖDERMANLANDS LÄN</t>
        </is>
      </c>
      <c r="G2554" t="inlineStr">
        <is>
          <t>NYKÖPING</t>
        </is>
      </c>
      <c r="I2554" t="n">
        <v>1.7</v>
      </c>
      <c r="J2554" t="n">
        <v>0</v>
      </c>
      <c r="K2554" t="n">
        <v>0</v>
      </c>
      <c r="L2554" t="n">
        <v>0</v>
      </c>
      <c r="M2554" t="n">
        <v>0</v>
      </c>
      <c r="N2554" t="n">
        <v>0</v>
      </c>
      <c r="O2554" t="n">
        <v>0</v>
      </c>
      <c r="P2554" t="n">
        <v>0</v>
      </c>
      <c r="Q2554" t="n">
        <v>0</v>
      </c>
      <c r="R2554" t="n">
        <v>0</v>
      </c>
      <c r="S2554" t="n">
        <v>0</v>
      </c>
      <c r="T2554" t="n">
        <v>0</v>
      </c>
      <c r="U2554" t="n">
        <v>0</v>
      </c>
      <c r="V2554" s="2" t="inlineStr"/>
    </row>
    <row r="2555" ht="15" customHeight="1">
      <c r="A2555" t="inlineStr">
        <is>
          <t>A 61829-2023</t>
        </is>
      </c>
      <c r="B2555" t="inlineStr">
        <is>
          <t>avverkningsanmälan</t>
        </is>
      </c>
      <c r="C2555" t="inlineStr">
        <is>
          <t>Avverkning för annat ändamål</t>
        </is>
      </c>
      <c r="D2555" s="1" t="n">
        <v>45266</v>
      </c>
      <c r="E2555" s="1" t="n">
        <v>46313</v>
      </c>
      <c r="F2555" t="inlineStr">
        <is>
          <t>SÖDERMANLANDS LÄN</t>
        </is>
      </c>
      <c r="G2555" t="inlineStr">
        <is>
          <t>ESKILSTUNA</t>
        </is>
      </c>
      <c r="I2555" t="n">
        <v>0.6</v>
      </c>
      <c r="J2555" t="n">
        <v>0</v>
      </c>
      <c r="K2555" t="n">
        <v>0</v>
      </c>
      <c r="L2555" t="n">
        <v>0</v>
      </c>
      <c r="M2555" t="n">
        <v>0</v>
      </c>
      <c r="N2555" t="n">
        <v>0</v>
      </c>
      <c r="O2555" t="n">
        <v>0</v>
      </c>
      <c r="P2555" t="n">
        <v>0</v>
      </c>
      <c r="Q2555" t="n">
        <v>0</v>
      </c>
      <c r="R2555" t="n">
        <v>0</v>
      </c>
      <c r="S2555" t="n">
        <v>0</v>
      </c>
      <c r="T2555" t="n">
        <v>0</v>
      </c>
      <c r="U2555" t="n">
        <v>0</v>
      </c>
      <c r="V2555" s="2" t="inlineStr"/>
    </row>
    <row r="2556" ht="15" customHeight="1">
      <c r="A2556" t="inlineStr">
        <is>
          <t>A 61831-2023</t>
        </is>
      </c>
      <c r="B2556" t="inlineStr">
        <is>
          <t>avverkningsanmälan</t>
        </is>
      </c>
      <c r="C2556" t="inlineStr">
        <is>
          <t>Avverkning för annat ändamål</t>
        </is>
      </c>
      <c r="D2556" s="1" t="n">
        <v>45266</v>
      </c>
      <c r="E2556" s="1" t="n">
        <v>46313</v>
      </c>
      <c r="F2556" t="inlineStr">
        <is>
          <t>SÖDERMANLANDS LÄN</t>
        </is>
      </c>
      <c r="G2556" t="inlineStr">
        <is>
          <t>ESKILSTUNA</t>
        </is>
      </c>
      <c r="I2556" t="n">
        <v>1.4</v>
      </c>
      <c r="J2556" t="n">
        <v>0</v>
      </c>
      <c r="K2556" t="n">
        <v>0</v>
      </c>
      <c r="L2556" t="n">
        <v>0</v>
      </c>
      <c r="M2556" t="n">
        <v>0</v>
      </c>
      <c r="N2556" t="n">
        <v>0</v>
      </c>
      <c r="O2556" t="n">
        <v>0</v>
      </c>
      <c r="P2556" t="n">
        <v>0</v>
      </c>
      <c r="Q2556" t="n">
        <v>0</v>
      </c>
      <c r="R2556" t="n">
        <v>0</v>
      </c>
      <c r="S2556" t="n">
        <v>0</v>
      </c>
      <c r="T2556" t="n">
        <v>0</v>
      </c>
      <c r="U2556" t="n">
        <v>0</v>
      </c>
      <c r="V2556" s="2" t="inlineStr"/>
    </row>
    <row r="2557" ht="15" customHeight="1">
      <c r="A2557" t="inlineStr">
        <is>
          <t>A 13858-2022</t>
        </is>
      </c>
      <c r="B2557" t="inlineStr">
        <is>
          <t>avverkningsanmälan</t>
        </is>
      </c>
      <c r="C2557" t="inlineStr">
        <is>
          <t>Föryngringsavverkning</t>
        </is>
      </c>
      <c r="D2557" s="1" t="n">
        <v>44649</v>
      </c>
      <c r="E2557" s="1" t="n">
        <v>46313</v>
      </c>
      <c r="F2557" t="inlineStr">
        <is>
          <t>SÖDERMANLANDS LÄN</t>
        </is>
      </c>
      <c r="G2557" t="inlineStr">
        <is>
          <t>NYKÖPING</t>
        </is>
      </c>
      <c r="I2557" t="n">
        <v>1.9</v>
      </c>
      <c r="J2557" t="n">
        <v>0</v>
      </c>
      <c r="K2557" t="n">
        <v>0</v>
      </c>
      <c r="L2557" t="n">
        <v>0</v>
      </c>
      <c r="M2557" t="n">
        <v>0</v>
      </c>
      <c r="N2557" t="n">
        <v>0</v>
      </c>
      <c r="O2557" t="n">
        <v>0</v>
      </c>
      <c r="P2557" t="n">
        <v>0</v>
      </c>
      <c r="Q2557" t="n">
        <v>0</v>
      </c>
      <c r="R2557" t="n">
        <v>0</v>
      </c>
      <c r="S2557" t="n">
        <v>0</v>
      </c>
      <c r="T2557" t="n">
        <v>0</v>
      </c>
      <c r="U2557" t="n">
        <v>0</v>
      </c>
      <c r="V2557" s="2" t="inlineStr"/>
    </row>
    <row r="2558" ht="15" customHeight="1">
      <c r="A2558" t="inlineStr">
        <is>
          <t>A 2668-2023</t>
        </is>
      </c>
      <c r="B2558" t="inlineStr">
        <is>
          <t>avverkningsanmälan</t>
        </is>
      </c>
      <c r="C2558" t="inlineStr">
        <is>
          <t>Avverkning för annat ändamål</t>
        </is>
      </c>
      <c r="D2558" s="1" t="n">
        <v>44944</v>
      </c>
      <c r="E2558" s="1" t="n">
        <v>46313</v>
      </c>
      <c r="F2558" t="inlineStr">
        <is>
          <t>SÖDERMANLANDS LÄN</t>
        </is>
      </c>
      <c r="G2558" t="inlineStr">
        <is>
          <t>NYKÖPING</t>
        </is>
      </c>
      <c r="H2558" t="inlineStr">
        <is>
          <t>Sveaskog</t>
        </is>
      </c>
      <c r="I2558" t="n">
        <v>0.5</v>
      </c>
      <c r="J2558" t="n">
        <v>0</v>
      </c>
      <c r="K2558" t="n">
        <v>0</v>
      </c>
      <c r="L2558" t="n">
        <v>0</v>
      </c>
      <c r="M2558" t="n">
        <v>0</v>
      </c>
      <c r="N2558" t="n">
        <v>0</v>
      </c>
      <c r="O2558" t="n">
        <v>0</v>
      </c>
      <c r="P2558" t="n">
        <v>0</v>
      </c>
      <c r="Q2558" t="n">
        <v>0</v>
      </c>
      <c r="R2558" t="n">
        <v>0</v>
      </c>
      <c r="S2558" t="n">
        <v>0</v>
      </c>
      <c r="T2558" t="n">
        <v>0</v>
      </c>
      <c r="U2558" t="n">
        <v>0</v>
      </c>
      <c r="V2558" s="2" t="inlineStr"/>
    </row>
    <row r="2559" ht="15" customHeight="1">
      <c r="A2559" t="inlineStr">
        <is>
          <t>A 19452-2023</t>
        </is>
      </c>
      <c r="B2559" t="inlineStr">
        <is>
          <t>avverkningsanmälan</t>
        </is>
      </c>
      <c r="C2559" t="inlineStr">
        <is>
          <t>Föryngringsavverkning</t>
        </is>
      </c>
      <c r="D2559" s="1" t="n">
        <v>45050</v>
      </c>
      <c r="E2559" s="1" t="n">
        <v>46313</v>
      </c>
      <c r="F2559" t="inlineStr">
        <is>
          <t>SÖDERMANLANDS LÄN</t>
        </is>
      </c>
      <c r="G2559" t="inlineStr">
        <is>
          <t>KATRINEHOLM</t>
        </is>
      </c>
      <c r="H2559" t="inlineStr">
        <is>
          <t>Holmen skog AB</t>
        </is>
      </c>
      <c r="I2559" t="n">
        <v>4.7</v>
      </c>
      <c r="J2559" t="n">
        <v>0</v>
      </c>
      <c r="K2559" t="n">
        <v>0</v>
      </c>
      <c r="L2559" t="n">
        <v>0</v>
      </c>
      <c r="M2559" t="n">
        <v>0</v>
      </c>
      <c r="N2559" t="n">
        <v>0</v>
      </c>
      <c r="O2559" t="n">
        <v>0</v>
      </c>
      <c r="P2559" t="n">
        <v>0</v>
      </c>
      <c r="Q2559" t="n">
        <v>0</v>
      </c>
      <c r="R2559" t="n">
        <v>0</v>
      </c>
      <c r="S2559" t="n">
        <v>0</v>
      </c>
      <c r="T2559" t="n">
        <v>0</v>
      </c>
      <c r="U2559" t="n">
        <v>0</v>
      </c>
      <c r="V2559" s="2" t="inlineStr"/>
    </row>
    <row r="2560" ht="15" customHeight="1">
      <c r="A2560" t="inlineStr">
        <is>
          <t>A 61367-2021</t>
        </is>
      </c>
      <c r="B2560" t="inlineStr">
        <is>
          <t>avverkningsanmälan</t>
        </is>
      </c>
      <c r="C2560" t="inlineStr">
        <is>
          <t>Föryngringsavverkning</t>
        </is>
      </c>
      <c r="D2560" s="1" t="n">
        <v>44499</v>
      </c>
      <c r="E2560" s="1" t="n">
        <v>46313</v>
      </c>
      <c r="F2560" t="inlineStr">
        <is>
          <t>SÖDERMANLANDS LÄN</t>
        </is>
      </c>
      <c r="G2560" t="inlineStr">
        <is>
          <t>ESKILSTUNA</t>
        </is>
      </c>
      <c r="I2560" t="n">
        <v>3.8</v>
      </c>
      <c r="J2560" t="n">
        <v>0</v>
      </c>
      <c r="K2560" t="n">
        <v>0</v>
      </c>
      <c r="L2560" t="n">
        <v>0</v>
      </c>
      <c r="M2560" t="n">
        <v>0</v>
      </c>
      <c r="N2560" t="n">
        <v>0</v>
      </c>
      <c r="O2560" t="n">
        <v>0</v>
      </c>
      <c r="P2560" t="n">
        <v>0</v>
      </c>
      <c r="Q2560" t="n">
        <v>0</v>
      </c>
      <c r="R2560" t="n">
        <v>0</v>
      </c>
      <c r="S2560" t="n">
        <v>0</v>
      </c>
      <c r="T2560" t="n">
        <v>0</v>
      </c>
      <c r="U2560" t="n">
        <v>0</v>
      </c>
      <c r="V2560" s="2" t="inlineStr"/>
    </row>
    <row r="2561" ht="15" customHeight="1">
      <c r="A2561" t="inlineStr">
        <is>
          <t>A 33653-2024</t>
        </is>
      </c>
      <c r="B2561" t="inlineStr">
        <is>
          <t>avverkningsanmälan</t>
        </is>
      </c>
      <c r="C2561" t="inlineStr">
        <is>
          <t>Föryngringsavverkning</t>
        </is>
      </c>
      <c r="D2561" s="1" t="n">
        <v>45520</v>
      </c>
      <c r="E2561" s="1" t="n">
        <v>46313</v>
      </c>
      <c r="F2561" t="inlineStr">
        <is>
          <t>SÖDERMANLANDS LÄN</t>
        </is>
      </c>
      <c r="G2561" t="inlineStr">
        <is>
          <t>NYKÖPING</t>
        </is>
      </c>
      <c r="I2561" t="n">
        <v>5.5</v>
      </c>
      <c r="J2561" t="n">
        <v>0</v>
      </c>
      <c r="K2561" t="n">
        <v>0</v>
      </c>
      <c r="L2561" t="n">
        <v>0</v>
      </c>
      <c r="M2561" t="n">
        <v>0</v>
      </c>
      <c r="N2561" t="n">
        <v>0</v>
      </c>
      <c r="O2561" t="n">
        <v>0</v>
      </c>
      <c r="P2561" t="n">
        <v>0</v>
      </c>
      <c r="Q2561" t="n">
        <v>0</v>
      </c>
      <c r="R2561" t="n">
        <v>0</v>
      </c>
      <c r="S2561" t="n">
        <v>0</v>
      </c>
      <c r="T2561" t="n">
        <v>0</v>
      </c>
      <c r="U2561" t="n">
        <v>0</v>
      </c>
      <c r="V2561" s="2" t="inlineStr"/>
    </row>
    <row r="2562" ht="15" customHeight="1">
      <c r="A2562" t="inlineStr">
        <is>
          <t>A 30212-2026</t>
        </is>
      </c>
      <c r="B2562" t="inlineStr">
        <is>
          <t>avverkningsanmälan</t>
        </is>
      </c>
      <c r="C2562" t="inlineStr">
        <is>
          <t>Föryngringsavverkning</t>
        </is>
      </c>
      <c r="D2562" s="1" t="n">
        <v>46206</v>
      </c>
      <c r="E2562" s="1" t="n">
        <v>46313</v>
      </c>
      <c r="F2562" t="inlineStr">
        <is>
          <t>SÖDERMANLANDS LÄN</t>
        </is>
      </c>
      <c r="G2562" t="inlineStr">
        <is>
          <t>NYKÖPING</t>
        </is>
      </c>
      <c r="I2562" t="n">
        <v>1.6</v>
      </c>
      <c r="J2562" t="n">
        <v>0</v>
      </c>
      <c r="K2562" t="n">
        <v>0</v>
      </c>
      <c r="L2562" t="n">
        <v>0</v>
      </c>
      <c r="M2562" t="n">
        <v>0</v>
      </c>
      <c r="N2562" t="n">
        <v>0</v>
      </c>
      <c r="O2562" t="n">
        <v>0</v>
      </c>
      <c r="P2562" t="n">
        <v>0</v>
      </c>
      <c r="Q2562" t="n">
        <v>0</v>
      </c>
      <c r="R2562" t="n">
        <v>0</v>
      </c>
      <c r="S2562" t="n">
        <v>0</v>
      </c>
      <c r="T2562" t="n">
        <v>0</v>
      </c>
      <c r="U2562" t="n">
        <v>0</v>
      </c>
      <c r="V2562" s="2" t="inlineStr"/>
    </row>
    <row r="2563" ht="15" customHeight="1">
      <c r="A2563" t="inlineStr">
        <is>
          <t>A 43837-2022</t>
        </is>
      </c>
      <c r="B2563" t="inlineStr">
        <is>
          <t>avverkningsanmälan</t>
        </is>
      </c>
      <c r="C2563" t="inlineStr">
        <is>
          <t>Föryngringsavverkning</t>
        </is>
      </c>
      <c r="D2563" s="1" t="n">
        <v>44838</v>
      </c>
      <c r="E2563" s="1" t="n">
        <v>46313</v>
      </c>
      <c r="F2563" t="inlineStr">
        <is>
          <t>SÖDERMANLANDS LÄN</t>
        </is>
      </c>
      <c r="G2563" t="inlineStr">
        <is>
          <t>KATRINEHOLM</t>
        </is>
      </c>
      <c r="I2563" t="n">
        <v>1.6</v>
      </c>
      <c r="J2563" t="n">
        <v>0</v>
      </c>
      <c r="K2563" t="n">
        <v>0</v>
      </c>
      <c r="L2563" t="n">
        <v>0</v>
      </c>
      <c r="M2563" t="n">
        <v>0</v>
      </c>
      <c r="N2563" t="n">
        <v>0</v>
      </c>
      <c r="O2563" t="n">
        <v>0</v>
      </c>
      <c r="P2563" t="n">
        <v>0</v>
      </c>
      <c r="Q2563" t="n">
        <v>0</v>
      </c>
      <c r="R2563" t="n">
        <v>0</v>
      </c>
      <c r="S2563" t="n">
        <v>0</v>
      </c>
      <c r="T2563" t="n">
        <v>0</v>
      </c>
      <c r="U2563" t="n">
        <v>0</v>
      </c>
      <c r="V2563" s="2" t="inlineStr"/>
    </row>
    <row r="2564" ht="15" customHeight="1">
      <c r="A2564" t="inlineStr">
        <is>
          <t>A 70560-2021</t>
        </is>
      </c>
      <c r="B2564" t="inlineStr">
        <is>
          <t>avverkningsanmälan</t>
        </is>
      </c>
      <c r="C2564" t="inlineStr">
        <is>
          <t>Föryngringsavverkning</t>
        </is>
      </c>
      <c r="D2564" s="1" t="n">
        <v>44536</v>
      </c>
      <c r="E2564" s="1" t="n">
        <v>46313</v>
      </c>
      <c r="F2564" t="inlineStr">
        <is>
          <t>SÖDERMANLANDS LÄN</t>
        </is>
      </c>
      <c r="G2564" t="inlineStr">
        <is>
          <t>ESKILSTUNA</t>
        </is>
      </c>
      <c r="I2564" t="n">
        <v>0.9</v>
      </c>
      <c r="J2564" t="n">
        <v>0</v>
      </c>
      <c r="K2564" t="n">
        <v>0</v>
      </c>
      <c r="L2564" t="n">
        <v>0</v>
      </c>
      <c r="M2564" t="n">
        <v>0</v>
      </c>
      <c r="N2564" t="n">
        <v>0</v>
      </c>
      <c r="O2564" t="n">
        <v>0</v>
      </c>
      <c r="P2564" t="n">
        <v>0</v>
      </c>
      <c r="Q2564" t="n">
        <v>0</v>
      </c>
      <c r="R2564" t="n">
        <v>0</v>
      </c>
      <c r="S2564" t="n">
        <v>0</v>
      </c>
      <c r="T2564" t="n">
        <v>0</v>
      </c>
      <c r="U2564" t="n">
        <v>0</v>
      </c>
      <c r="V2564" s="2" t="inlineStr"/>
    </row>
    <row r="2565" ht="15" customHeight="1">
      <c r="A2565" t="inlineStr">
        <is>
          <t>A 51397-2023</t>
        </is>
      </c>
      <c r="B2565" t="inlineStr">
        <is>
          <t>avverkningsanmälan</t>
        </is>
      </c>
      <c r="C2565" t="inlineStr">
        <is>
          <t>Föryngringsavverkning</t>
        </is>
      </c>
      <c r="D2565" s="1" t="n">
        <v>45214</v>
      </c>
      <c r="E2565" s="1" t="n">
        <v>46313</v>
      </c>
      <c r="F2565" t="inlineStr">
        <is>
          <t>SÖDERMANLANDS LÄN</t>
        </is>
      </c>
      <c r="G2565" t="inlineStr">
        <is>
          <t>KATRINEHOLM</t>
        </is>
      </c>
      <c r="I2565" t="n">
        <v>4.9</v>
      </c>
      <c r="J2565" t="n">
        <v>0</v>
      </c>
      <c r="K2565" t="n">
        <v>0</v>
      </c>
      <c r="L2565" t="n">
        <v>0</v>
      </c>
      <c r="M2565" t="n">
        <v>0</v>
      </c>
      <c r="N2565" t="n">
        <v>0</v>
      </c>
      <c r="O2565" t="n">
        <v>0</v>
      </c>
      <c r="P2565" t="n">
        <v>0</v>
      </c>
      <c r="Q2565" t="n">
        <v>0</v>
      </c>
      <c r="R2565" t="n">
        <v>0</v>
      </c>
      <c r="S2565" t="n">
        <v>0</v>
      </c>
      <c r="T2565" t="n">
        <v>0</v>
      </c>
      <c r="U2565" t="n">
        <v>0</v>
      </c>
      <c r="V2565" s="2" t="inlineStr"/>
    </row>
    <row r="2566" ht="15" customHeight="1">
      <c r="A2566" t="inlineStr">
        <is>
          <t>A 58267-2023</t>
        </is>
      </c>
      <c r="B2566" t="inlineStr">
        <is>
          <t>avverkningsanmälan</t>
        </is>
      </c>
      <c r="C2566" t="inlineStr">
        <is>
          <t>Föryngringsavverkning</t>
        </is>
      </c>
      <c r="D2566" s="1" t="n">
        <v>45250</v>
      </c>
      <c r="E2566" s="1" t="n">
        <v>46313</v>
      </c>
      <c r="F2566" t="inlineStr">
        <is>
          <t>SÖDERMANLANDS LÄN</t>
        </is>
      </c>
      <c r="G2566" t="inlineStr">
        <is>
          <t>FLEN</t>
        </is>
      </c>
      <c r="H2566" t="inlineStr">
        <is>
          <t>Holmen skog AB</t>
        </is>
      </c>
      <c r="I2566" t="n">
        <v>14.7</v>
      </c>
      <c r="J2566" t="n">
        <v>0</v>
      </c>
      <c r="K2566" t="n">
        <v>0</v>
      </c>
      <c r="L2566" t="n">
        <v>0</v>
      </c>
      <c r="M2566" t="n">
        <v>0</v>
      </c>
      <c r="N2566" t="n">
        <v>0</v>
      </c>
      <c r="O2566" t="n">
        <v>0</v>
      </c>
      <c r="P2566" t="n">
        <v>0</v>
      </c>
      <c r="Q2566" t="n">
        <v>0</v>
      </c>
      <c r="R2566" t="n">
        <v>0</v>
      </c>
      <c r="S2566" t="n">
        <v>0</v>
      </c>
      <c r="T2566" t="n">
        <v>0</v>
      </c>
      <c r="U2566" t="n">
        <v>0</v>
      </c>
      <c r="V2566" s="2" t="inlineStr"/>
    </row>
    <row r="2567" ht="15" customHeight="1">
      <c r="A2567" t="inlineStr">
        <is>
          <t>A 61007-2021</t>
        </is>
      </c>
      <c r="B2567" t="inlineStr">
        <is>
          <t>avverkningsanmälan</t>
        </is>
      </c>
      <c r="C2567" t="inlineStr">
        <is>
          <t>Avverkning för annat ändamål</t>
        </is>
      </c>
      <c r="D2567" s="1" t="n">
        <v>44497</v>
      </c>
      <c r="E2567" s="1" t="n">
        <v>46313</v>
      </c>
      <c r="F2567" t="inlineStr">
        <is>
          <t>SÖDERMANLANDS LÄN</t>
        </is>
      </c>
      <c r="G2567" t="inlineStr">
        <is>
          <t>NYKÖPING</t>
        </is>
      </c>
      <c r="I2567" t="n">
        <v>2.7</v>
      </c>
      <c r="J2567" t="n">
        <v>0</v>
      </c>
      <c r="K2567" t="n">
        <v>0</v>
      </c>
      <c r="L2567" t="n">
        <v>0</v>
      </c>
      <c r="M2567" t="n">
        <v>0</v>
      </c>
      <c r="N2567" t="n">
        <v>0</v>
      </c>
      <c r="O2567" t="n">
        <v>0</v>
      </c>
      <c r="P2567" t="n">
        <v>0</v>
      </c>
      <c r="Q2567" t="n">
        <v>0</v>
      </c>
      <c r="R2567" t="n">
        <v>0</v>
      </c>
      <c r="S2567" t="n">
        <v>0</v>
      </c>
      <c r="T2567" t="n">
        <v>0</v>
      </c>
      <c r="U2567" t="n">
        <v>0</v>
      </c>
      <c r="V2567" s="2" t="inlineStr"/>
    </row>
    <row r="2568" ht="15" customHeight="1">
      <c r="A2568" t="inlineStr">
        <is>
          <t>A 42520-2022</t>
        </is>
      </c>
      <c r="B2568" t="inlineStr">
        <is>
          <t>avverkningsanmälan</t>
        </is>
      </c>
      <c r="C2568" t="inlineStr">
        <is>
          <t>Föryngringsavverkning</t>
        </is>
      </c>
      <c r="D2568" s="1" t="n">
        <v>44831</v>
      </c>
      <c r="E2568" s="1" t="n">
        <v>46313</v>
      </c>
      <c r="F2568" t="inlineStr">
        <is>
          <t>SÖDERMANLANDS LÄN</t>
        </is>
      </c>
      <c r="G2568" t="inlineStr">
        <is>
          <t>GNESTA</t>
        </is>
      </c>
      <c r="I2568" t="n">
        <v>2.2</v>
      </c>
      <c r="J2568" t="n">
        <v>0</v>
      </c>
      <c r="K2568" t="n">
        <v>0</v>
      </c>
      <c r="L2568" t="n">
        <v>0</v>
      </c>
      <c r="M2568" t="n">
        <v>0</v>
      </c>
      <c r="N2568" t="n">
        <v>0</v>
      </c>
      <c r="O2568" t="n">
        <v>0</v>
      </c>
      <c r="P2568" t="n">
        <v>0</v>
      </c>
      <c r="Q2568" t="n">
        <v>0</v>
      </c>
      <c r="R2568" t="n">
        <v>0</v>
      </c>
      <c r="S2568" t="n">
        <v>0</v>
      </c>
      <c r="T2568" t="n">
        <v>0</v>
      </c>
      <c r="U2568" t="n">
        <v>0</v>
      </c>
      <c r="V2568" s="2" t="inlineStr"/>
    </row>
    <row r="2569" ht="15" customHeight="1">
      <c r="A2569" t="inlineStr">
        <is>
          <t>A 19670-2022</t>
        </is>
      </c>
      <c r="B2569" t="inlineStr">
        <is>
          <t>avverkningsanmälan</t>
        </is>
      </c>
      <c r="C2569" t="inlineStr">
        <is>
          <t>Föryngringsavverkning</t>
        </is>
      </c>
      <c r="D2569" s="1" t="n">
        <v>44694</v>
      </c>
      <c r="E2569" s="1" t="n">
        <v>46313</v>
      </c>
      <c r="F2569" t="inlineStr">
        <is>
          <t>SÖDERMANLANDS LÄN</t>
        </is>
      </c>
      <c r="G2569" t="inlineStr">
        <is>
          <t>KATRINEHOLM</t>
        </is>
      </c>
      <c r="I2569" t="n">
        <v>13.6</v>
      </c>
      <c r="J2569" t="n">
        <v>0</v>
      </c>
      <c r="K2569" t="n">
        <v>0</v>
      </c>
      <c r="L2569" t="n">
        <v>0</v>
      </c>
      <c r="M2569" t="n">
        <v>0</v>
      </c>
      <c r="N2569" t="n">
        <v>0</v>
      </c>
      <c r="O2569" t="n">
        <v>0</v>
      </c>
      <c r="P2569" t="n">
        <v>0</v>
      </c>
      <c r="Q2569" t="n">
        <v>0</v>
      </c>
      <c r="R2569" t="n">
        <v>0</v>
      </c>
      <c r="S2569" t="n">
        <v>0</v>
      </c>
      <c r="T2569" t="n">
        <v>0</v>
      </c>
      <c r="U2569" t="n">
        <v>0</v>
      </c>
      <c r="V2569" s="2" t="inlineStr"/>
    </row>
    <row r="2570" ht="15" customHeight="1">
      <c r="A2570" t="inlineStr">
        <is>
          <t>A 60512-2021</t>
        </is>
      </c>
      <c r="B2570" t="inlineStr">
        <is>
          <t>avverkningsanmälan</t>
        </is>
      </c>
      <c r="C2570" t="inlineStr">
        <is>
          <t>Föryngringsavverkning</t>
        </is>
      </c>
      <c r="D2570" s="1" t="n">
        <v>44496</v>
      </c>
      <c r="E2570" s="1" t="n">
        <v>46313</v>
      </c>
      <c r="F2570" t="inlineStr">
        <is>
          <t>SÖDERMANLANDS LÄN</t>
        </is>
      </c>
      <c r="G2570" t="inlineStr">
        <is>
          <t>NYKÖPING</t>
        </is>
      </c>
      <c r="I2570" t="n">
        <v>2.5</v>
      </c>
      <c r="J2570" t="n">
        <v>0</v>
      </c>
      <c r="K2570" t="n">
        <v>0</v>
      </c>
      <c r="L2570" t="n">
        <v>0</v>
      </c>
      <c r="M2570" t="n">
        <v>0</v>
      </c>
      <c r="N2570" t="n">
        <v>0</v>
      </c>
      <c r="O2570" t="n">
        <v>0</v>
      </c>
      <c r="P2570" t="n">
        <v>0</v>
      </c>
      <c r="Q2570" t="n">
        <v>0</v>
      </c>
      <c r="R2570" t="n">
        <v>0</v>
      </c>
      <c r="S2570" t="n">
        <v>0</v>
      </c>
      <c r="T2570" t="n">
        <v>0</v>
      </c>
      <c r="U2570" t="n">
        <v>0</v>
      </c>
      <c r="V2570" s="2" t="inlineStr"/>
    </row>
    <row r="2571" ht="15" customHeight="1">
      <c r="A2571" t="inlineStr">
        <is>
          <t>A 49811-2023</t>
        </is>
      </c>
      <c r="B2571" t="inlineStr">
        <is>
          <t>avverkningsanmälan</t>
        </is>
      </c>
      <c r="C2571" t="inlineStr">
        <is>
          <t>Föryngringsavverkning</t>
        </is>
      </c>
      <c r="D2571" s="1" t="n">
        <v>45211</v>
      </c>
      <c r="E2571" s="1" t="n">
        <v>46313</v>
      </c>
      <c r="F2571" t="inlineStr">
        <is>
          <t>SÖDERMANLANDS LÄN</t>
        </is>
      </c>
      <c r="G2571" t="inlineStr">
        <is>
          <t>FLEN</t>
        </is>
      </c>
      <c r="I2571" t="n">
        <v>1.3</v>
      </c>
      <c r="J2571" t="n">
        <v>0</v>
      </c>
      <c r="K2571" t="n">
        <v>0</v>
      </c>
      <c r="L2571" t="n">
        <v>0</v>
      </c>
      <c r="M2571" t="n">
        <v>0</v>
      </c>
      <c r="N2571" t="n">
        <v>0</v>
      </c>
      <c r="O2571" t="n">
        <v>0</v>
      </c>
      <c r="P2571" t="n">
        <v>0</v>
      </c>
      <c r="Q2571" t="n">
        <v>0</v>
      </c>
      <c r="R2571" t="n">
        <v>0</v>
      </c>
      <c r="S2571" t="n">
        <v>0</v>
      </c>
      <c r="T2571" t="n">
        <v>0</v>
      </c>
      <c r="U2571" t="n">
        <v>0</v>
      </c>
      <c r="V2571" s="2" t="inlineStr"/>
    </row>
    <row r="2572" ht="15" customHeight="1">
      <c r="A2572" t="inlineStr">
        <is>
          <t>A 6606-2022</t>
        </is>
      </c>
      <c r="B2572" t="inlineStr">
        <is>
          <t>avverkningsanmälan</t>
        </is>
      </c>
      <c r="C2572" t="inlineStr">
        <is>
          <t>Föryngringsavverkning</t>
        </is>
      </c>
      <c r="D2572" s="1" t="n">
        <v>44601</v>
      </c>
      <c r="E2572" s="1" t="n">
        <v>46313</v>
      </c>
      <c r="F2572" t="inlineStr">
        <is>
          <t>SÖDERMANLANDS LÄN</t>
        </is>
      </c>
      <c r="G2572" t="inlineStr">
        <is>
          <t>KATRINEHOLM</t>
        </is>
      </c>
      <c r="I2572" t="n">
        <v>1.6</v>
      </c>
      <c r="J2572" t="n">
        <v>0</v>
      </c>
      <c r="K2572" t="n">
        <v>0</v>
      </c>
      <c r="L2572" t="n">
        <v>0</v>
      </c>
      <c r="M2572" t="n">
        <v>0</v>
      </c>
      <c r="N2572" t="n">
        <v>0</v>
      </c>
      <c r="O2572" t="n">
        <v>0</v>
      </c>
      <c r="P2572" t="n">
        <v>0</v>
      </c>
      <c r="Q2572" t="n">
        <v>0</v>
      </c>
      <c r="R2572" t="n">
        <v>0</v>
      </c>
      <c r="S2572" t="n">
        <v>0</v>
      </c>
      <c r="T2572" t="n">
        <v>0</v>
      </c>
      <c r="U2572" t="n">
        <v>0</v>
      </c>
      <c r="V2572" s="2" t="inlineStr"/>
    </row>
    <row r="2573" ht="15" customHeight="1">
      <c r="A2573" t="inlineStr">
        <is>
          <t>A 4122-2023</t>
        </is>
      </c>
      <c r="B2573" t="inlineStr">
        <is>
          <t>avverkningsanmälan</t>
        </is>
      </c>
      <c r="C2573" t="inlineStr">
        <is>
          <t>Föryngringsavverkning</t>
        </is>
      </c>
      <c r="D2573" s="1" t="n">
        <v>44952</v>
      </c>
      <c r="E2573" s="1" t="n">
        <v>46313</v>
      </c>
      <c r="F2573" t="inlineStr">
        <is>
          <t>SÖDERMANLANDS LÄN</t>
        </is>
      </c>
      <c r="G2573" t="inlineStr">
        <is>
          <t>KATRINEHOLM</t>
        </is>
      </c>
      <c r="I2573" t="n">
        <v>9</v>
      </c>
      <c r="J2573" t="n">
        <v>0</v>
      </c>
      <c r="K2573" t="n">
        <v>0</v>
      </c>
      <c r="L2573" t="n">
        <v>0</v>
      </c>
      <c r="M2573" t="n">
        <v>0</v>
      </c>
      <c r="N2573" t="n">
        <v>0</v>
      </c>
      <c r="O2573" t="n">
        <v>0</v>
      </c>
      <c r="P2573" t="n">
        <v>0</v>
      </c>
      <c r="Q2573" t="n">
        <v>0</v>
      </c>
      <c r="R2573" t="n">
        <v>0</v>
      </c>
      <c r="S2573" t="n">
        <v>0</v>
      </c>
      <c r="T2573" t="n">
        <v>0</v>
      </c>
      <c r="U2573" t="n">
        <v>0</v>
      </c>
      <c r="V2573" s="2" t="inlineStr"/>
    </row>
    <row r="2574" ht="15" customHeight="1">
      <c r="A2574" t="inlineStr">
        <is>
          <t>A 44331-2024</t>
        </is>
      </c>
      <c r="B2574" t="inlineStr">
        <is>
          <t>avverkningsanmälan</t>
        </is>
      </c>
      <c r="C2574" t="inlineStr">
        <is>
          <t>Föryngringsavverkning</t>
        </is>
      </c>
      <c r="D2574" s="1" t="n">
        <v>45573</v>
      </c>
      <c r="E2574" s="1" t="n">
        <v>46313</v>
      </c>
      <c r="F2574" t="inlineStr">
        <is>
          <t>SÖDERMANLANDS LÄN</t>
        </is>
      </c>
      <c r="G2574" t="inlineStr">
        <is>
          <t>GNESTA</t>
        </is>
      </c>
      <c r="I2574" t="n">
        <v>1.3</v>
      </c>
      <c r="J2574" t="n">
        <v>0</v>
      </c>
      <c r="K2574" t="n">
        <v>0</v>
      </c>
      <c r="L2574" t="n">
        <v>0</v>
      </c>
      <c r="M2574" t="n">
        <v>0</v>
      </c>
      <c r="N2574" t="n">
        <v>0</v>
      </c>
      <c r="O2574" t="n">
        <v>0</v>
      </c>
      <c r="P2574" t="n">
        <v>0</v>
      </c>
      <c r="Q2574" t="n">
        <v>0</v>
      </c>
      <c r="R2574" t="n">
        <v>0</v>
      </c>
      <c r="S2574" t="n">
        <v>0</v>
      </c>
      <c r="T2574" t="n">
        <v>0</v>
      </c>
      <c r="U2574" t="n">
        <v>0</v>
      </c>
      <c r="V2574" s="2" t="inlineStr"/>
    </row>
    <row r="2575" ht="15" customHeight="1">
      <c r="A2575" t="inlineStr">
        <is>
          <t>A 11929-2022</t>
        </is>
      </c>
      <c r="B2575" t="inlineStr">
        <is>
          <t>avverkningsanmälan</t>
        </is>
      </c>
      <c r="C2575" t="inlineStr">
        <is>
          <t>Föryngringsavverkning</t>
        </is>
      </c>
      <c r="D2575" s="1" t="n">
        <v>44635</v>
      </c>
      <c r="E2575" s="1" t="n">
        <v>46313</v>
      </c>
      <c r="F2575" t="inlineStr">
        <is>
          <t>SÖDERMANLANDS LÄN</t>
        </is>
      </c>
      <c r="G2575" t="inlineStr">
        <is>
          <t>GNESTA</t>
        </is>
      </c>
      <c r="I2575" t="n">
        <v>6.8</v>
      </c>
      <c r="J2575" t="n">
        <v>0</v>
      </c>
      <c r="K2575" t="n">
        <v>0</v>
      </c>
      <c r="L2575" t="n">
        <v>0</v>
      </c>
      <c r="M2575" t="n">
        <v>0</v>
      </c>
      <c r="N2575" t="n">
        <v>0</v>
      </c>
      <c r="O2575" t="n">
        <v>0</v>
      </c>
      <c r="P2575" t="n">
        <v>0</v>
      </c>
      <c r="Q2575" t="n">
        <v>0</v>
      </c>
      <c r="R2575" t="n">
        <v>0</v>
      </c>
      <c r="S2575" t="n">
        <v>0</v>
      </c>
      <c r="T2575" t="n">
        <v>0</v>
      </c>
      <c r="U2575" t="n">
        <v>0</v>
      </c>
      <c r="V2575" s="2" t="inlineStr"/>
    </row>
    <row r="2576" ht="15" customHeight="1">
      <c r="A2576" t="inlineStr">
        <is>
          <t>A 31424-2022</t>
        </is>
      </c>
      <c r="B2576" t="inlineStr">
        <is>
          <t>avverkningsanmälan</t>
        </is>
      </c>
      <c r="C2576" t="inlineStr">
        <is>
          <t>Föryngringsavverkning</t>
        </is>
      </c>
      <c r="D2576" s="1" t="n">
        <v>44774</v>
      </c>
      <c r="E2576" s="1" t="n">
        <v>46313</v>
      </c>
      <c r="F2576" t="inlineStr">
        <is>
          <t>SÖDERMANLANDS LÄN</t>
        </is>
      </c>
      <c r="G2576" t="inlineStr">
        <is>
          <t>NYKÖPING</t>
        </is>
      </c>
      <c r="I2576" t="n">
        <v>2.4</v>
      </c>
      <c r="J2576" t="n">
        <v>0</v>
      </c>
      <c r="K2576" t="n">
        <v>0</v>
      </c>
      <c r="L2576" t="n">
        <v>0</v>
      </c>
      <c r="M2576" t="n">
        <v>0</v>
      </c>
      <c r="N2576" t="n">
        <v>0</v>
      </c>
      <c r="O2576" t="n">
        <v>0</v>
      </c>
      <c r="P2576" t="n">
        <v>0</v>
      </c>
      <c r="Q2576" t="n">
        <v>0</v>
      </c>
      <c r="R2576" t="n">
        <v>0</v>
      </c>
      <c r="S2576" t="n">
        <v>0</v>
      </c>
      <c r="T2576" t="n">
        <v>0</v>
      </c>
      <c r="U2576" t="n">
        <v>0</v>
      </c>
      <c r="V2576" s="2" t="inlineStr"/>
    </row>
    <row r="2577" ht="15" customHeight="1">
      <c r="A2577" t="inlineStr">
        <is>
          <t>A 1117-2022</t>
        </is>
      </c>
      <c r="B2577" t="inlineStr">
        <is>
          <t>avverkningsanmälan</t>
        </is>
      </c>
      <c r="C2577" t="inlineStr">
        <is>
          <t>Föryngringsavverkning</t>
        </is>
      </c>
      <c r="D2577" s="1" t="n">
        <v>44571</v>
      </c>
      <c r="E2577" s="1" t="n">
        <v>46313</v>
      </c>
      <c r="F2577" t="inlineStr">
        <is>
          <t>SÖDERMANLANDS LÄN</t>
        </is>
      </c>
      <c r="G2577" t="inlineStr">
        <is>
          <t>STRÄNGNÄS</t>
        </is>
      </c>
      <c r="I2577" t="n">
        <v>2.5</v>
      </c>
      <c r="J2577" t="n">
        <v>0</v>
      </c>
      <c r="K2577" t="n">
        <v>0</v>
      </c>
      <c r="L2577" t="n">
        <v>0</v>
      </c>
      <c r="M2577" t="n">
        <v>0</v>
      </c>
      <c r="N2577" t="n">
        <v>0</v>
      </c>
      <c r="O2577" t="n">
        <v>0</v>
      </c>
      <c r="P2577" t="n">
        <v>0</v>
      </c>
      <c r="Q2577" t="n">
        <v>0</v>
      </c>
      <c r="R2577" t="n">
        <v>0</v>
      </c>
      <c r="S2577" t="n">
        <v>0</v>
      </c>
      <c r="T2577" t="n">
        <v>0</v>
      </c>
      <c r="U2577" t="n">
        <v>0</v>
      </c>
      <c r="V2577" s="2" t="inlineStr"/>
    </row>
    <row r="2578" ht="15" customHeight="1">
      <c r="A2578" t="inlineStr">
        <is>
          <t>A 42368-2024</t>
        </is>
      </c>
      <c r="B2578" t="inlineStr">
        <is>
          <t>avverkningsanmälan</t>
        </is>
      </c>
      <c r="C2578" t="inlineStr">
        <is>
          <t>Avverkning för annat ändamål</t>
        </is>
      </c>
      <c r="D2578" s="1" t="n">
        <v>45564</v>
      </c>
      <c r="E2578" s="1" t="n">
        <v>46313</v>
      </c>
      <c r="F2578" t="inlineStr">
        <is>
          <t>SÖDERMANLANDS LÄN</t>
        </is>
      </c>
      <c r="G2578" t="inlineStr">
        <is>
          <t>NYKÖPING</t>
        </is>
      </c>
      <c r="I2578" t="n">
        <v>1.1</v>
      </c>
      <c r="J2578" t="n">
        <v>0</v>
      </c>
      <c r="K2578" t="n">
        <v>0</v>
      </c>
      <c r="L2578" t="n">
        <v>0</v>
      </c>
      <c r="M2578" t="n">
        <v>0</v>
      </c>
      <c r="N2578" t="n">
        <v>0</v>
      </c>
      <c r="O2578" t="n">
        <v>0</v>
      </c>
      <c r="P2578" t="n">
        <v>0</v>
      </c>
      <c r="Q2578" t="n">
        <v>0</v>
      </c>
      <c r="R2578" t="n">
        <v>0</v>
      </c>
      <c r="S2578" t="n">
        <v>0</v>
      </c>
      <c r="T2578" t="n">
        <v>0</v>
      </c>
      <c r="U2578" t="n">
        <v>0</v>
      </c>
      <c r="V2578" s="2" t="inlineStr"/>
    </row>
    <row r="2579" ht="15" customHeight="1">
      <c r="A2579" t="inlineStr">
        <is>
          <t>A 23347-2023</t>
        </is>
      </c>
      <c r="B2579" t="inlineStr">
        <is>
          <t>avverkningsanmälan</t>
        </is>
      </c>
      <c r="C2579" t="inlineStr">
        <is>
          <t>Föryngringsavverkning</t>
        </is>
      </c>
      <c r="D2579" s="1" t="n">
        <v>45076</v>
      </c>
      <c r="E2579" s="1" t="n">
        <v>46313</v>
      </c>
      <c r="F2579" t="inlineStr">
        <is>
          <t>SÖDERMANLANDS LÄN</t>
        </is>
      </c>
      <c r="G2579" t="inlineStr">
        <is>
          <t>KATRINEHOLM</t>
        </is>
      </c>
      <c r="I2579" t="n">
        <v>4.3</v>
      </c>
      <c r="J2579" t="n">
        <v>0</v>
      </c>
      <c r="K2579" t="n">
        <v>0</v>
      </c>
      <c r="L2579" t="n">
        <v>0</v>
      </c>
      <c r="M2579" t="n">
        <v>0</v>
      </c>
      <c r="N2579" t="n">
        <v>0</v>
      </c>
      <c r="O2579" t="n">
        <v>0</v>
      </c>
      <c r="P2579" t="n">
        <v>0</v>
      </c>
      <c r="Q2579" t="n">
        <v>0</v>
      </c>
      <c r="R2579" t="n">
        <v>0</v>
      </c>
      <c r="S2579" t="n">
        <v>0</v>
      </c>
      <c r="T2579" t="n">
        <v>0</v>
      </c>
      <c r="U2579" t="n">
        <v>0</v>
      </c>
      <c r="V2579" s="2" t="inlineStr"/>
    </row>
    <row r="2580" ht="15" customHeight="1">
      <c r="A2580" t="inlineStr">
        <is>
          <t>A 23916-2023</t>
        </is>
      </c>
      <c r="B2580" t="inlineStr">
        <is>
          <t>avverkningsanmälan</t>
        </is>
      </c>
      <c r="C2580" t="inlineStr">
        <is>
          <t>Föryngringsavverkning</t>
        </is>
      </c>
      <c r="D2580" s="1" t="n">
        <v>45075</v>
      </c>
      <c r="E2580" s="1" t="n">
        <v>46313</v>
      </c>
      <c r="F2580" t="inlineStr">
        <is>
          <t>SÖDERMANLANDS LÄN</t>
        </is>
      </c>
      <c r="G2580" t="inlineStr">
        <is>
          <t>KATRINEHOLM</t>
        </is>
      </c>
      <c r="I2580" t="n">
        <v>8</v>
      </c>
      <c r="J2580" t="n">
        <v>0</v>
      </c>
      <c r="K2580" t="n">
        <v>0</v>
      </c>
      <c r="L2580" t="n">
        <v>0</v>
      </c>
      <c r="M2580" t="n">
        <v>0</v>
      </c>
      <c r="N2580" t="n">
        <v>0</v>
      </c>
      <c r="O2580" t="n">
        <v>0</v>
      </c>
      <c r="P2580" t="n">
        <v>0</v>
      </c>
      <c r="Q2580" t="n">
        <v>0</v>
      </c>
      <c r="R2580" t="n">
        <v>0</v>
      </c>
      <c r="S2580" t="n">
        <v>0</v>
      </c>
      <c r="T2580" t="n">
        <v>0</v>
      </c>
      <c r="U2580" t="n">
        <v>0</v>
      </c>
      <c r="V2580" s="2" t="inlineStr"/>
    </row>
    <row r="2581" ht="15" customHeight="1">
      <c r="A2581" t="inlineStr">
        <is>
          <t>A 23207-2024</t>
        </is>
      </c>
      <c r="B2581" t="inlineStr">
        <is>
          <t>avverkningsanmälan</t>
        </is>
      </c>
      <c r="C2581" t="inlineStr">
        <is>
          <t>Föryngringsavverkning</t>
        </is>
      </c>
      <c r="D2581" s="1" t="n">
        <v>45452</v>
      </c>
      <c r="E2581" s="1" t="n">
        <v>46313</v>
      </c>
      <c r="F2581" t="inlineStr">
        <is>
          <t>SÖDERMANLANDS LÄN</t>
        </is>
      </c>
      <c r="G2581" t="inlineStr">
        <is>
          <t>NYKÖPING</t>
        </is>
      </c>
      <c r="I2581" t="n">
        <v>2.6</v>
      </c>
      <c r="J2581" t="n">
        <v>0</v>
      </c>
      <c r="K2581" t="n">
        <v>0</v>
      </c>
      <c r="L2581" t="n">
        <v>0</v>
      </c>
      <c r="M2581" t="n">
        <v>0</v>
      </c>
      <c r="N2581" t="n">
        <v>0</v>
      </c>
      <c r="O2581" t="n">
        <v>0</v>
      </c>
      <c r="P2581" t="n">
        <v>0</v>
      </c>
      <c r="Q2581" t="n">
        <v>0</v>
      </c>
      <c r="R2581" t="n">
        <v>0</v>
      </c>
      <c r="S2581" t="n">
        <v>0</v>
      </c>
      <c r="T2581" t="n">
        <v>0</v>
      </c>
      <c r="U2581" t="n">
        <v>0</v>
      </c>
      <c r="V2581" s="2" t="inlineStr"/>
    </row>
    <row r="2582" ht="15" customHeight="1">
      <c r="A2582" t="inlineStr">
        <is>
          <t>A 61825-2022</t>
        </is>
      </c>
      <c r="B2582" t="inlineStr">
        <is>
          <t>avverkningsanmälan</t>
        </is>
      </c>
      <c r="C2582" t="inlineStr">
        <is>
          <t>Föryngringsavverkning</t>
        </is>
      </c>
      <c r="D2582" s="1" t="n">
        <v>44917</v>
      </c>
      <c r="E2582" s="1" t="n">
        <v>46313</v>
      </c>
      <c r="F2582" t="inlineStr">
        <is>
          <t>SÖDERMANLANDS LÄN</t>
        </is>
      </c>
      <c r="G2582" t="inlineStr">
        <is>
          <t>VINGÅKER</t>
        </is>
      </c>
      <c r="I2582" t="n">
        <v>0.5</v>
      </c>
      <c r="J2582" t="n">
        <v>0</v>
      </c>
      <c r="K2582" t="n">
        <v>0</v>
      </c>
      <c r="L2582" t="n">
        <v>0</v>
      </c>
      <c r="M2582" t="n">
        <v>0</v>
      </c>
      <c r="N2582" t="n">
        <v>0</v>
      </c>
      <c r="O2582" t="n">
        <v>0</v>
      </c>
      <c r="P2582" t="n">
        <v>0</v>
      </c>
      <c r="Q2582" t="n">
        <v>0</v>
      </c>
      <c r="R2582" t="n">
        <v>0</v>
      </c>
      <c r="S2582" t="n">
        <v>0</v>
      </c>
      <c r="T2582" t="n">
        <v>0</v>
      </c>
      <c r="U2582" t="n">
        <v>0</v>
      </c>
      <c r="V2582" s="2" t="inlineStr"/>
    </row>
    <row r="2583" ht="15" customHeight="1">
      <c r="A2583" t="inlineStr">
        <is>
          <t>A 33278-2024</t>
        </is>
      </c>
      <c r="B2583" t="inlineStr">
        <is>
          <t>avverkningsanmälan</t>
        </is>
      </c>
      <c r="C2583" t="inlineStr">
        <is>
          <t>Föryngringsavverkning</t>
        </is>
      </c>
      <c r="D2583" s="1" t="n">
        <v>45518</v>
      </c>
      <c r="E2583" s="1" t="n">
        <v>46313</v>
      </c>
      <c r="F2583" t="inlineStr">
        <is>
          <t>SÖDERMANLANDS LÄN</t>
        </is>
      </c>
      <c r="G2583" t="inlineStr">
        <is>
          <t>KATRINEHOLM</t>
        </is>
      </c>
      <c r="I2583" t="n">
        <v>2.1</v>
      </c>
      <c r="J2583" t="n">
        <v>0</v>
      </c>
      <c r="K2583" t="n">
        <v>0</v>
      </c>
      <c r="L2583" t="n">
        <v>0</v>
      </c>
      <c r="M2583" t="n">
        <v>0</v>
      </c>
      <c r="N2583" t="n">
        <v>0</v>
      </c>
      <c r="O2583" t="n">
        <v>0</v>
      </c>
      <c r="P2583" t="n">
        <v>0</v>
      </c>
      <c r="Q2583" t="n">
        <v>0</v>
      </c>
      <c r="R2583" t="n">
        <v>0</v>
      </c>
      <c r="S2583" t="n">
        <v>0</v>
      </c>
      <c r="T2583" t="n">
        <v>0</v>
      </c>
      <c r="U2583" t="n">
        <v>0</v>
      </c>
      <c r="V2583" s="2" t="inlineStr"/>
    </row>
    <row r="2584" ht="15" customHeight="1">
      <c r="A2584" t="inlineStr">
        <is>
          <t>A 52481-2023</t>
        </is>
      </c>
      <c r="B2584" t="inlineStr">
        <is>
          <t>avverkningsanmälan</t>
        </is>
      </c>
      <c r="C2584" t="inlineStr">
        <is>
          <t>Föryngringsavverkning</t>
        </is>
      </c>
      <c r="D2584" s="1" t="n">
        <v>45225</v>
      </c>
      <c r="E2584" s="1" t="n">
        <v>46313</v>
      </c>
      <c r="F2584" t="inlineStr">
        <is>
          <t>SÖDERMANLANDS LÄN</t>
        </is>
      </c>
      <c r="G2584" t="inlineStr">
        <is>
          <t>FLEN</t>
        </is>
      </c>
      <c r="I2584" t="n">
        <v>2.4</v>
      </c>
      <c r="J2584" t="n">
        <v>0</v>
      </c>
      <c r="K2584" t="n">
        <v>0</v>
      </c>
      <c r="L2584" t="n">
        <v>0</v>
      </c>
      <c r="M2584" t="n">
        <v>0</v>
      </c>
      <c r="N2584" t="n">
        <v>0</v>
      </c>
      <c r="O2584" t="n">
        <v>0</v>
      </c>
      <c r="P2584" t="n">
        <v>0</v>
      </c>
      <c r="Q2584" t="n">
        <v>0</v>
      </c>
      <c r="R2584" t="n">
        <v>0</v>
      </c>
      <c r="S2584" t="n">
        <v>0</v>
      </c>
      <c r="T2584" t="n">
        <v>0</v>
      </c>
      <c r="U2584" t="n">
        <v>0</v>
      </c>
      <c r="V2584" s="2" t="inlineStr"/>
    </row>
    <row r="2585" ht="15" customHeight="1">
      <c r="A2585" t="inlineStr">
        <is>
          <t>A 31377-2026</t>
        </is>
      </c>
      <c r="B2585" t="inlineStr">
        <is>
          <t>avverkningsanmälan</t>
        </is>
      </c>
      <c r="C2585" t="inlineStr">
        <is>
          <t>Föryngringsavverkning</t>
        </is>
      </c>
      <c r="D2585" s="1" t="n">
        <v>46213</v>
      </c>
      <c r="E2585" s="1" t="n">
        <v>46313</v>
      </c>
      <c r="F2585" t="inlineStr">
        <is>
          <t>SÖDERMANLANDS LÄN</t>
        </is>
      </c>
      <c r="G2585" t="inlineStr">
        <is>
          <t>VINGÅKER</t>
        </is>
      </c>
      <c r="H2585" t="inlineStr">
        <is>
          <t>Kommuner</t>
        </is>
      </c>
      <c r="I2585" t="n">
        <v>0.6</v>
      </c>
      <c r="J2585" t="n">
        <v>0</v>
      </c>
      <c r="K2585" t="n">
        <v>0</v>
      </c>
      <c r="L2585" t="n">
        <v>0</v>
      </c>
      <c r="M2585" t="n">
        <v>0</v>
      </c>
      <c r="N2585" t="n">
        <v>0</v>
      </c>
      <c r="O2585" t="n">
        <v>0</v>
      </c>
      <c r="P2585" t="n">
        <v>0</v>
      </c>
      <c r="Q2585" t="n">
        <v>0</v>
      </c>
      <c r="R2585" t="n">
        <v>0</v>
      </c>
      <c r="S2585" t="n">
        <v>0</v>
      </c>
      <c r="T2585" t="n">
        <v>0</v>
      </c>
      <c r="U2585" t="n">
        <v>0</v>
      </c>
      <c r="V2585" s="2" t="inlineStr"/>
    </row>
    <row r="2586" ht="15" customHeight="1">
      <c r="A2586" t="inlineStr">
        <is>
          <t>A 30695-2026</t>
        </is>
      </c>
      <c r="B2586" t="inlineStr">
        <is>
          <t>avverkningsanmälan</t>
        </is>
      </c>
      <c r="C2586" t="inlineStr">
        <is>
          <t>Avverkning för annat ändamål</t>
        </is>
      </c>
      <c r="D2586" s="1" t="n">
        <v>46211</v>
      </c>
      <c r="E2586" s="1" t="n">
        <v>46313</v>
      </c>
      <c r="F2586" t="inlineStr">
        <is>
          <t>SÖDERMANLANDS LÄN</t>
        </is>
      </c>
      <c r="G2586" t="inlineStr">
        <is>
          <t>NYKÖPING</t>
        </is>
      </c>
      <c r="I2586" t="n">
        <v>1.3</v>
      </c>
      <c r="J2586" t="n">
        <v>0</v>
      </c>
      <c r="K2586" t="n">
        <v>0</v>
      </c>
      <c r="L2586" t="n">
        <v>0</v>
      </c>
      <c r="M2586" t="n">
        <v>0</v>
      </c>
      <c r="N2586" t="n">
        <v>0</v>
      </c>
      <c r="O2586" t="n">
        <v>0</v>
      </c>
      <c r="P2586" t="n">
        <v>0</v>
      </c>
      <c r="Q2586" t="n">
        <v>0</v>
      </c>
      <c r="R2586" t="n">
        <v>0</v>
      </c>
      <c r="S2586" t="n">
        <v>0</v>
      </c>
      <c r="T2586" t="n">
        <v>0</v>
      </c>
      <c r="U2586" t="n">
        <v>0</v>
      </c>
      <c r="V2586" s="2" t="inlineStr"/>
    </row>
    <row r="2587" ht="15" customHeight="1">
      <c r="A2587" t="inlineStr">
        <is>
          <t>A 8920-2025</t>
        </is>
      </c>
      <c r="B2587" t="inlineStr">
        <is>
          <t>avverkningsanmälan</t>
        </is>
      </c>
      <c r="C2587" t="inlineStr">
        <is>
          <t>Föryngringsavverkning</t>
        </is>
      </c>
      <c r="D2587" s="1" t="n">
        <v>45713</v>
      </c>
      <c r="E2587" s="1" t="n">
        <v>46313</v>
      </c>
      <c r="F2587" t="inlineStr">
        <is>
          <t>SÖDERMANLANDS LÄN</t>
        </is>
      </c>
      <c r="G2587" t="inlineStr">
        <is>
          <t>ESKILSTUNA</t>
        </is>
      </c>
      <c r="H2587" t="inlineStr">
        <is>
          <t>Allmännings- och besparingsskogar</t>
        </is>
      </c>
      <c r="I2587" t="n">
        <v>1.6</v>
      </c>
      <c r="J2587" t="n">
        <v>0</v>
      </c>
      <c r="K2587" t="n">
        <v>0</v>
      </c>
      <c r="L2587" t="n">
        <v>0</v>
      </c>
      <c r="M2587" t="n">
        <v>0</v>
      </c>
      <c r="N2587" t="n">
        <v>0</v>
      </c>
      <c r="O2587" t="n">
        <v>0</v>
      </c>
      <c r="P2587" t="n">
        <v>0</v>
      </c>
      <c r="Q2587" t="n">
        <v>0</v>
      </c>
      <c r="R2587" t="n">
        <v>0</v>
      </c>
      <c r="S2587" t="n">
        <v>0</v>
      </c>
      <c r="T2587" t="n">
        <v>0</v>
      </c>
      <c r="U2587" t="n">
        <v>0</v>
      </c>
      <c r="V2587" s="2" t="inlineStr"/>
    </row>
    <row r="2588" ht="15" customHeight="1">
      <c r="A2588" t="inlineStr">
        <is>
          <t>A 40186-2023</t>
        </is>
      </c>
      <c r="B2588" t="inlineStr">
        <is>
          <t>avverkningsanmälan</t>
        </is>
      </c>
      <c r="C2588" t="inlineStr">
        <is>
          <t>Föryngringsavverkning</t>
        </is>
      </c>
      <c r="D2588" s="1" t="n">
        <v>45169</v>
      </c>
      <c r="E2588" s="1" t="n">
        <v>46313</v>
      </c>
      <c r="F2588" t="inlineStr">
        <is>
          <t>SÖDERMANLANDS LÄN</t>
        </is>
      </c>
      <c r="G2588" t="inlineStr">
        <is>
          <t>KATRINEHOLM</t>
        </is>
      </c>
      <c r="I2588" t="n">
        <v>2.1</v>
      </c>
      <c r="J2588" t="n">
        <v>0</v>
      </c>
      <c r="K2588" t="n">
        <v>0</v>
      </c>
      <c r="L2588" t="n">
        <v>0</v>
      </c>
      <c r="M2588" t="n">
        <v>0</v>
      </c>
      <c r="N2588" t="n">
        <v>0</v>
      </c>
      <c r="O2588" t="n">
        <v>0</v>
      </c>
      <c r="P2588" t="n">
        <v>0</v>
      </c>
      <c r="Q2588" t="n">
        <v>0</v>
      </c>
      <c r="R2588" t="n">
        <v>0</v>
      </c>
      <c r="S2588" t="n">
        <v>0</v>
      </c>
      <c r="T2588" t="n">
        <v>0</v>
      </c>
      <c r="U2588" t="n">
        <v>0</v>
      </c>
      <c r="V2588" s="2" t="inlineStr"/>
    </row>
    <row r="2589" ht="15" customHeight="1">
      <c r="A2589" t="inlineStr">
        <is>
          <t>A 4182-2025</t>
        </is>
      </c>
      <c r="B2589" t="inlineStr">
        <is>
          <t>avverkningsanmälan</t>
        </is>
      </c>
      <c r="C2589" t="inlineStr">
        <is>
          <t>Föryngringsavverkning</t>
        </is>
      </c>
      <c r="D2589" s="1" t="n">
        <v>45685</v>
      </c>
      <c r="E2589" s="1" t="n">
        <v>46313</v>
      </c>
      <c r="F2589" t="inlineStr">
        <is>
          <t>SÖDERMANLANDS LÄN</t>
        </is>
      </c>
      <c r="G2589" t="inlineStr">
        <is>
          <t>NYKÖPING</t>
        </is>
      </c>
      <c r="H2589" t="inlineStr">
        <is>
          <t>Holmen skog AB</t>
        </is>
      </c>
      <c r="I2589" t="n">
        <v>2.5</v>
      </c>
      <c r="J2589" t="n">
        <v>0</v>
      </c>
      <c r="K2589" t="n">
        <v>0</v>
      </c>
      <c r="L2589" t="n">
        <v>0</v>
      </c>
      <c r="M2589" t="n">
        <v>0</v>
      </c>
      <c r="N2589" t="n">
        <v>0</v>
      </c>
      <c r="O2589" t="n">
        <v>0</v>
      </c>
      <c r="P2589" t="n">
        <v>0</v>
      </c>
      <c r="Q2589" t="n">
        <v>0</v>
      </c>
      <c r="R2589" t="n">
        <v>0</v>
      </c>
      <c r="S2589" t="n">
        <v>0</v>
      </c>
      <c r="T2589" t="n">
        <v>0</v>
      </c>
      <c r="U2589" t="n">
        <v>0</v>
      </c>
      <c r="V2589" s="2" t="inlineStr"/>
    </row>
    <row r="2590" ht="15" customHeight="1">
      <c r="A2590" t="inlineStr">
        <is>
          <t>A 4124-2025</t>
        </is>
      </c>
      <c r="B2590" t="inlineStr">
        <is>
          <t>avverkningsanmälan</t>
        </is>
      </c>
      <c r="C2590" t="inlineStr">
        <is>
          <t>Föryngringsavverkning</t>
        </is>
      </c>
      <c r="D2590" s="1" t="n">
        <v>45685</v>
      </c>
      <c r="E2590" s="1" t="n">
        <v>46313</v>
      </c>
      <c r="F2590" t="inlineStr">
        <is>
          <t>SÖDERMANLANDS LÄN</t>
        </is>
      </c>
      <c r="G2590" t="inlineStr">
        <is>
          <t>NYKÖPING</t>
        </is>
      </c>
      <c r="H2590" t="inlineStr">
        <is>
          <t>Holmen skog AB</t>
        </is>
      </c>
      <c r="I2590" t="n">
        <v>0.6</v>
      </c>
      <c r="J2590" t="n">
        <v>0</v>
      </c>
      <c r="K2590" t="n">
        <v>0</v>
      </c>
      <c r="L2590" t="n">
        <v>0</v>
      </c>
      <c r="M2590" t="n">
        <v>0</v>
      </c>
      <c r="N2590" t="n">
        <v>0</v>
      </c>
      <c r="O2590" t="n">
        <v>0</v>
      </c>
      <c r="P2590" t="n">
        <v>0</v>
      </c>
      <c r="Q2590" t="n">
        <v>0</v>
      </c>
      <c r="R2590" t="n">
        <v>0</v>
      </c>
      <c r="S2590" t="n">
        <v>0</v>
      </c>
      <c r="T2590" t="n">
        <v>0</v>
      </c>
      <c r="U2590" t="n">
        <v>0</v>
      </c>
      <c r="V2590" s="2" t="inlineStr"/>
    </row>
    <row r="2591" ht="15" customHeight="1">
      <c r="A2591" t="inlineStr">
        <is>
          <t>A 30754-2026</t>
        </is>
      </c>
      <c r="B2591" t="inlineStr">
        <is>
          <t>avverkningsanmälan</t>
        </is>
      </c>
      <c r="C2591" t="inlineStr">
        <is>
          <t>Avverkning för annat ändamål</t>
        </is>
      </c>
      <c r="D2591" s="1" t="n">
        <v>46212</v>
      </c>
      <c r="E2591" s="1" t="n">
        <v>46313</v>
      </c>
      <c r="F2591" t="inlineStr">
        <is>
          <t>SÖDERMANLANDS LÄN</t>
        </is>
      </c>
      <c r="G2591" t="inlineStr">
        <is>
          <t>GNESTA</t>
        </is>
      </c>
      <c r="H2591" t="inlineStr">
        <is>
          <t>Övriga Aktiebolag</t>
        </is>
      </c>
      <c r="I2591" t="n">
        <v>0.7</v>
      </c>
      <c r="J2591" t="n">
        <v>0</v>
      </c>
      <c r="K2591" t="n">
        <v>0</v>
      </c>
      <c r="L2591" t="n">
        <v>0</v>
      </c>
      <c r="M2591" t="n">
        <v>0</v>
      </c>
      <c r="N2591" t="n">
        <v>0</v>
      </c>
      <c r="O2591" t="n">
        <v>0</v>
      </c>
      <c r="P2591" t="n">
        <v>0</v>
      </c>
      <c r="Q2591" t="n">
        <v>0</v>
      </c>
      <c r="R2591" t="n">
        <v>0</v>
      </c>
      <c r="S2591" t="n">
        <v>0</v>
      </c>
      <c r="T2591" t="n">
        <v>0</v>
      </c>
      <c r="U2591" t="n">
        <v>0</v>
      </c>
      <c r="V2591" s="2" t="inlineStr"/>
    </row>
    <row r="2592" ht="15" customHeight="1">
      <c r="A2592" t="inlineStr">
        <is>
          <t>A 31375-2026</t>
        </is>
      </c>
      <c r="B2592" t="inlineStr">
        <is>
          <t>avverkningsanmälan</t>
        </is>
      </c>
      <c r="C2592" t="inlineStr">
        <is>
          <t>Avverkning för annat ändamål</t>
        </is>
      </c>
      <c r="D2592" s="1" t="n">
        <v>46213</v>
      </c>
      <c r="E2592" s="1" t="n">
        <v>46313</v>
      </c>
      <c r="F2592" t="inlineStr">
        <is>
          <t>SÖDERMANLANDS LÄN</t>
        </is>
      </c>
      <c r="G2592" t="inlineStr">
        <is>
          <t>VINGÅKER</t>
        </is>
      </c>
      <c r="H2592" t="inlineStr">
        <is>
          <t>Kommuner</t>
        </is>
      </c>
      <c r="I2592" t="n">
        <v>0.3</v>
      </c>
      <c r="J2592" t="n">
        <v>0</v>
      </c>
      <c r="K2592" t="n">
        <v>0</v>
      </c>
      <c r="L2592" t="n">
        <v>0</v>
      </c>
      <c r="M2592" t="n">
        <v>0</v>
      </c>
      <c r="N2592" t="n">
        <v>0</v>
      </c>
      <c r="O2592" t="n">
        <v>0</v>
      </c>
      <c r="P2592" t="n">
        <v>0</v>
      </c>
      <c r="Q2592" t="n">
        <v>0</v>
      </c>
      <c r="R2592" t="n">
        <v>0</v>
      </c>
      <c r="S2592" t="n">
        <v>0</v>
      </c>
      <c r="T2592" t="n">
        <v>0</v>
      </c>
      <c r="U2592" t="n">
        <v>0</v>
      </c>
      <c r="V2592" s="2" t="inlineStr"/>
    </row>
    <row r="2593" ht="15" customHeight="1">
      <c r="A2593" t="inlineStr">
        <is>
          <t>A 42973-2025</t>
        </is>
      </c>
      <c r="B2593" t="inlineStr">
        <is>
          <t>avverkningsanmälan</t>
        </is>
      </c>
      <c r="C2593" t="inlineStr">
        <is>
          <t>Föryngringsavverkning</t>
        </is>
      </c>
      <c r="D2593" s="1" t="n">
        <v>45909</v>
      </c>
      <c r="E2593" s="1" t="n">
        <v>46313</v>
      </c>
      <c r="F2593" t="inlineStr">
        <is>
          <t>SÖDERMANLANDS LÄN</t>
        </is>
      </c>
      <c r="G2593" t="inlineStr">
        <is>
          <t>GNESTA</t>
        </is>
      </c>
      <c r="I2593" t="n">
        <v>1.1</v>
      </c>
      <c r="J2593" t="n">
        <v>0</v>
      </c>
      <c r="K2593" t="n">
        <v>0</v>
      </c>
      <c r="L2593" t="n">
        <v>0</v>
      </c>
      <c r="M2593" t="n">
        <v>0</v>
      </c>
      <c r="N2593" t="n">
        <v>0</v>
      </c>
      <c r="O2593" t="n">
        <v>0</v>
      </c>
      <c r="P2593" t="n">
        <v>0</v>
      </c>
      <c r="Q2593" t="n">
        <v>0</v>
      </c>
      <c r="R2593" t="n">
        <v>0</v>
      </c>
      <c r="S2593" t="n">
        <v>0</v>
      </c>
      <c r="T2593" t="n">
        <v>0</v>
      </c>
      <c r="U2593" t="n">
        <v>0</v>
      </c>
      <c r="V2593" s="2" t="inlineStr"/>
    </row>
    <row r="2594" ht="15" customHeight="1">
      <c r="A2594" t="inlineStr">
        <is>
          <t>A 9625-2022</t>
        </is>
      </c>
      <c r="B2594" t="inlineStr">
        <is>
          <t>avverkningsanmälan</t>
        </is>
      </c>
      <c r="C2594" t="inlineStr">
        <is>
          <t>Föryngringsavverkning</t>
        </is>
      </c>
      <c r="D2594" s="1" t="n">
        <v>44617</v>
      </c>
      <c r="E2594" s="1" t="n">
        <v>46313</v>
      </c>
      <c r="F2594" t="inlineStr">
        <is>
          <t>SÖDERMANLANDS LÄN</t>
        </is>
      </c>
      <c r="G2594" t="inlineStr">
        <is>
          <t>STRÄNGNÄS</t>
        </is>
      </c>
      <c r="I2594" t="n">
        <v>1</v>
      </c>
      <c r="J2594" t="n">
        <v>0</v>
      </c>
      <c r="K2594" t="n">
        <v>0</v>
      </c>
      <c r="L2594" t="n">
        <v>0</v>
      </c>
      <c r="M2594" t="n">
        <v>0</v>
      </c>
      <c r="N2594" t="n">
        <v>0</v>
      </c>
      <c r="O2594" t="n">
        <v>0</v>
      </c>
      <c r="P2594" t="n">
        <v>0</v>
      </c>
      <c r="Q2594" t="n">
        <v>0</v>
      </c>
      <c r="R2594" t="n">
        <v>0</v>
      </c>
      <c r="S2594" t="n">
        <v>0</v>
      </c>
      <c r="T2594" t="n">
        <v>0</v>
      </c>
      <c r="U2594" t="n">
        <v>0</v>
      </c>
      <c r="V2594" s="2" t="inlineStr"/>
    </row>
    <row r="2595" ht="15" customHeight="1">
      <c r="A2595" t="inlineStr">
        <is>
          <t>A 9646-2022</t>
        </is>
      </c>
      <c r="B2595" t="inlineStr">
        <is>
          <t>avverkningsanmälan</t>
        </is>
      </c>
      <c r="C2595" t="inlineStr">
        <is>
          <t>Föryngringsavverkning</t>
        </is>
      </c>
      <c r="D2595" s="1" t="n">
        <v>44617</v>
      </c>
      <c r="E2595" s="1" t="n">
        <v>46313</v>
      </c>
      <c r="F2595" t="inlineStr">
        <is>
          <t>SÖDERMANLANDS LÄN</t>
        </is>
      </c>
      <c r="G2595" t="inlineStr">
        <is>
          <t>ESKILSTUNA</t>
        </is>
      </c>
      <c r="I2595" t="n">
        <v>0.9</v>
      </c>
      <c r="J2595" t="n">
        <v>0</v>
      </c>
      <c r="K2595" t="n">
        <v>0</v>
      </c>
      <c r="L2595" t="n">
        <v>0</v>
      </c>
      <c r="M2595" t="n">
        <v>0</v>
      </c>
      <c r="N2595" t="n">
        <v>0</v>
      </c>
      <c r="O2595" t="n">
        <v>0</v>
      </c>
      <c r="P2595" t="n">
        <v>0</v>
      </c>
      <c r="Q2595" t="n">
        <v>0</v>
      </c>
      <c r="R2595" t="n">
        <v>0</v>
      </c>
      <c r="S2595" t="n">
        <v>0</v>
      </c>
      <c r="T2595" t="n">
        <v>0</v>
      </c>
      <c r="U2595" t="n">
        <v>0</v>
      </c>
      <c r="V2595" s="2" t="inlineStr"/>
    </row>
    <row r="2596" ht="15" customHeight="1">
      <c r="A2596" t="inlineStr">
        <is>
          <t>A 49700-2022</t>
        </is>
      </c>
      <c r="B2596" t="inlineStr">
        <is>
          <t>avverkningsanmälan</t>
        </is>
      </c>
      <c r="C2596" t="inlineStr">
        <is>
          <t>Föryngringsavverkning</t>
        </is>
      </c>
      <c r="D2596" s="1" t="n">
        <v>44862</v>
      </c>
      <c r="E2596" s="1" t="n">
        <v>46313</v>
      </c>
      <c r="F2596" t="inlineStr">
        <is>
          <t>SÖDERMANLANDS LÄN</t>
        </is>
      </c>
      <c r="G2596" t="inlineStr">
        <is>
          <t>KATRINEHOLM</t>
        </is>
      </c>
      <c r="I2596" t="n">
        <v>19.5</v>
      </c>
      <c r="J2596" t="n">
        <v>0</v>
      </c>
      <c r="K2596" t="n">
        <v>0</v>
      </c>
      <c r="L2596" t="n">
        <v>0</v>
      </c>
      <c r="M2596" t="n">
        <v>0</v>
      </c>
      <c r="N2596" t="n">
        <v>0</v>
      </c>
      <c r="O2596" t="n">
        <v>0</v>
      </c>
      <c r="P2596" t="n">
        <v>0</v>
      </c>
      <c r="Q2596" t="n">
        <v>0</v>
      </c>
      <c r="R2596" t="n">
        <v>0</v>
      </c>
      <c r="S2596" t="n">
        <v>0</v>
      </c>
      <c r="T2596" t="n">
        <v>0</v>
      </c>
      <c r="U2596" t="n">
        <v>0</v>
      </c>
      <c r="V2596" s="2" t="inlineStr"/>
    </row>
    <row r="2597" ht="15" customHeight="1">
      <c r="A2597" t="inlineStr">
        <is>
          <t>A 32522-2023</t>
        </is>
      </c>
      <c r="B2597" t="inlineStr">
        <is>
          <t>avverkningsanmälan</t>
        </is>
      </c>
      <c r="C2597" t="inlineStr">
        <is>
          <t>Föryngringsavverkning</t>
        </is>
      </c>
      <c r="D2597" s="1" t="n">
        <v>45110</v>
      </c>
      <c r="E2597" s="1" t="n">
        <v>46313</v>
      </c>
      <c r="F2597" t="inlineStr">
        <is>
          <t>SÖDERMANLANDS LÄN</t>
        </is>
      </c>
      <c r="G2597" t="inlineStr">
        <is>
          <t>VINGÅKER</t>
        </is>
      </c>
      <c r="I2597" t="n">
        <v>2.3</v>
      </c>
      <c r="J2597" t="n">
        <v>0</v>
      </c>
      <c r="K2597" t="n">
        <v>0</v>
      </c>
      <c r="L2597" t="n">
        <v>0</v>
      </c>
      <c r="M2597" t="n">
        <v>0</v>
      </c>
      <c r="N2597" t="n">
        <v>0</v>
      </c>
      <c r="O2597" t="n">
        <v>0</v>
      </c>
      <c r="P2597" t="n">
        <v>0</v>
      </c>
      <c r="Q2597" t="n">
        <v>0</v>
      </c>
      <c r="R2597" t="n">
        <v>0</v>
      </c>
      <c r="S2597" t="n">
        <v>0</v>
      </c>
      <c r="T2597" t="n">
        <v>0</v>
      </c>
      <c r="U2597" t="n">
        <v>0</v>
      </c>
      <c r="V2597" s="2" t="inlineStr"/>
    </row>
    <row r="2598" ht="15" customHeight="1">
      <c r="A2598" t="inlineStr">
        <is>
          <t>A 32552-2023</t>
        </is>
      </c>
      <c r="B2598" t="inlineStr">
        <is>
          <t>avverkningsanmälan</t>
        </is>
      </c>
      <c r="C2598" t="inlineStr">
        <is>
          <t>Föryngringsavverkning</t>
        </is>
      </c>
      <c r="D2598" s="1" t="n">
        <v>45121</v>
      </c>
      <c r="E2598" s="1" t="n">
        <v>46313</v>
      </c>
      <c r="F2598" t="inlineStr">
        <is>
          <t>SÖDERMANLANDS LÄN</t>
        </is>
      </c>
      <c r="G2598" t="inlineStr">
        <is>
          <t>STRÄNGNÄS</t>
        </is>
      </c>
      <c r="I2598" t="n">
        <v>2.4</v>
      </c>
      <c r="J2598" t="n">
        <v>0</v>
      </c>
      <c r="K2598" t="n">
        <v>0</v>
      </c>
      <c r="L2598" t="n">
        <v>0</v>
      </c>
      <c r="M2598" t="n">
        <v>0</v>
      </c>
      <c r="N2598" t="n">
        <v>0</v>
      </c>
      <c r="O2598" t="n">
        <v>0</v>
      </c>
      <c r="P2598" t="n">
        <v>0</v>
      </c>
      <c r="Q2598" t="n">
        <v>0</v>
      </c>
      <c r="R2598" t="n">
        <v>0</v>
      </c>
      <c r="S2598" t="n">
        <v>0</v>
      </c>
      <c r="T2598" t="n">
        <v>0</v>
      </c>
      <c r="U2598" t="n">
        <v>0</v>
      </c>
      <c r="V2598" s="2" t="inlineStr"/>
    </row>
    <row r="2599" ht="15" customHeight="1">
      <c r="A2599" t="inlineStr">
        <is>
          <t>A 30720-2026</t>
        </is>
      </c>
      <c r="B2599" t="inlineStr">
        <is>
          <t>avverkningsanmälan</t>
        </is>
      </c>
      <c r="C2599" t="inlineStr">
        <is>
          <t>Föryngringsavverkning</t>
        </is>
      </c>
      <c r="D2599" s="1" t="n">
        <v>46211</v>
      </c>
      <c r="E2599" s="1" t="n">
        <v>46313</v>
      </c>
      <c r="F2599" t="inlineStr">
        <is>
          <t>SÖDERMANLANDS LÄN</t>
        </is>
      </c>
      <c r="G2599" t="inlineStr">
        <is>
          <t>NYKÖPING</t>
        </is>
      </c>
      <c r="I2599" t="n">
        <v>1.2</v>
      </c>
      <c r="J2599" t="n">
        <v>0</v>
      </c>
      <c r="K2599" t="n">
        <v>0</v>
      </c>
      <c r="L2599" t="n">
        <v>0</v>
      </c>
      <c r="M2599" t="n">
        <v>0</v>
      </c>
      <c r="N2599" t="n">
        <v>0</v>
      </c>
      <c r="O2599" t="n">
        <v>0</v>
      </c>
      <c r="P2599" t="n">
        <v>0</v>
      </c>
      <c r="Q2599" t="n">
        <v>0</v>
      </c>
      <c r="R2599" t="n">
        <v>0</v>
      </c>
      <c r="S2599" t="n">
        <v>0</v>
      </c>
      <c r="T2599" t="n">
        <v>0</v>
      </c>
      <c r="U2599" t="n">
        <v>0</v>
      </c>
      <c r="V2599" s="2" t="inlineStr"/>
    </row>
    <row r="2600" ht="15" customHeight="1">
      <c r="A2600" t="inlineStr">
        <is>
          <t>A 30753-2026</t>
        </is>
      </c>
      <c r="B2600" t="inlineStr">
        <is>
          <t>avverkningsanmälan</t>
        </is>
      </c>
      <c r="C2600" t="inlineStr">
        <is>
          <t>Avverkning för annat ändamål</t>
        </is>
      </c>
      <c r="D2600" s="1" t="n">
        <v>46212</v>
      </c>
      <c r="E2600" s="1" t="n">
        <v>46313</v>
      </c>
      <c r="F2600" t="inlineStr">
        <is>
          <t>SÖDERMANLANDS LÄN</t>
        </is>
      </c>
      <c r="G2600" t="inlineStr">
        <is>
          <t>STRÄNGNÄS</t>
        </is>
      </c>
      <c r="H2600" t="inlineStr">
        <is>
          <t>Övriga Aktiebolag</t>
        </is>
      </c>
      <c r="I2600" t="n">
        <v>0.6</v>
      </c>
      <c r="J2600" t="n">
        <v>0</v>
      </c>
      <c r="K2600" t="n">
        <v>0</v>
      </c>
      <c r="L2600" t="n">
        <v>0</v>
      </c>
      <c r="M2600" t="n">
        <v>0</v>
      </c>
      <c r="N2600" t="n">
        <v>0</v>
      </c>
      <c r="O2600" t="n">
        <v>0</v>
      </c>
      <c r="P2600" t="n">
        <v>0</v>
      </c>
      <c r="Q2600" t="n">
        <v>0</v>
      </c>
      <c r="R2600" t="n">
        <v>0</v>
      </c>
      <c r="S2600" t="n">
        <v>0</v>
      </c>
      <c r="T2600" t="n">
        <v>0</v>
      </c>
      <c r="U2600" t="n">
        <v>0</v>
      </c>
      <c r="V2600" s="2" t="inlineStr"/>
    </row>
    <row r="2601" ht="15" customHeight="1">
      <c r="A2601" t="inlineStr">
        <is>
          <t>A 27955-2023</t>
        </is>
      </c>
      <c r="B2601" t="inlineStr">
        <is>
          <t>avverkningsanmälan</t>
        </is>
      </c>
      <c r="C2601" t="inlineStr">
        <is>
          <t>Föryngringsavverkning</t>
        </is>
      </c>
      <c r="D2601" s="1" t="n">
        <v>45098</v>
      </c>
      <c r="E2601" s="1" t="n">
        <v>46313</v>
      </c>
      <c r="F2601" t="inlineStr">
        <is>
          <t>SÖDERMANLANDS LÄN</t>
        </is>
      </c>
      <c r="G2601" t="inlineStr">
        <is>
          <t>KATRINEHOLM</t>
        </is>
      </c>
      <c r="I2601" t="n">
        <v>5.9</v>
      </c>
      <c r="J2601" t="n">
        <v>0</v>
      </c>
      <c r="K2601" t="n">
        <v>0</v>
      </c>
      <c r="L2601" t="n">
        <v>0</v>
      </c>
      <c r="M2601" t="n">
        <v>0</v>
      </c>
      <c r="N2601" t="n">
        <v>0</v>
      </c>
      <c r="O2601" t="n">
        <v>0</v>
      </c>
      <c r="P2601" t="n">
        <v>0</v>
      </c>
      <c r="Q2601" t="n">
        <v>0</v>
      </c>
      <c r="R2601" t="n">
        <v>0</v>
      </c>
      <c r="S2601" t="n">
        <v>0</v>
      </c>
      <c r="T2601" t="n">
        <v>0</v>
      </c>
      <c r="U2601" t="n">
        <v>0</v>
      </c>
      <c r="V2601" s="2" t="inlineStr"/>
    </row>
    <row r="2602" ht="15" customHeight="1">
      <c r="A2602" t="inlineStr">
        <is>
          <t>A 31131-2026</t>
        </is>
      </c>
      <c r="B2602" t="inlineStr">
        <is>
          <t>avverkningsanmälan</t>
        </is>
      </c>
      <c r="C2602" t="inlineStr">
        <is>
          <t>Avverkning för att bevara och utveckla /försöksver</t>
        </is>
      </c>
      <c r="D2602" s="1" t="n">
        <v>46216</v>
      </c>
      <c r="E2602" s="1" t="n">
        <v>46313</v>
      </c>
      <c r="F2602" t="inlineStr">
        <is>
          <t>SÖDERMANLANDS LÄN</t>
        </is>
      </c>
      <c r="G2602" t="inlineStr">
        <is>
          <t>ESKILSTUNA</t>
        </is>
      </c>
      <c r="I2602" t="n">
        <v>1.4</v>
      </c>
      <c r="J2602" t="n">
        <v>0</v>
      </c>
      <c r="K2602" t="n">
        <v>0</v>
      </c>
      <c r="L2602" t="n">
        <v>0</v>
      </c>
      <c r="M2602" t="n">
        <v>0</v>
      </c>
      <c r="N2602" t="n">
        <v>0</v>
      </c>
      <c r="O2602" t="n">
        <v>0</v>
      </c>
      <c r="P2602" t="n">
        <v>0</v>
      </c>
      <c r="Q2602" t="n">
        <v>0</v>
      </c>
      <c r="R2602" t="n">
        <v>0</v>
      </c>
      <c r="S2602" t="n">
        <v>0</v>
      </c>
      <c r="T2602" t="n">
        <v>0</v>
      </c>
      <c r="U2602" t="n">
        <v>0</v>
      </c>
      <c r="V2602" s="2" t="inlineStr"/>
    </row>
    <row r="2603" ht="15" customHeight="1">
      <c r="A2603" t="inlineStr">
        <is>
          <t>A 47187-2022</t>
        </is>
      </c>
      <c r="B2603" t="inlineStr">
        <is>
          <t>avverkningsanmälan</t>
        </is>
      </c>
      <c r="C2603" t="inlineStr">
        <is>
          <t>Föryngringsavverkning</t>
        </is>
      </c>
      <c r="D2603" s="1" t="n">
        <v>44848</v>
      </c>
      <c r="E2603" s="1" t="n">
        <v>46313</v>
      </c>
      <c r="F2603" t="inlineStr">
        <is>
          <t>SÖDERMANLANDS LÄN</t>
        </is>
      </c>
      <c r="G2603" t="inlineStr">
        <is>
          <t>FLEN</t>
        </is>
      </c>
      <c r="H2603" t="inlineStr">
        <is>
          <t>Övriga statliga verk och myndigheter</t>
        </is>
      </c>
      <c r="I2603" t="n">
        <v>2.9</v>
      </c>
      <c r="J2603" t="n">
        <v>0</v>
      </c>
      <c r="K2603" t="n">
        <v>0</v>
      </c>
      <c r="L2603" t="n">
        <v>0</v>
      </c>
      <c r="M2603" t="n">
        <v>0</v>
      </c>
      <c r="N2603" t="n">
        <v>0</v>
      </c>
      <c r="O2603" t="n">
        <v>0</v>
      </c>
      <c r="P2603" t="n">
        <v>0</v>
      </c>
      <c r="Q2603" t="n">
        <v>0</v>
      </c>
      <c r="R2603" t="n">
        <v>0</v>
      </c>
      <c r="S2603" t="n">
        <v>0</v>
      </c>
      <c r="T2603" t="n">
        <v>0</v>
      </c>
      <c r="U2603" t="n">
        <v>0</v>
      </c>
      <c r="V2603" s="2" t="inlineStr"/>
    </row>
    <row r="2604" ht="15" customHeight="1">
      <c r="A2604" t="inlineStr">
        <is>
          <t>A 33141-2023</t>
        </is>
      </c>
      <c r="B2604" t="inlineStr">
        <is>
          <t>avverkningsanmälan</t>
        </is>
      </c>
      <c r="C2604" t="inlineStr">
        <is>
          <t>Föryngringsavverkning</t>
        </is>
      </c>
      <c r="D2604" s="1" t="n">
        <v>45126</v>
      </c>
      <c r="E2604" s="1" t="n">
        <v>46313</v>
      </c>
      <c r="F2604" t="inlineStr">
        <is>
          <t>SÖDERMANLANDS LÄN</t>
        </is>
      </c>
      <c r="G2604" t="inlineStr">
        <is>
          <t>KATRINEHOLM</t>
        </is>
      </c>
      <c r="I2604" t="n">
        <v>1.4</v>
      </c>
      <c r="J2604" t="n">
        <v>0</v>
      </c>
      <c r="K2604" t="n">
        <v>0</v>
      </c>
      <c r="L2604" t="n">
        <v>0</v>
      </c>
      <c r="M2604" t="n">
        <v>0</v>
      </c>
      <c r="N2604" t="n">
        <v>0</v>
      </c>
      <c r="O2604" t="n">
        <v>0</v>
      </c>
      <c r="P2604" t="n">
        <v>0</v>
      </c>
      <c r="Q2604" t="n">
        <v>0</v>
      </c>
      <c r="R2604" t="n">
        <v>0</v>
      </c>
      <c r="S2604" t="n">
        <v>0</v>
      </c>
      <c r="T2604" t="n">
        <v>0</v>
      </c>
      <c r="U2604" t="n">
        <v>0</v>
      </c>
      <c r="V2604" s="2" t="inlineStr"/>
    </row>
    <row r="2605" ht="15" customHeight="1">
      <c r="A2605" t="inlineStr">
        <is>
          <t>A 46899-2022</t>
        </is>
      </c>
      <c r="B2605" t="inlineStr">
        <is>
          <t>avverkningsanmälan</t>
        </is>
      </c>
      <c r="C2605" t="inlineStr">
        <is>
          <t>Föryngringsavverkning</t>
        </is>
      </c>
      <c r="D2605" s="1" t="n">
        <v>44848</v>
      </c>
      <c r="E2605" s="1" t="n">
        <v>46313</v>
      </c>
      <c r="F2605" t="inlineStr">
        <is>
          <t>SÖDERMANLANDS LÄN</t>
        </is>
      </c>
      <c r="G2605" t="inlineStr">
        <is>
          <t>KATRINEHOLM</t>
        </is>
      </c>
      <c r="I2605" t="n">
        <v>2</v>
      </c>
      <c r="J2605" t="n">
        <v>0</v>
      </c>
      <c r="K2605" t="n">
        <v>0</v>
      </c>
      <c r="L2605" t="n">
        <v>0</v>
      </c>
      <c r="M2605" t="n">
        <v>0</v>
      </c>
      <c r="N2605" t="n">
        <v>0</v>
      </c>
      <c r="O2605" t="n">
        <v>0</v>
      </c>
      <c r="P2605" t="n">
        <v>0</v>
      </c>
      <c r="Q2605" t="n">
        <v>0</v>
      </c>
      <c r="R2605" t="n">
        <v>0</v>
      </c>
      <c r="S2605" t="n">
        <v>0</v>
      </c>
      <c r="T2605" t="n">
        <v>0</v>
      </c>
      <c r="U2605" t="n">
        <v>0</v>
      </c>
      <c r="V2605" s="2" t="inlineStr"/>
    </row>
    <row r="2606" ht="15" customHeight="1">
      <c r="A2606" t="inlineStr">
        <is>
          <t>A 21476-2024</t>
        </is>
      </c>
      <c r="B2606" t="inlineStr">
        <is>
          <t>avverkningsanmälan</t>
        </is>
      </c>
      <c r="C2606" t="inlineStr">
        <is>
          <t>Föryngringsavverkning</t>
        </is>
      </c>
      <c r="D2606" s="1" t="n">
        <v>45441</v>
      </c>
      <c r="E2606" s="1" t="n">
        <v>46313</v>
      </c>
      <c r="F2606" t="inlineStr">
        <is>
          <t>SÖDERMANLANDS LÄN</t>
        </is>
      </c>
      <c r="G2606" t="inlineStr">
        <is>
          <t>FLEN</t>
        </is>
      </c>
      <c r="I2606" t="n">
        <v>4.3</v>
      </c>
      <c r="J2606" t="n">
        <v>0</v>
      </c>
      <c r="K2606" t="n">
        <v>0</v>
      </c>
      <c r="L2606" t="n">
        <v>0</v>
      </c>
      <c r="M2606" t="n">
        <v>0</v>
      </c>
      <c r="N2606" t="n">
        <v>0</v>
      </c>
      <c r="O2606" t="n">
        <v>0</v>
      </c>
      <c r="P2606" t="n">
        <v>0</v>
      </c>
      <c r="Q2606" t="n">
        <v>0</v>
      </c>
      <c r="R2606" t="n">
        <v>0</v>
      </c>
      <c r="S2606" t="n">
        <v>0</v>
      </c>
      <c r="T2606" t="n">
        <v>0</v>
      </c>
      <c r="U2606" t="n">
        <v>0</v>
      </c>
      <c r="V2606" s="2" t="inlineStr"/>
    </row>
    <row r="2607" ht="15" customHeight="1">
      <c r="A2607" t="inlineStr">
        <is>
          <t>A 21480-2024</t>
        </is>
      </c>
      <c r="B2607" t="inlineStr">
        <is>
          <t>avverkningsanmälan</t>
        </is>
      </c>
      <c r="C2607" t="inlineStr">
        <is>
          <t>Föryngringsavverkning</t>
        </is>
      </c>
      <c r="D2607" s="1" t="n">
        <v>45441</v>
      </c>
      <c r="E2607" s="1" t="n">
        <v>46313</v>
      </c>
      <c r="F2607" t="inlineStr">
        <is>
          <t>SÖDERMANLANDS LÄN</t>
        </is>
      </c>
      <c r="G2607" t="inlineStr">
        <is>
          <t>NYKÖPING</t>
        </is>
      </c>
      <c r="I2607" t="n">
        <v>0.7</v>
      </c>
      <c r="J2607" t="n">
        <v>0</v>
      </c>
      <c r="K2607" t="n">
        <v>0</v>
      </c>
      <c r="L2607" t="n">
        <v>0</v>
      </c>
      <c r="M2607" t="n">
        <v>0</v>
      </c>
      <c r="N2607" t="n">
        <v>0</v>
      </c>
      <c r="O2607" t="n">
        <v>0</v>
      </c>
      <c r="P2607" t="n">
        <v>0</v>
      </c>
      <c r="Q2607" t="n">
        <v>0</v>
      </c>
      <c r="R2607" t="n">
        <v>0</v>
      </c>
      <c r="S2607" t="n">
        <v>0</v>
      </c>
      <c r="T2607" t="n">
        <v>0</v>
      </c>
      <c r="U2607" t="n">
        <v>0</v>
      </c>
      <c r="V2607" s="2" t="inlineStr"/>
    </row>
    <row r="2608" ht="15" customHeight="1">
      <c r="A2608" t="inlineStr">
        <is>
          <t>A 9714-2024</t>
        </is>
      </c>
      <c r="B2608" t="inlineStr">
        <is>
          <t>avverkningsanmälan</t>
        </is>
      </c>
      <c r="C2608" t="inlineStr">
        <is>
          <t>Föryngringsavverkning</t>
        </is>
      </c>
      <c r="D2608" s="1" t="n">
        <v>45362</v>
      </c>
      <c r="E2608" s="1" t="n">
        <v>46313</v>
      </c>
      <c r="F2608" t="inlineStr">
        <is>
          <t>SÖDERMANLANDS LÄN</t>
        </is>
      </c>
      <c r="G2608" t="inlineStr">
        <is>
          <t>KATRINEHOLM</t>
        </is>
      </c>
      <c r="I2608" t="n">
        <v>4</v>
      </c>
      <c r="J2608" t="n">
        <v>0</v>
      </c>
      <c r="K2608" t="n">
        <v>0</v>
      </c>
      <c r="L2608" t="n">
        <v>0</v>
      </c>
      <c r="M2608" t="n">
        <v>0</v>
      </c>
      <c r="N2608" t="n">
        <v>0</v>
      </c>
      <c r="O2608" t="n">
        <v>0</v>
      </c>
      <c r="P2608" t="n">
        <v>0</v>
      </c>
      <c r="Q2608" t="n">
        <v>0</v>
      </c>
      <c r="R2608" t="n">
        <v>0</v>
      </c>
      <c r="S2608" t="n">
        <v>0</v>
      </c>
      <c r="T2608" t="n">
        <v>0</v>
      </c>
      <c r="U2608" t="n">
        <v>0</v>
      </c>
      <c r="V2608" s="2" t="inlineStr"/>
    </row>
    <row r="2609" ht="15" customHeight="1">
      <c r="A2609" t="inlineStr">
        <is>
          <t>A 31442-2026</t>
        </is>
      </c>
      <c r="B2609" t="inlineStr">
        <is>
          <t>avverkningsanmälan</t>
        </is>
      </c>
      <c r="C2609" t="inlineStr">
        <is>
          <t>Föryngringsavverkning</t>
        </is>
      </c>
      <c r="D2609" s="1" t="n">
        <v>46217</v>
      </c>
      <c r="E2609" s="1" t="n">
        <v>46313</v>
      </c>
      <c r="F2609" t="inlineStr">
        <is>
          <t>SÖDERMANLANDS LÄN</t>
        </is>
      </c>
      <c r="G2609" t="inlineStr">
        <is>
          <t>STRÄNGNÄS</t>
        </is>
      </c>
      <c r="I2609" t="n">
        <v>4.1</v>
      </c>
      <c r="J2609" t="n">
        <v>0</v>
      </c>
      <c r="K2609" t="n">
        <v>0</v>
      </c>
      <c r="L2609" t="n">
        <v>0</v>
      </c>
      <c r="M2609" t="n">
        <v>0</v>
      </c>
      <c r="N2609" t="n">
        <v>0</v>
      </c>
      <c r="O2609" t="n">
        <v>0</v>
      </c>
      <c r="P2609" t="n">
        <v>0</v>
      </c>
      <c r="Q2609" t="n">
        <v>0</v>
      </c>
      <c r="R2609" t="n">
        <v>0</v>
      </c>
      <c r="S2609" t="n">
        <v>0</v>
      </c>
      <c r="T2609" t="n">
        <v>0</v>
      </c>
      <c r="U2609" t="n">
        <v>0</v>
      </c>
      <c r="V2609" s="2" t="inlineStr"/>
    </row>
    <row r="2610" ht="15" customHeight="1">
      <c r="A2610" t="inlineStr">
        <is>
          <t>A 39897-2023</t>
        </is>
      </c>
      <c r="B2610" t="inlineStr">
        <is>
          <t>avverkningsanmälan</t>
        </is>
      </c>
      <c r="C2610" t="inlineStr">
        <is>
          <t>Föryngringsavverkning</t>
        </is>
      </c>
      <c r="D2610" s="1" t="n">
        <v>45168</v>
      </c>
      <c r="E2610" s="1" t="n">
        <v>46313</v>
      </c>
      <c r="F2610" t="inlineStr">
        <is>
          <t>SÖDERMANLANDS LÄN</t>
        </is>
      </c>
      <c r="G2610" t="inlineStr">
        <is>
          <t>KATRINEHOLM</t>
        </is>
      </c>
      <c r="I2610" t="n">
        <v>15.6</v>
      </c>
      <c r="J2610" t="n">
        <v>0</v>
      </c>
      <c r="K2610" t="n">
        <v>0</v>
      </c>
      <c r="L2610" t="n">
        <v>0</v>
      </c>
      <c r="M2610" t="n">
        <v>0</v>
      </c>
      <c r="N2610" t="n">
        <v>0</v>
      </c>
      <c r="O2610" t="n">
        <v>0</v>
      </c>
      <c r="P2610" t="n">
        <v>0</v>
      </c>
      <c r="Q2610" t="n">
        <v>0</v>
      </c>
      <c r="R2610" t="n">
        <v>0</v>
      </c>
      <c r="S2610" t="n">
        <v>0</v>
      </c>
      <c r="T2610" t="n">
        <v>0</v>
      </c>
      <c r="U2610" t="n">
        <v>0</v>
      </c>
      <c r="V2610" s="2" t="inlineStr"/>
    </row>
    <row r="2611" ht="15" customHeight="1">
      <c r="A2611" t="inlineStr">
        <is>
          <t>A 36573-2024</t>
        </is>
      </c>
      <c r="B2611" t="inlineStr">
        <is>
          <t>avverkningsanmälan</t>
        </is>
      </c>
      <c r="C2611" t="inlineStr">
        <is>
          <t>Föryngringsavverkning</t>
        </is>
      </c>
      <c r="D2611" s="1" t="n">
        <v>45537</v>
      </c>
      <c r="E2611" s="1" t="n">
        <v>46313</v>
      </c>
      <c r="F2611" t="inlineStr">
        <is>
          <t>SÖDERMANLANDS LÄN</t>
        </is>
      </c>
      <c r="G2611" t="inlineStr">
        <is>
          <t>NYKÖPING</t>
        </is>
      </c>
      <c r="H2611" t="inlineStr">
        <is>
          <t>Kommuner</t>
        </is>
      </c>
      <c r="I2611" t="n">
        <v>4.8</v>
      </c>
      <c r="J2611" t="n">
        <v>0</v>
      </c>
      <c r="K2611" t="n">
        <v>0</v>
      </c>
      <c r="L2611" t="n">
        <v>0</v>
      </c>
      <c r="M2611" t="n">
        <v>0</v>
      </c>
      <c r="N2611" t="n">
        <v>0</v>
      </c>
      <c r="O2611" t="n">
        <v>0</v>
      </c>
      <c r="P2611" t="n">
        <v>0</v>
      </c>
      <c r="Q2611" t="n">
        <v>0</v>
      </c>
      <c r="R2611" t="n">
        <v>0</v>
      </c>
      <c r="S2611" t="n">
        <v>0</v>
      </c>
      <c r="T2611" t="n">
        <v>0</v>
      </c>
      <c r="U2611" t="n">
        <v>0</v>
      </c>
      <c r="V2611" s="2" t="inlineStr"/>
    </row>
    <row r="2612" ht="15" customHeight="1">
      <c r="A2612" t="inlineStr">
        <is>
          <t>A 58205-2022</t>
        </is>
      </c>
      <c r="B2612" t="inlineStr">
        <is>
          <t>avverkningsanmälan</t>
        </is>
      </c>
      <c r="C2612" t="inlineStr">
        <is>
          <t>Föryngringsavverkning</t>
        </is>
      </c>
      <c r="D2612" s="1" t="n">
        <v>44901</v>
      </c>
      <c r="E2612" s="1" t="n">
        <v>46313</v>
      </c>
      <c r="F2612" t="inlineStr">
        <is>
          <t>SÖDERMANLANDS LÄN</t>
        </is>
      </c>
      <c r="G2612" t="inlineStr">
        <is>
          <t>GNESTA</t>
        </is>
      </c>
      <c r="I2612" t="n">
        <v>1.8</v>
      </c>
      <c r="J2612" t="n">
        <v>0</v>
      </c>
      <c r="K2612" t="n">
        <v>0</v>
      </c>
      <c r="L2612" t="n">
        <v>0</v>
      </c>
      <c r="M2612" t="n">
        <v>0</v>
      </c>
      <c r="N2612" t="n">
        <v>0</v>
      </c>
      <c r="O2612" t="n">
        <v>0</v>
      </c>
      <c r="P2612" t="n">
        <v>0</v>
      </c>
      <c r="Q2612" t="n">
        <v>0</v>
      </c>
      <c r="R2612" t="n">
        <v>0</v>
      </c>
      <c r="S2612" t="n">
        <v>0</v>
      </c>
      <c r="T2612" t="n">
        <v>0</v>
      </c>
      <c r="U2612" t="n">
        <v>0</v>
      </c>
      <c r="V2612" s="2" t="inlineStr"/>
    </row>
    <row r="2613" ht="15" customHeight="1">
      <c r="A2613" t="inlineStr">
        <is>
          <t>A 31108-2026</t>
        </is>
      </c>
      <c r="B2613" t="inlineStr">
        <is>
          <t>avverkningsanmälan</t>
        </is>
      </c>
      <c r="C2613" t="inlineStr">
        <is>
          <t>Föryngringsavverkning</t>
        </is>
      </c>
      <c r="D2613" s="1" t="n">
        <v>46216</v>
      </c>
      <c r="E2613" s="1" t="n">
        <v>46313</v>
      </c>
      <c r="F2613" t="inlineStr">
        <is>
          <t>SÖDERMANLANDS LÄN</t>
        </is>
      </c>
      <c r="G2613" t="inlineStr">
        <is>
          <t>ESKILSTUNA</t>
        </is>
      </c>
      <c r="I2613" t="n">
        <v>2</v>
      </c>
      <c r="J2613" t="n">
        <v>0</v>
      </c>
      <c r="K2613" t="n">
        <v>0</v>
      </c>
      <c r="L2613" t="n">
        <v>0</v>
      </c>
      <c r="M2613" t="n">
        <v>0</v>
      </c>
      <c r="N2613" t="n">
        <v>0</v>
      </c>
      <c r="O2613" t="n">
        <v>0</v>
      </c>
      <c r="P2613" t="n">
        <v>0</v>
      </c>
      <c r="Q2613" t="n">
        <v>0</v>
      </c>
      <c r="R2613" t="n">
        <v>0</v>
      </c>
      <c r="S2613" t="n">
        <v>0</v>
      </c>
      <c r="T2613" t="n">
        <v>0</v>
      </c>
      <c r="U2613" t="n">
        <v>0</v>
      </c>
      <c r="V2613" s="2" t="inlineStr"/>
    </row>
    <row r="2614" ht="15" customHeight="1">
      <c r="A2614" t="inlineStr">
        <is>
          <t>A 26532-2022</t>
        </is>
      </c>
      <c r="B2614" t="inlineStr">
        <is>
          <t>avverkningsanmälan</t>
        </is>
      </c>
      <c r="C2614" t="inlineStr">
        <is>
          <t>Föryngringsavverkning</t>
        </is>
      </c>
      <c r="D2614" s="1" t="n">
        <v>44739</v>
      </c>
      <c r="E2614" s="1" t="n">
        <v>46313</v>
      </c>
      <c r="F2614" t="inlineStr">
        <is>
          <t>SÖDERMANLANDS LÄN</t>
        </is>
      </c>
      <c r="G2614" t="inlineStr">
        <is>
          <t>ESKILSTUNA</t>
        </is>
      </c>
      <c r="I2614" t="n">
        <v>2.6</v>
      </c>
      <c r="J2614" t="n">
        <v>0</v>
      </c>
      <c r="K2614" t="n">
        <v>0</v>
      </c>
      <c r="L2614" t="n">
        <v>0</v>
      </c>
      <c r="M2614" t="n">
        <v>0</v>
      </c>
      <c r="N2614" t="n">
        <v>0</v>
      </c>
      <c r="O2614" t="n">
        <v>0</v>
      </c>
      <c r="P2614" t="n">
        <v>0</v>
      </c>
      <c r="Q2614" t="n">
        <v>0</v>
      </c>
      <c r="R2614" t="n">
        <v>0</v>
      </c>
      <c r="S2614" t="n">
        <v>0</v>
      </c>
      <c r="T2614" t="n">
        <v>0</v>
      </c>
      <c r="U2614" t="n">
        <v>0</v>
      </c>
      <c r="V2614" s="2" t="inlineStr"/>
    </row>
    <row r="2615" ht="15" customHeight="1">
      <c r="A2615" t="inlineStr">
        <is>
          <t>A 1407-2025</t>
        </is>
      </c>
      <c r="B2615" t="inlineStr">
        <is>
          <t>avverkningsanmälan</t>
        </is>
      </c>
      <c r="C2615" t="inlineStr">
        <is>
          <t>Föryngringsavverkning</t>
        </is>
      </c>
      <c r="D2615" s="1" t="n">
        <v>45667</v>
      </c>
      <c r="E2615" s="1" t="n">
        <v>46313</v>
      </c>
      <c r="F2615" t="inlineStr">
        <is>
          <t>SÖDERMANLANDS LÄN</t>
        </is>
      </c>
      <c r="G2615" t="inlineStr">
        <is>
          <t>NYKÖPING</t>
        </is>
      </c>
      <c r="I2615" t="n">
        <v>0.9</v>
      </c>
      <c r="J2615" t="n">
        <v>0</v>
      </c>
      <c r="K2615" t="n">
        <v>0</v>
      </c>
      <c r="L2615" t="n">
        <v>0</v>
      </c>
      <c r="M2615" t="n">
        <v>0</v>
      </c>
      <c r="N2615" t="n">
        <v>0</v>
      </c>
      <c r="O2615" t="n">
        <v>0</v>
      </c>
      <c r="P2615" t="n">
        <v>0</v>
      </c>
      <c r="Q2615" t="n">
        <v>0</v>
      </c>
      <c r="R2615" t="n">
        <v>0</v>
      </c>
      <c r="S2615" t="n">
        <v>0</v>
      </c>
      <c r="T2615" t="n">
        <v>0</v>
      </c>
      <c r="U2615" t="n">
        <v>0</v>
      </c>
      <c r="V2615" s="2" t="inlineStr"/>
    </row>
    <row r="2616" ht="15" customHeight="1">
      <c r="A2616" t="inlineStr">
        <is>
          <t>A 20326-2023</t>
        </is>
      </c>
      <c r="B2616" t="inlineStr">
        <is>
          <t>avverkningsanmälan</t>
        </is>
      </c>
      <c r="C2616" t="inlineStr">
        <is>
          <t>Föryngringsavverkning</t>
        </is>
      </c>
      <c r="D2616" s="1" t="n">
        <v>45056</v>
      </c>
      <c r="E2616" s="1" t="n">
        <v>46313</v>
      </c>
      <c r="F2616" t="inlineStr">
        <is>
          <t>SÖDERMANLANDS LÄN</t>
        </is>
      </c>
      <c r="G2616" t="inlineStr">
        <is>
          <t>KATRINEHOLM</t>
        </is>
      </c>
      <c r="I2616" t="n">
        <v>0.9</v>
      </c>
      <c r="J2616" t="n">
        <v>0</v>
      </c>
      <c r="K2616" t="n">
        <v>0</v>
      </c>
      <c r="L2616" t="n">
        <v>0</v>
      </c>
      <c r="M2616" t="n">
        <v>0</v>
      </c>
      <c r="N2616" t="n">
        <v>0</v>
      </c>
      <c r="O2616" t="n">
        <v>0</v>
      </c>
      <c r="P2616" t="n">
        <v>0</v>
      </c>
      <c r="Q2616" t="n">
        <v>0</v>
      </c>
      <c r="R2616" t="n">
        <v>0</v>
      </c>
      <c r="S2616" t="n">
        <v>0</v>
      </c>
      <c r="T2616" t="n">
        <v>0</v>
      </c>
      <c r="U2616" t="n">
        <v>0</v>
      </c>
      <c r="V2616" s="2" t="inlineStr"/>
    </row>
    <row r="2617" ht="15" customHeight="1">
      <c r="A2617" t="inlineStr">
        <is>
          <t>A 67337-2021</t>
        </is>
      </c>
      <c r="B2617" t="inlineStr">
        <is>
          <t>avverkningsanmälan</t>
        </is>
      </c>
      <c r="C2617" t="inlineStr">
        <is>
          <t>Föryngringsavverkning</t>
        </is>
      </c>
      <c r="D2617" s="1" t="n">
        <v>44523</v>
      </c>
      <c r="E2617" s="1" t="n">
        <v>46313</v>
      </c>
      <c r="F2617" t="inlineStr">
        <is>
          <t>SÖDERMANLANDS LÄN</t>
        </is>
      </c>
      <c r="G2617" t="inlineStr">
        <is>
          <t>KATRINEHOLM</t>
        </is>
      </c>
      <c r="I2617" t="n">
        <v>5.2</v>
      </c>
      <c r="J2617" t="n">
        <v>0</v>
      </c>
      <c r="K2617" t="n">
        <v>0</v>
      </c>
      <c r="L2617" t="n">
        <v>0</v>
      </c>
      <c r="M2617" t="n">
        <v>0</v>
      </c>
      <c r="N2617" t="n">
        <v>0</v>
      </c>
      <c r="O2617" t="n">
        <v>0</v>
      </c>
      <c r="P2617" t="n">
        <v>0</v>
      </c>
      <c r="Q2617" t="n">
        <v>0</v>
      </c>
      <c r="R2617" t="n">
        <v>0</v>
      </c>
      <c r="S2617" t="n">
        <v>0</v>
      </c>
      <c r="T2617" t="n">
        <v>0</v>
      </c>
      <c r="U2617" t="n">
        <v>0</v>
      </c>
      <c r="V2617" s="2" t="inlineStr"/>
    </row>
    <row r="2618" ht="15" customHeight="1">
      <c r="A2618" t="inlineStr">
        <is>
          <t>A 61656-2023</t>
        </is>
      </c>
      <c r="B2618" t="inlineStr">
        <is>
          <t>avverkningsanmälan</t>
        </is>
      </c>
      <c r="C2618" t="inlineStr">
        <is>
          <t>Föryngringsavverkning</t>
        </is>
      </c>
      <c r="D2618" s="1" t="n">
        <v>45265</v>
      </c>
      <c r="E2618" s="1" t="n">
        <v>46313</v>
      </c>
      <c r="F2618" t="inlineStr">
        <is>
          <t>SÖDERMANLANDS LÄN</t>
        </is>
      </c>
      <c r="G2618" t="inlineStr">
        <is>
          <t>STRÄNGNÄS</t>
        </is>
      </c>
      <c r="I2618" t="n">
        <v>2.1</v>
      </c>
      <c r="J2618" t="n">
        <v>0</v>
      </c>
      <c r="K2618" t="n">
        <v>0</v>
      </c>
      <c r="L2618" t="n">
        <v>0</v>
      </c>
      <c r="M2618" t="n">
        <v>0</v>
      </c>
      <c r="N2618" t="n">
        <v>0</v>
      </c>
      <c r="O2618" t="n">
        <v>0</v>
      </c>
      <c r="P2618" t="n">
        <v>0</v>
      </c>
      <c r="Q2618" t="n">
        <v>0</v>
      </c>
      <c r="R2618" t="n">
        <v>0</v>
      </c>
      <c r="S2618" t="n">
        <v>0</v>
      </c>
      <c r="T2618" t="n">
        <v>0</v>
      </c>
      <c r="U2618" t="n">
        <v>0</v>
      </c>
      <c r="V2618" s="2" t="inlineStr"/>
    </row>
    <row r="2619" ht="15" customHeight="1">
      <c r="A2619" t="inlineStr">
        <is>
          <t>A 30963-2026</t>
        </is>
      </c>
      <c r="B2619" t="inlineStr">
        <is>
          <t>avverkningsanmälan</t>
        </is>
      </c>
      <c r="C2619" t="inlineStr">
        <is>
          <t>Föryngringsavverkning</t>
        </is>
      </c>
      <c r="D2619" s="1" t="n">
        <v>46213</v>
      </c>
      <c r="E2619" s="1" t="n">
        <v>46313</v>
      </c>
      <c r="F2619" t="inlineStr">
        <is>
          <t>SÖDERMANLANDS LÄN</t>
        </is>
      </c>
      <c r="G2619" t="inlineStr">
        <is>
          <t>ESKILSTUNA</t>
        </is>
      </c>
      <c r="I2619" t="n">
        <v>2.4</v>
      </c>
      <c r="J2619" t="n">
        <v>0</v>
      </c>
      <c r="K2619" t="n">
        <v>0</v>
      </c>
      <c r="L2619" t="n">
        <v>0</v>
      </c>
      <c r="M2619" t="n">
        <v>0</v>
      </c>
      <c r="N2619" t="n">
        <v>0</v>
      </c>
      <c r="O2619" t="n">
        <v>0</v>
      </c>
      <c r="P2619" t="n">
        <v>0</v>
      </c>
      <c r="Q2619" t="n">
        <v>0</v>
      </c>
      <c r="R2619" t="n">
        <v>0</v>
      </c>
      <c r="S2619" t="n">
        <v>0</v>
      </c>
      <c r="T2619" t="n">
        <v>0</v>
      </c>
      <c r="U2619" t="n">
        <v>0</v>
      </c>
      <c r="V2619" s="2" t="inlineStr"/>
    </row>
    <row r="2620" ht="15" customHeight="1">
      <c r="A2620" t="inlineStr">
        <is>
          <t>A 31200-2026</t>
        </is>
      </c>
      <c r="B2620" t="inlineStr">
        <is>
          <t>avverkningsanmälan</t>
        </is>
      </c>
      <c r="C2620" t="inlineStr">
        <is>
          <t>Föryngringsavverkning</t>
        </is>
      </c>
      <c r="D2620" s="1" t="n">
        <v>46217</v>
      </c>
      <c r="E2620" s="1" t="n">
        <v>46313</v>
      </c>
      <c r="F2620" t="inlineStr">
        <is>
          <t>SÖDERMANLANDS LÄN</t>
        </is>
      </c>
      <c r="G2620" t="inlineStr">
        <is>
          <t>ESKILSTUNA</t>
        </is>
      </c>
      <c r="H2620" t="inlineStr">
        <is>
          <t>Kommuner</t>
        </is>
      </c>
      <c r="I2620" t="n">
        <v>1.7</v>
      </c>
      <c r="J2620" t="n">
        <v>0</v>
      </c>
      <c r="K2620" t="n">
        <v>0</v>
      </c>
      <c r="L2620" t="n">
        <v>0</v>
      </c>
      <c r="M2620" t="n">
        <v>0</v>
      </c>
      <c r="N2620" t="n">
        <v>0</v>
      </c>
      <c r="O2620" t="n">
        <v>0</v>
      </c>
      <c r="P2620" t="n">
        <v>0</v>
      </c>
      <c r="Q2620" t="n">
        <v>0</v>
      </c>
      <c r="R2620" t="n">
        <v>0</v>
      </c>
      <c r="S2620" t="n">
        <v>0</v>
      </c>
      <c r="T2620" t="n">
        <v>0</v>
      </c>
      <c r="U2620" t="n">
        <v>0</v>
      </c>
      <c r="V2620" s="2" t="inlineStr"/>
    </row>
    <row r="2621" ht="15" customHeight="1">
      <c r="A2621" t="inlineStr">
        <is>
          <t>A 31203-2026</t>
        </is>
      </c>
      <c r="B2621" t="inlineStr">
        <is>
          <t>avverkningsanmälan</t>
        </is>
      </c>
      <c r="C2621" t="inlineStr">
        <is>
          <t>Föryngringsavverkning</t>
        </is>
      </c>
      <c r="D2621" s="1" t="n">
        <v>46217</v>
      </c>
      <c r="E2621" s="1" t="n">
        <v>46313</v>
      </c>
      <c r="F2621" t="inlineStr">
        <is>
          <t>SÖDERMANLANDS LÄN</t>
        </is>
      </c>
      <c r="G2621" t="inlineStr">
        <is>
          <t>ESKILSTUNA</t>
        </is>
      </c>
      <c r="H2621" t="inlineStr">
        <is>
          <t>Kommuner</t>
        </is>
      </c>
      <c r="I2621" t="n">
        <v>1.7</v>
      </c>
      <c r="J2621" t="n">
        <v>0</v>
      </c>
      <c r="K2621" t="n">
        <v>0</v>
      </c>
      <c r="L2621" t="n">
        <v>0</v>
      </c>
      <c r="M2621" t="n">
        <v>0</v>
      </c>
      <c r="N2621" t="n">
        <v>0</v>
      </c>
      <c r="O2621" t="n">
        <v>0</v>
      </c>
      <c r="P2621" t="n">
        <v>0</v>
      </c>
      <c r="Q2621" t="n">
        <v>0</v>
      </c>
      <c r="R2621" t="n">
        <v>0</v>
      </c>
      <c r="S2621" t="n">
        <v>0</v>
      </c>
      <c r="T2621" t="n">
        <v>0</v>
      </c>
      <c r="U2621" t="n">
        <v>0</v>
      </c>
      <c r="V2621" s="2" t="inlineStr"/>
    </row>
    <row r="2622" ht="15" customHeight="1">
      <c r="A2622" t="inlineStr">
        <is>
          <t>A 16495-2022</t>
        </is>
      </c>
      <c r="B2622" t="inlineStr">
        <is>
          <t>avverkningsanmälan</t>
        </is>
      </c>
      <c r="C2622" t="inlineStr">
        <is>
          <t>Föryngringsavverkning</t>
        </is>
      </c>
      <c r="D2622" s="1" t="n">
        <v>44671</v>
      </c>
      <c r="E2622" s="1" t="n">
        <v>46313</v>
      </c>
      <c r="F2622" t="inlineStr">
        <is>
          <t>SÖDERMANLANDS LÄN</t>
        </is>
      </c>
      <c r="G2622" t="inlineStr">
        <is>
          <t>VINGÅKER</t>
        </is>
      </c>
      <c r="I2622" t="n">
        <v>2.8</v>
      </c>
      <c r="J2622" t="n">
        <v>0</v>
      </c>
      <c r="K2622" t="n">
        <v>0</v>
      </c>
      <c r="L2622" t="n">
        <v>0</v>
      </c>
      <c r="M2622" t="n">
        <v>0</v>
      </c>
      <c r="N2622" t="n">
        <v>0</v>
      </c>
      <c r="O2622" t="n">
        <v>0</v>
      </c>
      <c r="P2622" t="n">
        <v>0</v>
      </c>
      <c r="Q2622" t="n">
        <v>0</v>
      </c>
      <c r="R2622" t="n">
        <v>0</v>
      </c>
      <c r="S2622" t="n">
        <v>0</v>
      </c>
      <c r="T2622" t="n">
        <v>0</v>
      </c>
      <c r="U2622" t="n">
        <v>0</v>
      </c>
      <c r="V2622" s="2" t="inlineStr"/>
    </row>
    <row r="2623" ht="15" customHeight="1">
      <c r="A2623" t="inlineStr">
        <is>
          <t>A 9044-2022</t>
        </is>
      </c>
      <c r="B2623" t="inlineStr">
        <is>
          <t>avverkningsanmälan</t>
        </is>
      </c>
      <c r="C2623" t="inlineStr">
        <is>
          <t>Föryngringsavverkning</t>
        </is>
      </c>
      <c r="D2623" s="1" t="n">
        <v>44602</v>
      </c>
      <c r="E2623" s="1" t="n">
        <v>46313</v>
      </c>
      <c r="F2623" t="inlineStr">
        <is>
          <t>SÖDERMANLANDS LÄN</t>
        </is>
      </c>
      <c r="G2623" t="inlineStr">
        <is>
          <t>KATRINEHOLM</t>
        </is>
      </c>
      <c r="I2623" t="n">
        <v>5.8</v>
      </c>
      <c r="J2623" t="n">
        <v>0</v>
      </c>
      <c r="K2623" t="n">
        <v>0</v>
      </c>
      <c r="L2623" t="n">
        <v>0</v>
      </c>
      <c r="M2623" t="n">
        <v>0</v>
      </c>
      <c r="N2623" t="n">
        <v>0</v>
      </c>
      <c r="O2623" t="n">
        <v>0</v>
      </c>
      <c r="P2623" t="n">
        <v>0</v>
      </c>
      <c r="Q2623" t="n">
        <v>0</v>
      </c>
      <c r="R2623" t="n">
        <v>0</v>
      </c>
      <c r="S2623" t="n">
        <v>0</v>
      </c>
      <c r="T2623" t="n">
        <v>0</v>
      </c>
      <c r="U2623" t="n">
        <v>0</v>
      </c>
      <c r="V2623" s="2" t="inlineStr"/>
    </row>
    <row r="2624" ht="15" customHeight="1">
      <c r="A2624" t="inlineStr">
        <is>
          <t>A 6956-2023</t>
        </is>
      </c>
      <c r="B2624" t="inlineStr">
        <is>
          <t>avverkningsanmälan</t>
        </is>
      </c>
      <c r="C2624" t="inlineStr">
        <is>
          <t>Föryngringsavverkning</t>
        </is>
      </c>
      <c r="D2624" s="1" t="n">
        <v>44964</v>
      </c>
      <c r="E2624" s="1" t="n">
        <v>46313</v>
      </c>
      <c r="F2624" t="inlineStr">
        <is>
          <t>SÖDERMANLANDS LÄN</t>
        </is>
      </c>
      <c r="G2624" t="inlineStr">
        <is>
          <t>ESKILSTUNA</t>
        </is>
      </c>
      <c r="I2624" t="n">
        <v>3.4</v>
      </c>
      <c r="J2624" t="n">
        <v>0</v>
      </c>
      <c r="K2624" t="n">
        <v>0</v>
      </c>
      <c r="L2624" t="n">
        <v>0</v>
      </c>
      <c r="M2624" t="n">
        <v>0</v>
      </c>
      <c r="N2624" t="n">
        <v>0</v>
      </c>
      <c r="O2624" t="n">
        <v>0</v>
      </c>
      <c r="P2624" t="n">
        <v>0</v>
      </c>
      <c r="Q2624" t="n">
        <v>0</v>
      </c>
      <c r="R2624" t="n">
        <v>0</v>
      </c>
      <c r="S2624" t="n">
        <v>0</v>
      </c>
      <c r="T2624" t="n">
        <v>0</v>
      </c>
      <c r="U2624" t="n">
        <v>0</v>
      </c>
      <c r="V2624" s="2" t="inlineStr"/>
    </row>
    <row r="2625" ht="15" customHeight="1">
      <c r="A2625" t="inlineStr">
        <is>
          <t>A 32837-2022</t>
        </is>
      </c>
      <c r="B2625" t="inlineStr">
        <is>
          <t>avverkningsanmälan</t>
        </is>
      </c>
      <c r="C2625" t="inlineStr">
        <is>
          <t>Avverkning för annat ändamål</t>
        </is>
      </c>
      <c r="D2625" s="1" t="n">
        <v>44784</v>
      </c>
      <c r="E2625" s="1" t="n">
        <v>46313</v>
      </c>
      <c r="F2625" t="inlineStr">
        <is>
          <t>SÖDERMANLANDS LÄN</t>
        </is>
      </c>
      <c r="G2625" t="inlineStr">
        <is>
          <t>NYKÖPING</t>
        </is>
      </c>
      <c r="H2625" t="inlineStr">
        <is>
          <t>Kommuner</t>
        </is>
      </c>
      <c r="I2625" t="n">
        <v>4.8</v>
      </c>
      <c r="J2625" t="n">
        <v>0</v>
      </c>
      <c r="K2625" t="n">
        <v>0</v>
      </c>
      <c r="L2625" t="n">
        <v>0</v>
      </c>
      <c r="M2625" t="n">
        <v>0</v>
      </c>
      <c r="N2625" t="n">
        <v>0</v>
      </c>
      <c r="O2625" t="n">
        <v>0</v>
      </c>
      <c r="P2625" t="n">
        <v>0</v>
      </c>
      <c r="Q2625" t="n">
        <v>0</v>
      </c>
      <c r="R2625" t="n">
        <v>0</v>
      </c>
      <c r="S2625" t="n">
        <v>0</v>
      </c>
      <c r="T2625" t="n">
        <v>0</v>
      </c>
      <c r="U2625" t="n">
        <v>0</v>
      </c>
      <c r="V2625" s="2" t="inlineStr"/>
    </row>
    <row r="2626" ht="15" customHeight="1">
      <c r="A2626" t="inlineStr">
        <is>
          <t>A 8903-2022</t>
        </is>
      </c>
      <c r="B2626" t="inlineStr">
        <is>
          <t>avverkningsanmälan</t>
        </is>
      </c>
      <c r="C2626" t="inlineStr">
        <is>
          <t>Föryngringsavverkning</t>
        </is>
      </c>
      <c r="D2626" s="1" t="n">
        <v>44614</v>
      </c>
      <c r="E2626" s="1" t="n">
        <v>46313</v>
      </c>
      <c r="F2626" t="inlineStr">
        <is>
          <t>SÖDERMANLANDS LÄN</t>
        </is>
      </c>
      <c r="G2626" t="inlineStr">
        <is>
          <t>FLEN</t>
        </is>
      </c>
      <c r="I2626" t="n">
        <v>1.3</v>
      </c>
      <c r="J2626" t="n">
        <v>0</v>
      </c>
      <c r="K2626" t="n">
        <v>0</v>
      </c>
      <c r="L2626" t="n">
        <v>0</v>
      </c>
      <c r="M2626" t="n">
        <v>0</v>
      </c>
      <c r="N2626" t="n">
        <v>0</v>
      </c>
      <c r="O2626" t="n">
        <v>0</v>
      </c>
      <c r="P2626" t="n">
        <v>0</v>
      </c>
      <c r="Q2626" t="n">
        <v>0</v>
      </c>
      <c r="R2626" t="n">
        <v>0</v>
      </c>
      <c r="S2626" t="n">
        <v>0</v>
      </c>
      <c r="T2626" t="n">
        <v>0</v>
      </c>
      <c r="U2626" t="n">
        <v>0</v>
      </c>
      <c r="V2626" s="2" t="inlineStr"/>
    </row>
    <row r="2627" ht="15" customHeight="1">
      <c r="A2627" t="inlineStr">
        <is>
          <t>A 3304-2024</t>
        </is>
      </c>
      <c r="B2627" t="inlineStr">
        <is>
          <t>avverkningsanmälan</t>
        </is>
      </c>
      <c r="C2627" t="inlineStr">
        <is>
          <t>Föryngringsavverkning</t>
        </is>
      </c>
      <c r="D2627" s="1" t="n">
        <v>45317</v>
      </c>
      <c r="E2627" s="1" t="n">
        <v>46313</v>
      </c>
      <c r="F2627" t="inlineStr">
        <is>
          <t>SÖDERMANLANDS LÄN</t>
        </is>
      </c>
      <c r="G2627" t="inlineStr">
        <is>
          <t>VINGÅKER</t>
        </is>
      </c>
      <c r="I2627" t="n">
        <v>2.6</v>
      </c>
      <c r="J2627" t="n">
        <v>0</v>
      </c>
      <c r="K2627" t="n">
        <v>0</v>
      </c>
      <c r="L2627" t="n">
        <v>0</v>
      </c>
      <c r="M2627" t="n">
        <v>0</v>
      </c>
      <c r="N2627" t="n">
        <v>0</v>
      </c>
      <c r="O2627" t="n">
        <v>0</v>
      </c>
      <c r="P2627" t="n">
        <v>0</v>
      </c>
      <c r="Q2627" t="n">
        <v>0</v>
      </c>
      <c r="R2627" t="n">
        <v>0</v>
      </c>
      <c r="S2627" t="n">
        <v>0</v>
      </c>
      <c r="T2627" t="n">
        <v>0</v>
      </c>
      <c r="U2627" t="n">
        <v>0</v>
      </c>
      <c r="V2627" s="2" t="inlineStr"/>
    </row>
    <row r="2628" ht="15" customHeight="1">
      <c r="A2628" t="inlineStr">
        <is>
          <t>A 69117-2021</t>
        </is>
      </c>
      <c r="B2628" t="inlineStr">
        <is>
          <t>avverkningsanmälan</t>
        </is>
      </c>
      <c r="C2628" t="inlineStr">
        <is>
          <t>Föryngringsavverkning</t>
        </is>
      </c>
      <c r="D2628" s="1" t="n">
        <v>44530</v>
      </c>
      <c r="E2628" s="1" t="n">
        <v>46313</v>
      </c>
      <c r="F2628" t="inlineStr">
        <is>
          <t>SÖDERMANLANDS LÄN</t>
        </is>
      </c>
      <c r="G2628" t="inlineStr">
        <is>
          <t>KATRINEHOLM</t>
        </is>
      </c>
      <c r="I2628" t="n">
        <v>1.7</v>
      </c>
      <c r="J2628" t="n">
        <v>0</v>
      </c>
      <c r="K2628" t="n">
        <v>0</v>
      </c>
      <c r="L2628" t="n">
        <v>0</v>
      </c>
      <c r="M2628" t="n">
        <v>0</v>
      </c>
      <c r="N2628" t="n">
        <v>0</v>
      </c>
      <c r="O2628" t="n">
        <v>0</v>
      </c>
      <c r="P2628" t="n">
        <v>0</v>
      </c>
      <c r="Q2628" t="n">
        <v>0</v>
      </c>
      <c r="R2628" t="n">
        <v>0</v>
      </c>
      <c r="S2628" t="n">
        <v>0</v>
      </c>
      <c r="T2628" t="n">
        <v>0</v>
      </c>
      <c r="U2628" t="n">
        <v>0</v>
      </c>
      <c r="V2628" s="2" t="inlineStr"/>
    </row>
    <row r="2629" ht="15" customHeight="1">
      <c r="A2629" t="inlineStr">
        <is>
          <t>A 27894-2023</t>
        </is>
      </c>
      <c r="B2629" t="inlineStr">
        <is>
          <t>avverkningsanmälan</t>
        </is>
      </c>
      <c r="C2629" t="inlineStr">
        <is>
          <t>Föryngringsavverkning</t>
        </is>
      </c>
      <c r="D2629" s="1" t="n">
        <v>45098</v>
      </c>
      <c r="E2629" s="1" t="n">
        <v>46313</v>
      </c>
      <c r="F2629" t="inlineStr">
        <is>
          <t>SÖDERMANLANDS LÄN</t>
        </is>
      </c>
      <c r="G2629" t="inlineStr">
        <is>
          <t>NYKÖPING</t>
        </is>
      </c>
      <c r="I2629" t="n">
        <v>2.3</v>
      </c>
      <c r="J2629" t="n">
        <v>0</v>
      </c>
      <c r="K2629" t="n">
        <v>0</v>
      </c>
      <c r="L2629" t="n">
        <v>0</v>
      </c>
      <c r="M2629" t="n">
        <v>0</v>
      </c>
      <c r="N2629" t="n">
        <v>0</v>
      </c>
      <c r="O2629" t="n">
        <v>0</v>
      </c>
      <c r="P2629" t="n">
        <v>0</v>
      </c>
      <c r="Q2629" t="n">
        <v>0</v>
      </c>
      <c r="R2629" t="n">
        <v>0</v>
      </c>
      <c r="S2629" t="n">
        <v>0</v>
      </c>
      <c r="T2629" t="n">
        <v>0</v>
      </c>
      <c r="U2629" t="n">
        <v>0</v>
      </c>
      <c r="V2629" s="2" t="inlineStr"/>
    </row>
    <row r="2630" ht="15" customHeight="1">
      <c r="A2630" t="inlineStr">
        <is>
          <t>A 1129-2023</t>
        </is>
      </c>
      <c r="B2630" t="inlineStr">
        <is>
          <t>avverkningsanmälan</t>
        </is>
      </c>
      <c r="C2630" t="inlineStr">
        <is>
          <t>Föryngringsavverkning</t>
        </is>
      </c>
      <c r="D2630" s="1" t="n">
        <v>44930</v>
      </c>
      <c r="E2630" s="1" t="n">
        <v>46313</v>
      </c>
      <c r="F2630" t="inlineStr">
        <is>
          <t>SÖDERMANLANDS LÄN</t>
        </is>
      </c>
      <c r="G2630" t="inlineStr">
        <is>
          <t>ESKILSTUNA</t>
        </is>
      </c>
      <c r="I2630" t="n">
        <v>6</v>
      </c>
      <c r="J2630" t="n">
        <v>0</v>
      </c>
      <c r="K2630" t="n">
        <v>0</v>
      </c>
      <c r="L2630" t="n">
        <v>0</v>
      </c>
      <c r="M2630" t="n">
        <v>0</v>
      </c>
      <c r="N2630" t="n">
        <v>0</v>
      </c>
      <c r="O2630" t="n">
        <v>0</v>
      </c>
      <c r="P2630" t="n">
        <v>0</v>
      </c>
      <c r="Q2630" t="n">
        <v>0</v>
      </c>
      <c r="R2630" t="n">
        <v>0</v>
      </c>
      <c r="S2630" t="n">
        <v>0</v>
      </c>
      <c r="T2630" t="n">
        <v>0</v>
      </c>
      <c r="U2630" t="n">
        <v>0</v>
      </c>
      <c r="V2630" s="2" t="inlineStr"/>
    </row>
    <row r="2631" ht="15" customHeight="1">
      <c r="A2631" t="inlineStr">
        <is>
          <t>A 12559-2023</t>
        </is>
      </c>
      <c r="B2631" t="inlineStr">
        <is>
          <t>avverkningsanmälan</t>
        </is>
      </c>
      <c r="C2631" t="inlineStr">
        <is>
          <t>Föryngringsavverkning</t>
        </is>
      </c>
      <c r="D2631" s="1" t="n">
        <v>45000</v>
      </c>
      <c r="E2631" s="1" t="n">
        <v>46313</v>
      </c>
      <c r="F2631" t="inlineStr">
        <is>
          <t>SÖDERMANLANDS LÄN</t>
        </is>
      </c>
      <c r="G2631" t="inlineStr">
        <is>
          <t>KATRINEHOLM</t>
        </is>
      </c>
      <c r="I2631" t="n">
        <v>0.8</v>
      </c>
      <c r="J2631" t="n">
        <v>0</v>
      </c>
      <c r="K2631" t="n">
        <v>0</v>
      </c>
      <c r="L2631" t="n">
        <v>0</v>
      </c>
      <c r="M2631" t="n">
        <v>0</v>
      </c>
      <c r="N2631" t="n">
        <v>0</v>
      </c>
      <c r="O2631" t="n">
        <v>0</v>
      </c>
      <c r="P2631" t="n">
        <v>0</v>
      </c>
      <c r="Q2631" t="n">
        <v>0</v>
      </c>
      <c r="R2631" t="n">
        <v>0</v>
      </c>
      <c r="S2631" t="n">
        <v>0</v>
      </c>
      <c r="T2631" t="n">
        <v>0</v>
      </c>
      <c r="U2631" t="n">
        <v>0</v>
      </c>
      <c r="V2631" s="2" t="inlineStr"/>
    </row>
    <row r="2632" ht="15" customHeight="1">
      <c r="A2632" t="inlineStr">
        <is>
          <t>A 6722-2022</t>
        </is>
      </c>
      <c r="B2632" t="inlineStr">
        <is>
          <t>avverkningsanmälan</t>
        </is>
      </c>
      <c r="C2632" t="inlineStr">
        <is>
          <t>Föryngringsavverkning</t>
        </is>
      </c>
      <c r="D2632" s="1" t="n">
        <v>44602</v>
      </c>
      <c r="E2632" s="1" t="n">
        <v>46313</v>
      </c>
      <c r="F2632" t="inlineStr">
        <is>
          <t>SÖDERMANLANDS LÄN</t>
        </is>
      </c>
      <c r="G2632" t="inlineStr">
        <is>
          <t>KATRINEHOLM</t>
        </is>
      </c>
      <c r="I2632" t="n">
        <v>1.6</v>
      </c>
      <c r="J2632" t="n">
        <v>0</v>
      </c>
      <c r="K2632" t="n">
        <v>0</v>
      </c>
      <c r="L2632" t="n">
        <v>0</v>
      </c>
      <c r="M2632" t="n">
        <v>0</v>
      </c>
      <c r="N2632" t="n">
        <v>0</v>
      </c>
      <c r="O2632" t="n">
        <v>0</v>
      </c>
      <c r="P2632" t="n">
        <v>0</v>
      </c>
      <c r="Q2632" t="n">
        <v>0</v>
      </c>
      <c r="R2632" t="n">
        <v>0</v>
      </c>
      <c r="S2632" t="n">
        <v>0</v>
      </c>
      <c r="T2632" t="n">
        <v>0</v>
      </c>
      <c r="U2632" t="n">
        <v>0</v>
      </c>
      <c r="V2632" s="2" t="inlineStr"/>
    </row>
    <row r="2633" ht="15" customHeight="1">
      <c r="A2633" t="inlineStr">
        <is>
          <t>A 17247-2025</t>
        </is>
      </c>
      <c r="B2633" t="inlineStr">
        <is>
          <t>avverkningsanmälan</t>
        </is>
      </c>
      <c r="C2633" t="inlineStr">
        <is>
          <t>Föryngringsavverkning</t>
        </is>
      </c>
      <c r="D2633" s="1" t="n">
        <v>45756</v>
      </c>
      <c r="E2633" s="1" t="n">
        <v>46313</v>
      </c>
      <c r="F2633" t="inlineStr">
        <is>
          <t>SÖDERMANLANDS LÄN</t>
        </is>
      </c>
      <c r="G2633" t="inlineStr">
        <is>
          <t>NYKÖPING</t>
        </is>
      </c>
      <c r="H2633" t="inlineStr">
        <is>
          <t>Holmen skog AB</t>
        </is>
      </c>
      <c r="I2633" t="n">
        <v>4.5</v>
      </c>
      <c r="J2633" t="n">
        <v>0</v>
      </c>
      <c r="K2633" t="n">
        <v>0</v>
      </c>
      <c r="L2633" t="n">
        <v>0</v>
      </c>
      <c r="M2633" t="n">
        <v>0</v>
      </c>
      <c r="N2633" t="n">
        <v>0</v>
      </c>
      <c r="O2633" t="n">
        <v>0</v>
      </c>
      <c r="P2633" t="n">
        <v>0</v>
      </c>
      <c r="Q2633" t="n">
        <v>0</v>
      </c>
      <c r="R2633" t="n">
        <v>0</v>
      </c>
      <c r="S2633" t="n">
        <v>0</v>
      </c>
      <c r="T2633" t="n">
        <v>0</v>
      </c>
      <c r="U2633" t="n">
        <v>0</v>
      </c>
      <c r="V2633" s="2" t="inlineStr"/>
    </row>
    <row r="2634" ht="15" customHeight="1">
      <c r="A2634" t="inlineStr">
        <is>
          <t>A 31320-2026</t>
        </is>
      </c>
      <c r="B2634" t="inlineStr">
        <is>
          <t>avverkningsanmälan</t>
        </is>
      </c>
      <c r="C2634" t="inlineStr">
        <is>
          <t>Föryngringsavverkning</t>
        </is>
      </c>
      <c r="D2634" s="1" t="n">
        <v>46219</v>
      </c>
      <c r="E2634" s="1" t="n">
        <v>46313</v>
      </c>
      <c r="F2634" t="inlineStr">
        <is>
          <t>SÖDERMANLANDS LÄN</t>
        </is>
      </c>
      <c r="G2634" t="inlineStr">
        <is>
          <t>ESKILSTUNA</t>
        </is>
      </c>
      <c r="H2634" t="inlineStr">
        <is>
          <t>Sveaskog</t>
        </is>
      </c>
      <c r="I2634" t="n">
        <v>1.8</v>
      </c>
      <c r="J2634" t="n">
        <v>0</v>
      </c>
      <c r="K2634" t="n">
        <v>0</v>
      </c>
      <c r="L2634" t="n">
        <v>0</v>
      </c>
      <c r="M2634" t="n">
        <v>0</v>
      </c>
      <c r="N2634" t="n">
        <v>0</v>
      </c>
      <c r="O2634" t="n">
        <v>0</v>
      </c>
      <c r="P2634" t="n">
        <v>0</v>
      </c>
      <c r="Q2634" t="n">
        <v>0</v>
      </c>
      <c r="R2634" t="n">
        <v>0</v>
      </c>
      <c r="S2634" t="n">
        <v>0</v>
      </c>
      <c r="T2634" t="n">
        <v>0</v>
      </c>
      <c r="U2634" t="n">
        <v>0</v>
      </c>
      <c r="V2634" s="2" t="inlineStr"/>
    </row>
    <row r="2635" ht="15" customHeight="1">
      <c r="A2635" t="inlineStr">
        <is>
          <t>A 11872-2023</t>
        </is>
      </c>
      <c r="B2635" t="inlineStr">
        <is>
          <t>avverkningsanmälan</t>
        </is>
      </c>
      <c r="C2635" t="inlineStr">
        <is>
          <t>Föryngringsavverkning</t>
        </is>
      </c>
      <c r="D2635" s="1" t="n">
        <v>44995</v>
      </c>
      <c r="E2635" s="1" t="n">
        <v>46313</v>
      </c>
      <c r="F2635" t="inlineStr">
        <is>
          <t>SÖDERMANLANDS LÄN</t>
        </is>
      </c>
      <c r="G2635" t="inlineStr">
        <is>
          <t>KATRINEHOLM</t>
        </is>
      </c>
      <c r="H2635" t="inlineStr">
        <is>
          <t>Kommuner</t>
        </is>
      </c>
      <c r="I2635" t="n">
        <v>0.9</v>
      </c>
      <c r="J2635" t="n">
        <v>0</v>
      </c>
      <c r="K2635" t="n">
        <v>0</v>
      </c>
      <c r="L2635" t="n">
        <v>0</v>
      </c>
      <c r="M2635" t="n">
        <v>0</v>
      </c>
      <c r="N2635" t="n">
        <v>0</v>
      </c>
      <c r="O2635" t="n">
        <v>0</v>
      </c>
      <c r="P2635" t="n">
        <v>0</v>
      </c>
      <c r="Q2635" t="n">
        <v>0</v>
      </c>
      <c r="R2635" t="n">
        <v>0</v>
      </c>
      <c r="S2635" t="n">
        <v>0</v>
      </c>
      <c r="T2635" t="n">
        <v>0</v>
      </c>
      <c r="U2635" t="n">
        <v>0</v>
      </c>
      <c r="V2635" s="2" t="inlineStr"/>
    </row>
    <row r="2636" ht="15" customHeight="1">
      <c r="A2636" t="inlineStr">
        <is>
          <t>A 31469-2026</t>
        </is>
      </c>
      <c r="B2636" t="inlineStr">
        <is>
          <t>avverkningsanmälan</t>
        </is>
      </c>
      <c r="C2636" t="inlineStr">
        <is>
          <t>Föryngringsavverkning</t>
        </is>
      </c>
      <c r="D2636" s="1" t="n">
        <v>46222</v>
      </c>
      <c r="E2636" s="1" t="n">
        <v>46313</v>
      </c>
      <c r="F2636" t="inlineStr">
        <is>
          <t>SÖDERMANLANDS LÄN</t>
        </is>
      </c>
      <c r="G2636" t="inlineStr">
        <is>
          <t>NYKÖPING</t>
        </is>
      </c>
      <c r="I2636" t="n">
        <v>3</v>
      </c>
      <c r="J2636" t="n">
        <v>0</v>
      </c>
      <c r="K2636" t="n">
        <v>0</v>
      </c>
      <c r="L2636" t="n">
        <v>0</v>
      </c>
      <c r="M2636" t="n">
        <v>0</v>
      </c>
      <c r="N2636" t="n">
        <v>0</v>
      </c>
      <c r="O2636" t="n">
        <v>0</v>
      </c>
      <c r="P2636" t="n">
        <v>0</v>
      </c>
      <c r="Q2636" t="n">
        <v>0</v>
      </c>
      <c r="R2636" t="n">
        <v>0</v>
      </c>
      <c r="S2636" t="n">
        <v>0</v>
      </c>
      <c r="T2636" t="n">
        <v>0</v>
      </c>
      <c r="U2636" t="n">
        <v>0</v>
      </c>
      <c r="V2636" s="2" t="inlineStr"/>
    </row>
    <row r="2637" ht="15" customHeight="1">
      <c r="A2637" t="inlineStr">
        <is>
          <t>A 18918-2023</t>
        </is>
      </c>
      <c r="B2637" t="inlineStr">
        <is>
          <t>avverkningsanmälan</t>
        </is>
      </c>
      <c r="C2637" t="inlineStr">
        <is>
          <t>Föryngringsavverkning</t>
        </is>
      </c>
      <c r="D2637" s="1" t="n">
        <v>45044</v>
      </c>
      <c r="E2637" s="1" t="n">
        <v>46313</v>
      </c>
      <c r="F2637" t="inlineStr">
        <is>
          <t>SÖDERMANLANDS LÄN</t>
        </is>
      </c>
      <c r="G2637" t="inlineStr">
        <is>
          <t>NYKÖPING</t>
        </is>
      </c>
      <c r="I2637" t="n">
        <v>0.4</v>
      </c>
      <c r="J2637" t="n">
        <v>0</v>
      </c>
      <c r="K2637" t="n">
        <v>0</v>
      </c>
      <c r="L2637" t="n">
        <v>0</v>
      </c>
      <c r="M2637" t="n">
        <v>0</v>
      </c>
      <c r="N2637" t="n">
        <v>0</v>
      </c>
      <c r="O2637" t="n">
        <v>0</v>
      </c>
      <c r="P2637" t="n">
        <v>0</v>
      </c>
      <c r="Q2637" t="n">
        <v>0</v>
      </c>
      <c r="R2637" t="n">
        <v>0</v>
      </c>
      <c r="S2637" t="n">
        <v>0</v>
      </c>
      <c r="T2637" t="n">
        <v>0</v>
      </c>
      <c r="U2637" t="n">
        <v>0</v>
      </c>
      <c r="V2637" s="2" t="inlineStr"/>
    </row>
    <row r="2638" ht="15" customHeight="1">
      <c r="A2638" t="inlineStr">
        <is>
          <t>A 18926-2023</t>
        </is>
      </c>
      <c r="B2638" t="inlineStr">
        <is>
          <t>avverkningsanmälan</t>
        </is>
      </c>
      <c r="C2638" t="inlineStr">
        <is>
          <t>Föryngringsavverkning</t>
        </is>
      </c>
      <c r="D2638" s="1" t="n">
        <v>45044</v>
      </c>
      <c r="E2638" s="1" t="n">
        <v>46313</v>
      </c>
      <c r="F2638" t="inlineStr">
        <is>
          <t>SÖDERMANLANDS LÄN</t>
        </is>
      </c>
      <c r="G2638" t="inlineStr">
        <is>
          <t>NYKÖPING</t>
        </is>
      </c>
      <c r="H2638" t="inlineStr">
        <is>
          <t>Holmen skog AB</t>
        </is>
      </c>
      <c r="I2638" t="n">
        <v>0.8</v>
      </c>
      <c r="J2638" t="n">
        <v>0</v>
      </c>
      <c r="K2638" t="n">
        <v>0</v>
      </c>
      <c r="L2638" t="n">
        <v>0</v>
      </c>
      <c r="M2638" t="n">
        <v>0</v>
      </c>
      <c r="N2638" t="n">
        <v>0</v>
      </c>
      <c r="O2638" t="n">
        <v>0</v>
      </c>
      <c r="P2638" t="n">
        <v>0</v>
      </c>
      <c r="Q2638" t="n">
        <v>0</v>
      </c>
      <c r="R2638" t="n">
        <v>0</v>
      </c>
      <c r="S2638" t="n">
        <v>0</v>
      </c>
      <c r="T2638" t="n">
        <v>0</v>
      </c>
      <c r="U2638" t="n">
        <v>0</v>
      </c>
      <c r="V2638" s="2" t="inlineStr"/>
    </row>
    <row r="2639" ht="15" customHeight="1">
      <c r="A2639" t="inlineStr">
        <is>
          <t>A 10281-2025</t>
        </is>
      </c>
      <c r="B2639" t="inlineStr">
        <is>
          <t>avverkningsanmälan</t>
        </is>
      </c>
      <c r="C2639" t="inlineStr">
        <is>
          <t>Föryngringsavverkning</t>
        </is>
      </c>
      <c r="D2639" s="1" t="n">
        <v>45720</v>
      </c>
      <c r="E2639" s="1" t="n">
        <v>46313</v>
      </c>
      <c r="F2639" t="inlineStr">
        <is>
          <t>SÖDERMANLANDS LÄN</t>
        </is>
      </c>
      <c r="G2639" t="inlineStr">
        <is>
          <t>FLEN</t>
        </is>
      </c>
      <c r="I2639" t="n">
        <v>0.8</v>
      </c>
      <c r="J2639" t="n">
        <v>0</v>
      </c>
      <c r="K2639" t="n">
        <v>0</v>
      </c>
      <c r="L2639" t="n">
        <v>0</v>
      </c>
      <c r="M2639" t="n">
        <v>0</v>
      </c>
      <c r="N2639" t="n">
        <v>0</v>
      </c>
      <c r="O2639" t="n">
        <v>0</v>
      </c>
      <c r="P2639" t="n">
        <v>0</v>
      </c>
      <c r="Q2639" t="n">
        <v>0</v>
      </c>
      <c r="R2639" t="n">
        <v>0</v>
      </c>
      <c r="S2639" t="n">
        <v>0</v>
      </c>
      <c r="T2639" t="n">
        <v>0</v>
      </c>
      <c r="U2639" t="n">
        <v>0</v>
      </c>
      <c r="V2639" s="2" t="inlineStr"/>
    </row>
    <row r="2640" ht="15" customHeight="1">
      <c r="A2640" t="inlineStr">
        <is>
          <t>A 73493-2021</t>
        </is>
      </c>
      <c r="B2640" t="inlineStr">
        <is>
          <t>avverkningsanmälan</t>
        </is>
      </c>
      <c r="C2640" t="inlineStr">
        <is>
          <t>Föryngringsavverkning</t>
        </is>
      </c>
      <c r="D2640" s="1" t="n">
        <v>44551</v>
      </c>
      <c r="E2640" s="1" t="n">
        <v>46313</v>
      </c>
      <c r="F2640" t="inlineStr">
        <is>
          <t>SÖDERMANLANDS LÄN</t>
        </is>
      </c>
      <c r="G2640" t="inlineStr">
        <is>
          <t>GNESTA</t>
        </is>
      </c>
      <c r="I2640" t="n">
        <v>2.6</v>
      </c>
      <c r="J2640" t="n">
        <v>0</v>
      </c>
      <c r="K2640" t="n">
        <v>0</v>
      </c>
      <c r="L2640" t="n">
        <v>0</v>
      </c>
      <c r="M2640" t="n">
        <v>0</v>
      </c>
      <c r="N2640" t="n">
        <v>0</v>
      </c>
      <c r="O2640" t="n">
        <v>0</v>
      </c>
      <c r="P2640" t="n">
        <v>0</v>
      </c>
      <c r="Q2640" t="n">
        <v>0</v>
      </c>
      <c r="R2640" t="n">
        <v>0</v>
      </c>
      <c r="S2640" t="n">
        <v>0</v>
      </c>
      <c r="T2640" t="n">
        <v>0</v>
      </c>
      <c r="U2640" t="n">
        <v>0</v>
      </c>
      <c r="V2640" s="2" t="inlineStr"/>
    </row>
    <row r="2641" ht="15" customHeight="1">
      <c r="A2641" t="inlineStr">
        <is>
          <t>A 57524-2022</t>
        </is>
      </c>
      <c r="B2641" t="inlineStr">
        <is>
          <t>avverkningsanmälan</t>
        </is>
      </c>
      <c r="C2641" t="inlineStr">
        <is>
          <t>Föryngringsavverkning</t>
        </is>
      </c>
      <c r="D2641" s="1" t="n">
        <v>44889</v>
      </c>
      <c r="E2641" s="1" t="n">
        <v>46313</v>
      </c>
      <c r="F2641" t="inlineStr">
        <is>
          <t>SÖDERMANLANDS LÄN</t>
        </is>
      </c>
      <c r="G2641" t="inlineStr">
        <is>
          <t>ESKILSTUNA</t>
        </is>
      </c>
      <c r="I2641" t="n">
        <v>1.4</v>
      </c>
      <c r="J2641" t="n">
        <v>0</v>
      </c>
      <c r="K2641" t="n">
        <v>0</v>
      </c>
      <c r="L2641" t="n">
        <v>0</v>
      </c>
      <c r="M2641" t="n">
        <v>0</v>
      </c>
      <c r="N2641" t="n">
        <v>0</v>
      </c>
      <c r="O2641" t="n">
        <v>0</v>
      </c>
      <c r="P2641" t="n">
        <v>0</v>
      </c>
      <c r="Q2641" t="n">
        <v>0</v>
      </c>
      <c r="R2641" t="n">
        <v>0</v>
      </c>
      <c r="S2641" t="n">
        <v>0</v>
      </c>
      <c r="T2641" t="n">
        <v>0</v>
      </c>
      <c r="U2641" t="n">
        <v>0</v>
      </c>
      <c r="V2641" s="2" t="inlineStr"/>
    </row>
    <row r="2642" ht="15" customHeight="1">
      <c r="A2642" t="inlineStr">
        <is>
          <t>A 13027-2024</t>
        </is>
      </c>
      <c r="B2642" t="inlineStr">
        <is>
          <t>avverkningsanmälan</t>
        </is>
      </c>
      <c r="C2642" t="inlineStr">
        <is>
          <t>Föryngringsavverkning</t>
        </is>
      </c>
      <c r="D2642" s="1" t="n">
        <v>45385</v>
      </c>
      <c r="E2642" s="1" t="n">
        <v>46313</v>
      </c>
      <c r="F2642" t="inlineStr">
        <is>
          <t>SÖDERMANLANDS LÄN</t>
        </is>
      </c>
      <c r="G2642" t="inlineStr">
        <is>
          <t>NYKÖPING</t>
        </is>
      </c>
      <c r="I2642" t="n">
        <v>0.7</v>
      </c>
      <c r="J2642" t="n">
        <v>0</v>
      </c>
      <c r="K2642" t="n">
        <v>0</v>
      </c>
      <c r="L2642" t="n">
        <v>0</v>
      </c>
      <c r="M2642" t="n">
        <v>0</v>
      </c>
      <c r="N2642" t="n">
        <v>0</v>
      </c>
      <c r="O2642" t="n">
        <v>0</v>
      </c>
      <c r="P2642" t="n">
        <v>0</v>
      </c>
      <c r="Q2642" t="n">
        <v>0</v>
      </c>
      <c r="R2642" t="n">
        <v>0</v>
      </c>
      <c r="S2642" t="n">
        <v>0</v>
      </c>
      <c r="T2642" t="n">
        <v>0</v>
      </c>
      <c r="U2642" t="n">
        <v>0</v>
      </c>
      <c r="V2642" s="2" t="inlineStr"/>
    </row>
    <row r="2643" ht="15" customHeight="1">
      <c r="A2643" t="inlineStr">
        <is>
          <t>A 21142-2023</t>
        </is>
      </c>
      <c r="B2643" t="inlineStr">
        <is>
          <t>avverkningsanmälan</t>
        </is>
      </c>
      <c r="C2643" t="inlineStr">
        <is>
          <t>Föryngringsavverkning</t>
        </is>
      </c>
      <c r="D2643" s="1" t="n">
        <v>45062</v>
      </c>
      <c r="E2643" s="1" t="n">
        <v>46313</v>
      </c>
      <c r="F2643" t="inlineStr">
        <is>
          <t>SÖDERMANLANDS LÄN</t>
        </is>
      </c>
      <c r="G2643" t="inlineStr">
        <is>
          <t>NYKÖPING</t>
        </is>
      </c>
      <c r="I2643" t="n">
        <v>0.2</v>
      </c>
      <c r="J2643" t="n">
        <v>0</v>
      </c>
      <c r="K2643" t="n">
        <v>0</v>
      </c>
      <c r="L2643" t="n">
        <v>0</v>
      </c>
      <c r="M2643" t="n">
        <v>0</v>
      </c>
      <c r="N2643" t="n">
        <v>0</v>
      </c>
      <c r="O2643" t="n">
        <v>0</v>
      </c>
      <c r="P2643" t="n">
        <v>0</v>
      </c>
      <c r="Q2643" t="n">
        <v>0</v>
      </c>
      <c r="R2643" t="n">
        <v>0</v>
      </c>
      <c r="S2643" t="n">
        <v>0</v>
      </c>
      <c r="T2643" t="n">
        <v>0</v>
      </c>
      <c r="U2643" t="n">
        <v>0</v>
      </c>
      <c r="V2643" s="2" t="inlineStr"/>
    </row>
    <row r="2644" ht="15" customHeight="1">
      <c r="A2644" t="inlineStr">
        <is>
          <t>A 58022-2022</t>
        </is>
      </c>
      <c r="B2644" t="inlineStr">
        <is>
          <t>avverkningsanmälan</t>
        </is>
      </c>
      <c r="C2644" t="inlineStr">
        <is>
          <t>Föryngringsavverkning</t>
        </is>
      </c>
      <c r="D2644" s="1" t="n">
        <v>44900</v>
      </c>
      <c r="E2644" s="1" t="n">
        <v>46313</v>
      </c>
      <c r="F2644" t="inlineStr">
        <is>
          <t>SÖDERMANLANDS LÄN</t>
        </is>
      </c>
      <c r="G2644" t="inlineStr">
        <is>
          <t>STRÄNGNÄS</t>
        </is>
      </c>
      <c r="I2644" t="n">
        <v>1.2</v>
      </c>
      <c r="J2644" t="n">
        <v>0</v>
      </c>
      <c r="K2644" t="n">
        <v>0</v>
      </c>
      <c r="L2644" t="n">
        <v>0</v>
      </c>
      <c r="M2644" t="n">
        <v>0</v>
      </c>
      <c r="N2644" t="n">
        <v>0</v>
      </c>
      <c r="O2644" t="n">
        <v>0</v>
      </c>
      <c r="P2644" t="n">
        <v>0</v>
      </c>
      <c r="Q2644" t="n">
        <v>0</v>
      </c>
      <c r="R2644" t="n">
        <v>0</v>
      </c>
      <c r="S2644" t="n">
        <v>0</v>
      </c>
      <c r="T2644" t="n">
        <v>0</v>
      </c>
      <c r="U2644" t="n">
        <v>0</v>
      </c>
      <c r="V2644" s="2" t="inlineStr"/>
    </row>
    <row r="2645" ht="15" customHeight="1">
      <c r="A2645" t="inlineStr">
        <is>
          <t>A 16087-2023</t>
        </is>
      </c>
      <c r="B2645" t="inlineStr">
        <is>
          <t>avverkningsanmälan</t>
        </is>
      </c>
      <c r="C2645" t="inlineStr">
        <is>
          <t>Föryngringsavverkning</t>
        </is>
      </c>
      <c r="D2645" s="1" t="n">
        <v>45026</v>
      </c>
      <c r="E2645" s="1" t="n">
        <v>46313</v>
      </c>
      <c r="F2645" t="inlineStr">
        <is>
          <t>SÖDERMANLANDS LÄN</t>
        </is>
      </c>
      <c r="G2645" t="inlineStr">
        <is>
          <t>KATRINEHOLM</t>
        </is>
      </c>
      <c r="I2645" t="n">
        <v>2</v>
      </c>
      <c r="J2645" t="n">
        <v>0</v>
      </c>
      <c r="K2645" t="n">
        <v>0</v>
      </c>
      <c r="L2645" t="n">
        <v>0</v>
      </c>
      <c r="M2645" t="n">
        <v>0</v>
      </c>
      <c r="N2645" t="n">
        <v>0</v>
      </c>
      <c r="O2645" t="n">
        <v>0</v>
      </c>
      <c r="P2645" t="n">
        <v>0</v>
      </c>
      <c r="Q2645" t="n">
        <v>0</v>
      </c>
      <c r="R2645" t="n">
        <v>0</v>
      </c>
      <c r="S2645" t="n">
        <v>0</v>
      </c>
      <c r="T2645" t="n">
        <v>0</v>
      </c>
      <c r="U2645" t="n">
        <v>0</v>
      </c>
      <c r="V2645" s="2" t="inlineStr"/>
    </row>
    <row r="2646" ht="15" customHeight="1">
      <c r="A2646" t="inlineStr">
        <is>
          <t>A 65151-2023</t>
        </is>
      </c>
      <c r="B2646" t="inlineStr">
        <is>
          <t>avverkningsanmälan</t>
        </is>
      </c>
      <c r="C2646" t="inlineStr">
        <is>
          <t>Föryngringsavverkning</t>
        </is>
      </c>
      <c r="D2646" s="1" t="n">
        <v>45288</v>
      </c>
      <c r="E2646" s="1" t="n">
        <v>46313</v>
      </c>
      <c r="F2646" t="inlineStr">
        <is>
          <t>SÖDERMANLANDS LÄN</t>
        </is>
      </c>
      <c r="G2646" t="inlineStr">
        <is>
          <t>STRÄNGNÄS</t>
        </is>
      </c>
      <c r="I2646" t="n">
        <v>2.2</v>
      </c>
      <c r="J2646" t="n">
        <v>0</v>
      </c>
      <c r="K2646" t="n">
        <v>0</v>
      </c>
      <c r="L2646" t="n">
        <v>0</v>
      </c>
      <c r="M2646" t="n">
        <v>0</v>
      </c>
      <c r="N2646" t="n">
        <v>0</v>
      </c>
      <c r="O2646" t="n">
        <v>0</v>
      </c>
      <c r="P2646" t="n">
        <v>0</v>
      </c>
      <c r="Q2646" t="n">
        <v>0</v>
      </c>
      <c r="R2646" t="n">
        <v>0</v>
      </c>
      <c r="S2646" t="n">
        <v>0</v>
      </c>
      <c r="T2646" t="n">
        <v>0</v>
      </c>
      <c r="U2646" t="n">
        <v>0</v>
      </c>
      <c r="V2646" s="2" t="inlineStr"/>
    </row>
    <row r="2647" ht="15" customHeight="1">
      <c r="A2647" t="inlineStr">
        <is>
          <t>A 65231-2023</t>
        </is>
      </c>
      <c r="B2647" t="inlineStr">
        <is>
          <t>avverkningsanmälan</t>
        </is>
      </c>
      <c r="C2647" t="inlineStr">
        <is>
          <t>Föryngringsavverkning</t>
        </is>
      </c>
      <c r="D2647" s="1" t="n">
        <v>45289</v>
      </c>
      <c r="E2647" s="1" t="n">
        <v>46313</v>
      </c>
      <c r="F2647" t="inlineStr">
        <is>
          <t>SÖDERMANLANDS LÄN</t>
        </is>
      </c>
      <c r="G2647" t="inlineStr">
        <is>
          <t>NYKÖPING</t>
        </is>
      </c>
      <c r="I2647" t="n">
        <v>5.4</v>
      </c>
      <c r="J2647" t="n">
        <v>0</v>
      </c>
      <c r="K2647" t="n">
        <v>0</v>
      </c>
      <c r="L2647" t="n">
        <v>0</v>
      </c>
      <c r="M2647" t="n">
        <v>0</v>
      </c>
      <c r="N2647" t="n">
        <v>0</v>
      </c>
      <c r="O2647" t="n">
        <v>0</v>
      </c>
      <c r="P2647" t="n">
        <v>0</v>
      </c>
      <c r="Q2647" t="n">
        <v>0</v>
      </c>
      <c r="R2647" t="n">
        <v>0</v>
      </c>
      <c r="S2647" t="n">
        <v>0</v>
      </c>
      <c r="T2647" t="n">
        <v>0</v>
      </c>
      <c r="U2647" t="n">
        <v>0</v>
      </c>
      <c r="V2647" s="2" t="inlineStr"/>
    </row>
    <row r="2648" ht="15" customHeight="1">
      <c r="A2648" t="inlineStr">
        <is>
          <t>A 18080-2026</t>
        </is>
      </c>
      <c r="B2648" t="inlineStr">
        <is>
          <t>avverkningsanmälan</t>
        </is>
      </c>
      <c r="C2648" t="inlineStr">
        <is>
          <t>Föryngringsavverkning</t>
        </is>
      </c>
      <c r="D2648" s="1" t="n">
        <v>46125</v>
      </c>
      <c r="E2648" s="1" t="n">
        <v>46313</v>
      </c>
      <c r="F2648" t="inlineStr">
        <is>
          <t>SÖDERMANLANDS LÄN</t>
        </is>
      </c>
      <c r="G2648" t="inlineStr">
        <is>
          <t>NYKÖPING</t>
        </is>
      </c>
      <c r="I2648" t="n">
        <v>2.4</v>
      </c>
      <c r="J2648" t="n">
        <v>0</v>
      </c>
      <c r="K2648" t="n">
        <v>0</v>
      </c>
      <c r="L2648" t="n">
        <v>0</v>
      </c>
      <c r="M2648" t="n">
        <v>0</v>
      </c>
      <c r="N2648" t="n">
        <v>0</v>
      </c>
      <c r="O2648" t="n">
        <v>0</v>
      </c>
      <c r="P2648" t="n">
        <v>0</v>
      </c>
      <c r="Q2648" t="n">
        <v>0</v>
      </c>
      <c r="R2648" t="n">
        <v>0</v>
      </c>
      <c r="S2648" t="n">
        <v>0</v>
      </c>
      <c r="T2648" t="n">
        <v>0</v>
      </c>
      <c r="U2648" t="n">
        <v>0</v>
      </c>
      <c r="V2648" s="2" t="inlineStr"/>
    </row>
    <row r="2649" ht="15" customHeight="1">
      <c r="A2649" t="inlineStr">
        <is>
          <t>A 4320-2023</t>
        </is>
      </c>
      <c r="B2649" t="inlineStr">
        <is>
          <t>avverkningsanmälan</t>
        </is>
      </c>
      <c r="C2649" t="inlineStr">
        <is>
          <t>Föryngringsavverkning</t>
        </is>
      </c>
      <c r="D2649" s="1" t="n">
        <v>44953</v>
      </c>
      <c r="E2649" s="1" t="n">
        <v>46313</v>
      </c>
      <c r="F2649" t="inlineStr">
        <is>
          <t>SÖDERMANLANDS LÄN</t>
        </is>
      </c>
      <c r="G2649" t="inlineStr">
        <is>
          <t>STRÄNGNÄS</t>
        </is>
      </c>
      <c r="H2649" t="inlineStr">
        <is>
          <t>Allmännings- och besparingsskogar</t>
        </is>
      </c>
      <c r="I2649" t="n">
        <v>0.6</v>
      </c>
      <c r="J2649" t="n">
        <v>0</v>
      </c>
      <c r="K2649" t="n">
        <v>0</v>
      </c>
      <c r="L2649" t="n">
        <v>0</v>
      </c>
      <c r="M2649" t="n">
        <v>0</v>
      </c>
      <c r="N2649" t="n">
        <v>0</v>
      </c>
      <c r="O2649" t="n">
        <v>0</v>
      </c>
      <c r="P2649" t="n">
        <v>0</v>
      </c>
      <c r="Q2649" t="n">
        <v>0</v>
      </c>
      <c r="R2649" t="n">
        <v>0</v>
      </c>
      <c r="S2649" t="n">
        <v>0</v>
      </c>
      <c r="T2649" t="n">
        <v>0</v>
      </c>
      <c r="U2649" t="n">
        <v>0</v>
      </c>
      <c r="V2649" s="2" t="inlineStr"/>
    </row>
    <row r="2650" ht="15" customHeight="1">
      <c r="A2650" t="inlineStr">
        <is>
          <t>A 53517-2023</t>
        </is>
      </c>
      <c r="B2650" t="inlineStr">
        <is>
          <t>avverkningsanmälan</t>
        </is>
      </c>
      <c r="C2650" t="inlineStr">
        <is>
          <t>Föryngringsavverkning</t>
        </is>
      </c>
      <c r="D2650" s="1" t="n">
        <v>45230</v>
      </c>
      <c r="E2650" s="1" t="n">
        <v>46313</v>
      </c>
      <c r="F2650" t="inlineStr">
        <is>
          <t>SÖDERMANLANDS LÄN</t>
        </is>
      </c>
      <c r="G2650" t="inlineStr">
        <is>
          <t>FLEN</t>
        </is>
      </c>
      <c r="I2650" t="n">
        <v>1.5</v>
      </c>
      <c r="J2650" t="n">
        <v>0</v>
      </c>
      <c r="K2650" t="n">
        <v>0</v>
      </c>
      <c r="L2650" t="n">
        <v>0</v>
      </c>
      <c r="M2650" t="n">
        <v>0</v>
      </c>
      <c r="N2650" t="n">
        <v>0</v>
      </c>
      <c r="O2650" t="n">
        <v>0</v>
      </c>
      <c r="P2650" t="n">
        <v>0</v>
      </c>
      <c r="Q2650" t="n">
        <v>0</v>
      </c>
      <c r="R2650" t="n">
        <v>0</v>
      </c>
      <c r="S2650" t="n">
        <v>0</v>
      </c>
      <c r="T2650" t="n">
        <v>0</v>
      </c>
      <c r="U2650" t="n">
        <v>0</v>
      </c>
      <c r="V2650" s="2" t="inlineStr"/>
    </row>
    <row r="2651" ht="15" customHeight="1">
      <c r="A2651" t="inlineStr">
        <is>
          <t>A 52274-2024</t>
        </is>
      </c>
      <c r="B2651" t="inlineStr">
        <is>
          <t>avverkningsanmälan</t>
        </is>
      </c>
      <c r="C2651" t="inlineStr">
        <is>
          <t>Föryngringsavverkning</t>
        </is>
      </c>
      <c r="D2651" s="1" t="n">
        <v>45608</v>
      </c>
      <c r="E2651" s="1" t="n">
        <v>46313</v>
      </c>
      <c r="F2651" t="inlineStr">
        <is>
          <t>SÖDERMANLANDS LÄN</t>
        </is>
      </c>
      <c r="G2651" t="inlineStr">
        <is>
          <t>ESKILSTUNA</t>
        </is>
      </c>
      <c r="H2651" t="inlineStr">
        <is>
          <t>Övriga Aktiebolag</t>
        </is>
      </c>
      <c r="I2651" t="n">
        <v>0.2</v>
      </c>
      <c r="J2651" t="n">
        <v>0</v>
      </c>
      <c r="K2651" t="n">
        <v>0</v>
      </c>
      <c r="L2651" t="n">
        <v>0</v>
      </c>
      <c r="M2651" t="n">
        <v>0</v>
      </c>
      <c r="N2651" t="n">
        <v>0</v>
      </c>
      <c r="O2651" t="n">
        <v>0</v>
      </c>
      <c r="P2651" t="n">
        <v>0</v>
      </c>
      <c r="Q2651" t="n">
        <v>0</v>
      </c>
      <c r="R2651" t="n">
        <v>0</v>
      </c>
      <c r="S2651" t="n">
        <v>0</v>
      </c>
      <c r="T2651" t="n">
        <v>0</v>
      </c>
      <c r="U2651" t="n">
        <v>0</v>
      </c>
      <c r="V2651" s="2" t="inlineStr"/>
    </row>
    <row r="2652" ht="15" customHeight="1">
      <c r="A2652" t="inlineStr">
        <is>
          <t>A 22135-2023</t>
        </is>
      </c>
      <c r="B2652" t="inlineStr">
        <is>
          <t>avverkningsanmälan</t>
        </is>
      </c>
      <c r="C2652" t="inlineStr">
        <is>
          <t>Föryngringsavverkning</t>
        </is>
      </c>
      <c r="D2652" s="1" t="n">
        <v>45069</v>
      </c>
      <c r="E2652" s="1" t="n">
        <v>46313</v>
      </c>
      <c r="F2652" t="inlineStr">
        <is>
          <t>SÖDERMANLANDS LÄN</t>
        </is>
      </c>
      <c r="G2652" t="inlineStr">
        <is>
          <t>VINGÅKER</t>
        </is>
      </c>
      <c r="I2652" t="n">
        <v>1.3</v>
      </c>
      <c r="J2652" t="n">
        <v>0</v>
      </c>
      <c r="K2652" t="n">
        <v>0</v>
      </c>
      <c r="L2652" t="n">
        <v>0</v>
      </c>
      <c r="M2652" t="n">
        <v>0</v>
      </c>
      <c r="N2652" t="n">
        <v>0</v>
      </c>
      <c r="O2652" t="n">
        <v>0</v>
      </c>
      <c r="P2652" t="n">
        <v>0</v>
      </c>
      <c r="Q2652" t="n">
        <v>0</v>
      </c>
      <c r="R2652" t="n">
        <v>0</v>
      </c>
      <c r="S2652" t="n">
        <v>0</v>
      </c>
      <c r="T2652" t="n">
        <v>0</v>
      </c>
      <c r="U2652" t="n">
        <v>0</v>
      </c>
      <c r="V2652" s="2" t="inlineStr"/>
    </row>
    <row r="2653" ht="15" customHeight="1">
      <c r="A2653" t="inlineStr">
        <is>
          <t>A 20180-2022</t>
        </is>
      </c>
      <c r="B2653" t="inlineStr">
        <is>
          <t>avverkningsanmälan</t>
        </is>
      </c>
      <c r="C2653" t="inlineStr">
        <is>
          <t>Föryngringsavverkning</t>
        </is>
      </c>
      <c r="D2653" s="1" t="n">
        <v>44698</v>
      </c>
      <c r="E2653" s="1" t="n">
        <v>46313</v>
      </c>
      <c r="F2653" t="inlineStr">
        <is>
          <t>SÖDERMANLANDS LÄN</t>
        </is>
      </c>
      <c r="G2653" t="inlineStr">
        <is>
          <t>ESKILSTUNA</t>
        </is>
      </c>
      <c r="H2653" t="inlineStr">
        <is>
          <t>Kyrkan</t>
        </is>
      </c>
      <c r="I2653" t="n">
        <v>1.5</v>
      </c>
      <c r="J2653" t="n">
        <v>0</v>
      </c>
      <c r="K2653" t="n">
        <v>0</v>
      </c>
      <c r="L2653" t="n">
        <v>0</v>
      </c>
      <c r="M2653" t="n">
        <v>0</v>
      </c>
      <c r="N2653" t="n">
        <v>0</v>
      </c>
      <c r="O2653" t="n">
        <v>0</v>
      </c>
      <c r="P2653" t="n">
        <v>0</v>
      </c>
      <c r="Q2653" t="n">
        <v>0</v>
      </c>
      <c r="R2653" t="n">
        <v>0</v>
      </c>
      <c r="S2653" t="n">
        <v>0</v>
      </c>
      <c r="T2653" t="n">
        <v>0</v>
      </c>
      <c r="U2653" t="n">
        <v>0</v>
      </c>
      <c r="V2653" s="2" t="inlineStr"/>
    </row>
    <row r="2654" ht="15" customHeight="1">
      <c r="A2654" t="inlineStr">
        <is>
          <t>A 31751-2026</t>
        </is>
      </c>
      <c r="B2654" t="inlineStr">
        <is>
          <t>avverkningsanmälan</t>
        </is>
      </c>
      <c r="C2654" t="inlineStr">
        <is>
          <t>Föryngringsavverkning</t>
        </is>
      </c>
      <c r="D2654" s="1" t="n">
        <v>46227</v>
      </c>
      <c r="E2654" s="1" t="n">
        <v>46313</v>
      </c>
      <c r="F2654" t="inlineStr">
        <is>
          <t>SÖDERMANLANDS LÄN</t>
        </is>
      </c>
      <c r="G2654" t="inlineStr">
        <is>
          <t>KATRINEHOLM</t>
        </is>
      </c>
      <c r="I2654" t="n">
        <v>2.7</v>
      </c>
      <c r="J2654" t="n">
        <v>0</v>
      </c>
      <c r="K2654" t="n">
        <v>0</v>
      </c>
      <c r="L2654" t="n">
        <v>0</v>
      </c>
      <c r="M2654" t="n">
        <v>0</v>
      </c>
      <c r="N2654" t="n">
        <v>0</v>
      </c>
      <c r="O2654" t="n">
        <v>0</v>
      </c>
      <c r="P2654" t="n">
        <v>0</v>
      </c>
      <c r="Q2654" t="n">
        <v>0</v>
      </c>
      <c r="R2654" t="n">
        <v>0</v>
      </c>
      <c r="S2654" t="n">
        <v>0</v>
      </c>
      <c r="T2654" t="n">
        <v>0</v>
      </c>
      <c r="U2654" t="n">
        <v>0</v>
      </c>
      <c r="V2654" s="2" t="inlineStr"/>
    </row>
    <row r="2655" ht="15" customHeight="1">
      <c r="A2655" t="inlineStr">
        <is>
          <t>A 70749-2021</t>
        </is>
      </c>
      <c r="B2655" t="inlineStr">
        <is>
          <t>avverkningsanmälan</t>
        </is>
      </c>
      <c r="C2655" t="inlineStr">
        <is>
          <t>Föryngringsavverkning</t>
        </is>
      </c>
      <c r="D2655" s="1" t="n">
        <v>44536</v>
      </c>
      <c r="E2655" s="1" t="n">
        <v>46313</v>
      </c>
      <c r="F2655" t="inlineStr">
        <is>
          <t>SÖDERMANLANDS LÄN</t>
        </is>
      </c>
      <c r="G2655" t="inlineStr">
        <is>
          <t>NYKÖPING</t>
        </is>
      </c>
      <c r="I2655" t="n">
        <v>5.1</v>
      </c>
      <c r="J2655" t="n">
        <v>0</v>
      </c>
      <c r="K2655" t="n">
        <v>0</v>
      </c>
      <c r="L2655" t="n">
        <v>0</v>
      </c>
      <c r="M2655" t="n">
        <v>0</v>
      </c>
      <c r="N2655" t="n">
        <v>0</v>
      </c>
      <c r="O2655" t="n">
        <v>0</v>
      </c>
      <c r="P2655" t="n">
        <v>0</v>
      </c>
      <c r="Q2655" t="n">
        <v>0</v>
      </c>
      <c r="R2655" t="n">
        <v>0</v>
      </c>
      <c r="S2655" t="n">
        <v>0</v>
      </c>
      <c r="T2655" t="n">
        <v>0</v>
      </c>
      <c r="U2655" t="n">
        <v>0</v>
      </c>
      <c r="V2655" s="2" t="inlineStr"/>
    </row>
    <row r="2656" ht="15" customHeight="1">
      <c r="A2656" t="inlineStr">
        <is>
          <t>A 31868-2023</t>
        </is>
      </c>
      <c r="B2656" t="inlineStr">
        <is>
          <t>avverkningsanmälan</t>
        </is>
      </c>
      <c r="C2656" t="inlineStr">
        <is>
          <t>Föryngringsavverkning</t>
        </is>
      </c>
      <c r="D2656" s="1" t="n">
        <v>45107</v>
      </c>
      <c r="E2656" s="1" t="n">
        <v>46313</v>
      </c>
      <c r="F2656" t="inlineStr">
        <is>
          <t>SÖDERMANLANDS LÄN</t>
        </is>
      </c>
      <c r="G2656" t="inlineStr">
        <is>
          <t>NYKÖPING</t>
        </is>
      </c>
      <c r="I2656" t="n">
        <v>3.7</v>
      </c>
      <c r="J2656" t="n">
        <v>0</v>
      </c>
      <c r="K2656" t="n">
        <v>0</v>
      </c>
      <c r="L2656" t="n">
        <v>0</v>
      </c>
      <c r="M2656" t="n">
        <v>0</v>
      </c>
      <c r="N2656" t="n">
        <v>0</v>
      </c>
      <c r="O2656" t="n">
        <v>0</v>
      </c>
      <c r="P2656" t="n">
        <v>0</v>
      </c>
      <c r="Q2656" t="n">
        <v>0</v>
      </c>
      <c r="R2656" t="n">
        <v>0</v>
      </c>
      <c r="S2656" t="n">
        <v>0</v>
      </c>
      <c r="T2656" t="n">
        <v>0</v>
      </c>
      <c r="U2656" t="n">
        <v>0</v>
      </c>
      <c r="V2656" s="2" t="inlineStr"/>
    </row>
    <row r="2657" ht="15" customHeight="1">
      <c r="A2657" t="inlineStr">
        <is>
          <t>A 31760-2026</t>
        </is>
      </c>
      <c r="B2657" t="inlineStr">
        <is>
          <t>avverkningsanmälan</t>
        </is>
      </c>
      <c r="C2657" t="inlineStr">
        <is>
          <t>Föryngringsavverkning</t>
        </is>
      </c>
      <c r="D2657" s="1" t="n">
        <v>46228</v>
      </c>
      <c r="E2657" s="1" t="n">
        <v>46313</v>
      </c>
      <c r="F2657" t="inlineStr">
        <is>
          <t>SÖDERMANLANDS LÄN</t>
        </is>
      </c>
      <c r="G2657" t="inlineStr">
        <is>
          <t>NYKÖPING</t>
        </is>
      </c>
      <c r="I2657" t="n">
        <v>2.6</v>
      </c>
      <c r="J2657" t="n">
        <v>0</v>
      </c>
      <c r="K2657" t="n">
        <v>0</v>
      </c>
      <c r="L2657" t="n">
        <v>0</v>
      </c>
      <c r="M2657" t="n">
        <v>0</v>
      </c>
      <c r="N2657" t="n">
        <v>0</v>
      </c>
      <c r="O2657" t="n">
        <v>0</v>
      </c>
      <c r="P2657" t="n">
        <v>0</v>
      </c>
      <c r="Q2657" t="n">
        <v>0</v>
      </c>
      <c r="R2657" t="n">
        <v>0</v>
      </c>
      <c r="S2657" t="n">
        <v>0</v>
      </c>
      <c r="T2657" t="n">
        <v>0</v>
      </c>
      <c r="U2657" t="n">
        <v>0</v>
      </c>
      <c r="V2657" s="2" t="inlineStr"/>
    </row>
    <row r="2658" ht="15" customHeight="1">
      <c r="A2658" t="inlineStr">
        <is>
          <t>A 51530-2022</t>
        </is>
      </c>
      <c r="B2658" t="inlineStr">
        <is>
          <t>avverkningsanmälan</t>
        </is>
      </c>
      <c r="C2658" t="inlineStr">
        <is>
          <t>Föryngringsavverkning</t>
        </is>
      </c>
      <c r="D2658" s="1" t="n">
        <v>44869</v>
      </c>
      <c r="E2658" s="1" t="n">
        <v>46313</v>
      </c>
      <c r="F2658" t="inlineStr">
        <is>
          <t>SÖDERMANLANDS LÄN</t>
        </is>
      </c>
      <c r="G2658" t="inlineStr">
        <is>
          <t>NYKÖPING</t>
        </is>
      </c>
      <c r="I2658" t="n">
        <v>1.2</v>
      </c>
      <c r="J2658" t="n">
        <v>0</v>
      </c>
      <c r="K2658" t="n">
        <v>0</v>
      </c>
      <c r="L2658" t="n">
        <v>0</v>
      </c>
      <c r="M2658" t="n">
        <v>0</v>
      </c>
      <c r="N2658" t="n">
        <v>0</v>
      </c>
      <c r="O2658" t="n">
        <v>0</v>
      </c>
      <c r="P2658" t="n">
        <v>0</v>
      </c>
      <c r="Q2658" t="n">
        <v>0</v>
      </c>
      <c r="R2658" t="n">
        <v>0</v>
      </c>
      <c r="S2658" t="n">
        <v>0</v>
      </c>
      <c r="T2658" t="n">
        <v>0</v>
      </c>
      <c r="U2658" t="n">
        <v>0</v>
      </c>
      <c r="V2658" s="2" t="inlineStr"/>
    </row>
    <row r="2659" ht="15" customHeight="1">
      <c r="A2659" t="inlineStr">
        <is>
          <t>A 72679-2021</t>
        </is>
      </c>
      <c r="B2659" t="inlineStr">
        <is>
          <t>avverkningsanmälan</t>
        </is>
      </c>
      <c r="C2659" t="inlineStr">
        <is>
          <t>Föryngringsavverkning</t>
        </is>
      </c>
      <c r="D2659" s="1" t="n">
        <v>44546</v>
      </c>
      <c r="E2659" s="1" t="n">
        <v>46313</v>
      </c>
      <c r="F2659" t="inlineStr">
        <is>
          <t>SÖDERMANLANDS LÄN</t>
        </is>
      </c>
      <c r="G2659" t="inlineStr">
        <is>
          <t>NYKÖPING</t>
        </is>
      </c>
      <c r="I2659" t="n">
        <v>2.1</v>
      </c>
      <c r="J2659" t="n">
        <v>0</v>
      </c>
      <c r="K2659" t="n">
        <v>0</v>
      </c>
      <c r="L2659" t="n">
        <v>0</v>
      </c>
      <c r="M2659" t="n">
        <v>0</v>
      </c>
      <c r="N2659" t="n">
        <v>0</v>
      </c>
      <c r="O2659" t="n">
        <v>0</v>
      </c>
      <c r="P2659" t="n">
        <v>0</v>
      </c>
      <c r="Q2659" t="n">
        <v>0</v>
      </c>
      <c r="R2659" t="n">
        <v>0</v>
      </c>
      <c r="S2659" t="n">
        <v>0</v>
      </c>
      <c r="T2659" t="n">
        <v>0</v>
      </c>
      <c r="U2659" t="n">
        <v>0</v>
      </c>
      <c r="V2659" s="2" t="inlineStr"/>
    </row>
    <row r="2660" ht="15" customHeight="1">
      <c r="A2660" t="inlineStr">
        <is>
          <t>A 29986-2024</t>
        </is>
      </c>
      <c r="B2660" t="inlineStr">
        <is>
          <t>avverkningsanmälan</t>
        </is>
      </c>
      <c r="C2660" t="inlineStr">
        <is>
          <t>Föryngringsavverkning</t>
        </is>
      </c>
      <c r="D2660" s="1" t="n">
        <v>45488</v>
      </c>
      <c r="E2660" s="1" t="n">
        <v>46313</v>
      </c>
      <c r="F2660" t="inlineStr">
        <is>
          <t>SÖDERMANLANDS LÄN</t>
        </is>
      </c>
      <c r="G2660" t="inlineStr">
        <is>
          <t>GNESTA</t>
        </is>
      </c>
      <c r="I2660" t="n">
        <v>3.5</v>
      </c>
      <c r="J2660" t="n">
        <v>0</v>
      </c>
      <c r="K2660" t="n">
        <v>0</v>
      </c>
      <c r="L2660" t="n">
        <v>0</v>
      </c>
      <c r="M2660" t="n">
        <v>0</v>
      </c>
      <c r="N2660" t="n">
        <v>0</v>
      </c>
      <c r="O2660" t="n">
        <v>0</v>
      </c>
      <c r="P2660" t="n">
        <v>0</v>
      </c>
      <c r="Q2660" t="n">
        <v>0</v>
      </c>
      <c r="R2660" t="n">
        <v>0</v>
      </c>
      <c r="S2660" t="n">
        <v>0</v>
      </c>
      <c r="T2660" t="n">
        <v>0</v>
      </c>
      <c r="U2660" t="n">
        <v>0</v>
      </c>
      <c r="V2660" s="2" t="inlineStr"/>
    </row>
    <row r="2661" ht="15" customHeight="1">
      <c r="A2661" t="inlineStr">
        <is>
          <t>A 20167-2023</t>
        </is>
      </c>
      <c r="B2661" t="inlineStr">
        <is>
          <t>avverkningsanmälan</t>
        </is>
      </c>
      <c r="C2661" t="inlineStr">
        <is>
          <t>Föryngringsavverkning</t>
        </is>
      </c>
      <c r="D2661" s="1" t="n">
        <v>45051</v>
      </c>
      <c r="E2661" s="1" t="n">
        <v>46313</v>
      </c>
      <c r="F2661" t="inlineStr">
        <is>
          <t>SÖDERMANLANDS LÄN</t>
        </is>
      </c>
      <c r="G2661" t="inlineStr">
        <is>
          <t>STRÄNGNÄS</t>
        </is>
      </c>
      <c r="I2661" t="n">
        <v>1.3</v>
      </c>
      <c r="J2661" t="n">
        <v>0</v>
      </c>
      <c r="K2661" t="n">
        <v>0</v>
      </c>
      <c r="L2661" t="n">
        <v>0</v>
      </c>
      <c r="M2661" t="n">
        <v>0</v>
      </c>
      <c r="N2661" t="n">
        <v>0</v>
      </c>
      <c r="O2661" t="n">
        <v>0</v>
      </c>
      <c r="P2661" t="n">
        <v>0</v>
      </c>
      <c r="Q2661" t="n">
        <v>0</v>
      </c>
      <c r="R2661" t="n">
        <v>0</v>
      </c>
      <c r="S2661" t="n">
        <v>0</v>
      </c>
      <c r="T2661" t="n">
        <v>0</v>
      </c>
      <c r="U2661" t="n">
        <v>0</v>
      </c>
      <c r="V2661" s="2" t="inlineStr"/>
    </row>
    <row r="2662" ht="15" customHeight="1">
      <c r="A2662" t="inlineStr">
        <is>
          <t>A 36669-2026</t>
        </is>
      </c>
      <c r="B2662" t="inlineStr">
        <is>
          <t>avverkningsanmälan</t>
        </is>
      </c>
      <c r="C2662" t="inlineStr">
        <is>
          <t>Avverkning för annat ändamål</t>
        </is>
      </c>
      <c r="D2662" s="1" t="n">
        <v>46272</v>
      </c>
      <c r="E2662" s="1" t="n">
        <v>46313</v>
      </c>
      <c r="F2662" t="inlineStr">
        <is>
          <t>SÖDERMANLANDS LÄN</t>
        </is>
      </c>
      <c r="G2662" t="inlineStr">
        <is>
          <t>STRÄNGNÄS</t>
        </is>
      </c>
      <c r="I2662" t="n">
        <v>2.3</v>
      </c>
      <c r="J2662" t="n">
        <v>0</v>
      </c>
      <c r="K2662" t="n">
        <v>0</v>
      </c>
      <c r="L2662" t="n">
        <v>0</v>
      </c>
      <c r="M2662" t="n">
        <v>0</v>
      </c>
      <c r="N2662" t="n">
        <v>0</v>
      </c>
      <c r="O2662" t="n">
        <v>0</v>
      </c>
      <c r="P2662" t="n">
        <v>0</v>
      </c>
      <c r="Q2662" t="n">
        <v>0</v>
      </c>
      <c r="R2662" t="n">
        <v>0</v>
      </c>
      <c r="S2662" t="n">
        <v>0</v>
      </c>
      <c r="T2662" t="n">
        <v>0</v>
      </c>
      <c r="U2662" t="n">
        <v>0</v>
      </c>
      <c r="V2662" s="2" t="inlineStr"/>
    </row>
    <row r="2663" ht="15" customHeight="1">
      <c r="A2663" t="inlineStr">
        <is>
          <t>A 36990-2026</t>
        </is>
      </c>
      <c r="B2663" t="inlineStr">
        <is>
          <t>avverkningsanmälan</t>
        </is>
      </c>
      <c r="C2663" t="inlineStr">
        <is>
          <t>Föryngringsavverkning</t>
        </is>
      </c>
      <c r="D2663" s="1" t="n">
        <v>46273</v>
      </c>
      <c r="E2663" s="1" t="n">
        <v>46313</v>
      </c>
      <c r="F2663" t="inlineStr">
        <is>
          <t>SÖDERMANLANDS LÄN</t>
        </is>
      </c>
      <c r="G2663" t="inlineStr">
        <is>
          <t>FLEN</t>
        </is>
      </c>
      <c r="H2663" t="inlineStr">
        <is>
          <t>Holmen skog AB</t>
        </is>
      </c>
      <c r="I2663" t="n">
        <v>2.7</v>
      </c>
      <c r="J2663" t="n">
        <v>0</v>
      </c>
      <c r="K2663" t="n">
        <v>0</v>
      </c>
      <c r="L2663" t="n">
        <v>0</v>
      </c>
      <c r="M2663" t="n">
        <v>0</v>
      </c>
      <c r="N2663" t="n">
        <v>0</v>
      </c>
      <c r="O2663" t="n">
        <v>0</v>
      </c>
      <c r="P2663" t="n">
        <v>0</v>
      </c>
      <c r="Q2663" t="n">
        <v>0</v>
      </c>
      <c r="R2663" t="n">
        <v>0</v>
      </c>
      <c r="S2663" t="n">
        <v>0</v>
      </c>
      <c r="T2663" t="n">
        <v>0</v>
      </c>
      <c r="U2663" t="n">
        <v>0</v>
      </c>
      <c r="V2663" s="2" t="inlineStr"/>
    </row>
    <row r="2664" ht="15" customHeight="1">
      <c r="A2664" t="inlineStr">
        <is>
          <t>A 21959-2022</t>
        </is>
      </c>
      <c r="B2664" t="inlineStr">
        <is>
          <t>avverkningsanmälan</t>
        </is>
      </c>
      <c r="C2664" t="inlineStr">
        <is>
          <t>Föryngringsavverkning</t>
        </is>
      </c>
      <c r="D2664" s="1" t="n">
        <v>44708</v>
      </c>
      <c r="E2664" s="1" t="n">
        <v>46313</v>
      </c>
      <c r="F2664" t="inlineStr">
        <is>
          <t>SÖDERMANLANDS LÄN</t>
        </is>
      </c>
      <c r="G2664" t="inlineStr">
        <is>
          <t>KATRINEHOLM</t>
        </is>
      </c>
      <c r="I2664" t="n">
        <v>1.5</v>
      </c>
      <c r="J2664" t="n">
        <v>0</v>
      </c>
      <c r="K2664" t="n">
        <v>0</v>
      </c>
      <c r="L2664" t="n">
        <v>0</v>
      </c>
      <c r="M2664" t="n">
        <v>0</v>
      </c>
      <c r="N2664" t="n">
        <v>0</v>
      </c>
      <c r="O2664" t="n">
        <v>0</v>
      </c>
      <c r="P2664" t="n">
        <v>0</v>
      </c>
      <c r="Q2664" t="n">
        <v>0</v>
      </c>
      <c r="R2664" t="n">
        <v>0</v>
      </c>
      <c r="S2664" t="n">
        <v>0</v>
      </c>
      <c r="T2664" t="n">
        <v>0</v>
      </c>
      <c r="U2664" t="n">
        <v>0</v>
      </c>
      <c r="V2664" s="2" t="inlineStr"/>
    </row>
    <row r="2665" ht="15" customHeight="1">
      <c r="A2665" t="inlineStr">
        <is>
          <t>A 42451-2023</t>
        </is>
      </c>
      <c r="B2665" t="inlineStr">
        <is>
          <t>avverkningsanmälan</t>
        </is>
      </c>
      <c r="C2665" t="inlineStr">
        <is>
          <t>Föryngringsavverkning</t>
        </is>
      </c>
      <c r="D2665" s="1" t="n">
        <v>45180</v>
      </c>
      <c r="E2665" s="1" t="n">
        <v>46313</v>
      </c>
      <c r="F2665" t="inlineStr">
        <is>
          <t>SÖDERMANLANDS LÄN</t>
        </is>
      </c>
      <c r="G2665" t="inlineStr">
        <is>
          <t>KATRINEHOLM</t>
        </is>
      </c>
      <c r="I2665" t="n">
        <v>3.8</v>
      </c>
      <c r="J2665" t="n">
        <v>0</v>
      </c>
      <c r="K2665" t="n">
        <v>0</v>
      </c>
      <c r="L2665" t="n">
        <v>0</v>
      </c>
      <c r="M2665" t="n">
        <v>0</v>
      </c>
      <c r="N2665" t="n">
        <v>0</v>
      </c>
      <c r="O2665" t="n">
        <v>0</v>
      </c>
      <c r="P2665" t="n">
        <v>0</v>
      </c>
      <c r="Q2665" t="n">
        <v>0</v>
      </c>
      <c r="R2665" t="n">
        <v>0</v>
      </c>
      <c r="S2665" t="n">
        <v>0</v>
      </c>
      <c r="T2665" t="n">
        <v>0</v>
      </c>
      <c r="U2665" t="n">
        <v>0</v>
      </c>
      <c r="V2665" s="2" t="inlineStr"/>
    </row>
    <row r="2666" ht="15" customHeight="1">
      <c r="A2666" t="inlineStr">
        <is>
          <t>A 22506-2023</t>
        </is>
      </c>
      <c r="B2666" t="inlineStr">
        <is>
          <t>avverkningsanmälan</t>
        </is>
      </c>
      <c r="C2666" t="inlineStr">
        <is>
          <t>Föryngringsavverkning</t>
        </is>
      </c>
      <c r="D2666" s="1" t="n">
        <v>45071</v>
      </c>
      <c r="E2666" s="1" t="n">
        <v>46313</v>
      </c>
      <c r="F2666" t="inlineStr">
        <is>
          <t>SÖDERMANLANDS LÄN</t>
        </is>
      </c>
      <c r="G2666" t="inlineStr">
        <is>
          <t>KATRINEHOLM</t>
        </is>
      </c>
      <c r="H2666" t="inlineStr">
        <is>
          <t>Kyrkan</t>
        </is>
      </c>
      <c r="I2666" t="n">
        <v>5.9</v>
      </c>
      <c r="J2666" t="n">
        <v>0</v>
      </c>
      <c r="K2666" t="n">
        <v>0</v>
      </c>
      <c r="L2666" t="n">
        <v>0</v>
      </c>
      <c r="M2666" t="n">
        <v>0</v>
      </c>
      <c r="N2666" t="n">
        <v>0</v>
      </c>
      <c r="O2666" t="n">
        <v>0</v>
      </c>
      <c r="P2666" t="n">
        <v>0</v>
      </c>
      <c r="Q2666" t="n">
        <v>0</v>
      </c>
      <c r="R2666" t="n">
        <v>0</v>
      </c>
      <c r="S2666" t="n">
        <v>0</v>
      </c>
      <c r="T2666" t="n">
        <v>0</v>
      </c>
      <c r="U2666" t="n">
        <v>0</v>
      </c>
      <c r="V2666" s="2" t="inlineStr"/>
    </row>
    <row r="2667" ht="15" customHeight="1">
      <c r="A2667" t="inlineStr">
        <is>
          <t>A 37286-2024</t>
        </is>
      </c>
      <c r="B2667" t="inlineStr">
        <is>
          <t>avverkningsanmälan</t>
        </is>
      </c>
      <c r="C2667" t="inlineStr">
        <is>
          <t>Föryngringsavverkning</t>
        </is>
      </c>
      <c r="D2667" s="1" t="n">
        <v>45540</v>
      </c>
      <c r="E2667" s="1" t="n">
        <v>46313</v>
      </c>
      <c r="F2667" t="inlineStr">
        <is>
          <t>SÖDERMANLANDS LÄN</t>
        </is>
      </c>
      <c r="G2667" t="inlineStr">
        <is>
          <t>FLEN</t>
        </is>
      </c>
      <c r="I2667" t="n">
        <v>1.3</v>
      </c>
      <c r="J2667" t="n">
        <v>0</v>
      </c>
      <c r="K2667" t="n">
        <v>0</v>
      </c>
      <c r="L2667" t="n">
        <v>0</v>
      </c>
      <c r="M2667" t="n">
        <v>0</v>
      </c>
      <c r="N2667" t="n">
        <v>0</v>
      </c>
      <c r="O2667" t="n">
        <v>0</v>
      </c>
      <c r="P2667" t="n">
        <v>0</v>
      </c>
      <c r="Q2667" t="n">
        <v>0</v>
      </c>
      <c r="R2667" t="n">
        <v>0</v>
      </c>
      <c r="S2667" t="n">
        <v>0</v>
      </c>
      <c r="T2667" t="n">
        <v>0</v>
      </c>
      <c r="U2667" t="n">
        <v>0</v>
      </c>
      <c r="V2667" s="2" t="inlineStr"/>
    </row>
    <row r="2668" ht="15" customHeight="1">
      <c r="A2668" t="inlineStr">
        <is>
          <t>A 13153-2026</t>
        </is>
      </c>
      <c r="B2668" t="inlineStr">
        <is>
          <t>avverkningsanmälan</t>
        </is>
      </c>
      <c r="C2668" t="inlineStr">
        <is>
          <t>Avverkning för att bevara och utveckla /försöksver</t>
        </is>
      </c>
      <c r="D2668" s="1" t="n">
        <v>46092</v>
      </c>
      <c r="E2668" s="1" t="n">
        <v>46313</v>
      </c>
      <c r="F2668" t="inlineStr">
        <is>
          <t>SÖDERMANLANDS LÄN</t>
        </is>
      </c>
      <c r="G2668" t="inlineStr">
        <is>
          <t>ESKILSTUNA</t>
        </is>
      </c>
      <c r="I2668" t="n">
        <v>7.8</v>
      </c>
      <c r="J2668" t="n">
        <v>0</v>
      </c>
      <c r="K2668" t="n">
        <v>0</v>
      </c>
      <c r="L2668" t="n">
        <v>0</v>
      </c>
      <c r="M2668" t="n">
        <v>0</v>
      </c>
      <c r="N2668" t="n">
        <v>0</v>
      </c>
      <c r="O2668" t="n">
        <v>0</v>
      </c>
      <c r="P2668" t="n">
        <v>0</v>
      </c>
      <c r="Q2668" t="n">
        <v>0</v>
      </c>
      <c r="R2668" t="n">
        <v>0</v>
      </c>
      <c r="S2668" t="n">
        <v>0</v>
      </c>
      <c r="T2668" t="n">
        <v>0</v>
      </c>
      <c r="U2668" t="n">
        <v>0</v>
      </c>
      <c r="V2668" s="2" t="inlineStr"/>
    </row>
    <row r="2669" ht="15" customHeight="1">
      <c r="A2669" t="inlineStr">
        <is>
          <t>A 8793-2022</t>
        </is>
      </c>
      <c r="B2669" t="inlineStr">
        <is>
          <t>avverkningsanmälan</t>
        </is>
      </c>
      <c r="C2669" t="inlineStr">
        <is>
          <t>Föryngringsavverkning</t>
        </is>
      </c>
      <c r="D2669" s="1" t="n">
        <v>44614</v>
      </c>
      <c r="E2669" s="1" t="n">
        <v>46313</v>
      </c>
      <c r="F2669" t="inlineStr">
        <is>
          <t>SÖDERMANLANDS LÄN</t>
        </is>
      </c>
      <c r="G2669" t="inlineStr">
        <is>
          <t>FLEN</t>
        </is>
      </c>
      <c r="I2669" t="n">
        <v>2.2</v>
      </c>
      <c r="J2669" t="n">
        <v>0</v>
      </c>
      <c r="K2669" t="n">
        <v>0</v>
      </c>
      <c r="L2669" t="n">
        <v>0</v>
      </c>
      <c r="M2669" t="n">
        <v>0</v>
      </c>
      <c r="N2669" t="n">
        <v>0</v>
      </c>
      <c r="O2669" t="n">
        <v>0</v>
      </c>
      <c r="P2669" t="n">
        <v>0</v>
      </c>
      <c r="Q2669" t="n">
        <v>0</v>
      </c>
      <c r="R2669" t="n">
        <v>0</v>
      </c>
      <c r="S2669" t="n">
        <v>0</v>
      </c>
      <c r="T2669" t="n">
        <v>0</v>
      </c>
      <c r="U2669" t="n">
        <v>0</v>
      </c>
      <c r="V2669" s="2" t="inlineStr"/>
    </row>
    <row r="2670" ht="15" customHeight="1">
      <c r="A2670" t="inlineStr">
        <is>
          <t>A 57930-2023</t>
        </is>
      </c>
      <c r="B2670" t="inlineStr">
        <is>
          <t>avverkningsanmälan</t>
        </is>
      </c>
      <c r="C2670" t="inlineStr">
        <is>
          <t>Föryngringsavverkning</t>
        </is>
      </c>
      <c r="D2670" s="1" t="n">
        <v>45247</v>
      </c>
      <c r="E2670" s="1" t="n">
        <v>46313</v>
      </c>
      <c r="F2670" t="inlineStr">
        <is>
          <t>SÖDERMANLANDS LÄN</t>
        </is>
      </c>
      <c r="G2670" t="inlineStr">
        <is>
          <t>GNESTA</t>
        </is>
      </c>
      <c r="I2670" t="n">
        <v>1.5</v>
      </c>
      <c r="J2670" t="n">
        <v>0</v>
      </c>
      <c r="K2670" t="n">
        <v>0</v>
      </c>
      <c r="L2670" t="n">
        <v>0</v>
      </c>
      <c r="M2670" t="n">
        <v>0</v>
      </c>
      <c r="N2670" t="n">
        <v>0</v>
      </c>
      <c r="O2670" t="n">
        <v>0</v>
      </c>
      <c r="P2670" t="n">
        <v>0</v>
      </c>
      <c r="Q2670" t="n">
        <v>0</v>
      </c>
      <c r="R2670" t="n">
        <v>0</v>
      </c>
      <c r="S2670" t="n">
        <v>0</v>
      </c>
      <c r="T2670" t="n">
        <v>0</v>
      </c>
      <c r="U2670" t="n">
        <v>0</v>
      </c>
      <c r="V2670" s="2" t="inlineStr"/>
    </row>
    <row r="2671" ht="15" customHeight="1">
      <c r="A2671" t="inlineStr">
        <is>
          <t>A 60295-2023</t>
        </is>
      </c>
      <c r="B2671" t="inlineStr">
        <is>
          <t>avverkningsanmälan</t>
        </is>
      </c>
      <c r="C2671" t="inlineStr">
        <is>
          <t>Föryngringsavverkning</t>
        </is>
      </c>
      <c r="D2671" s="1" t="n">
        <v>45257</v>
      </c>
      <c r="E2671" s="1" t="n">
        <v>46313</v>
      </c>
      <c r="F2671" t="inlineStr">
        <is>
          <t>SÖDERMANLANDS LÄN</t>
        </is>
      </c>
      <c r="G2671" t="inlineStr">
        <is>
          <t>GNESTA</t>
        </is>
      </c>
      <c r="I2671" t="n">
        <v>1.3</v>
      </c>
      <c r="J2671" t="n">
        <v>0</v>
      </c>
      <c r="K2671" t="n">
        <v>0</v>
      </c>
      <c r="L2671" t="n">
        <v>0</v>
      </c>
      <c r="M2671" t="n">
        <v>0</v>
      </c>
      <c r="N2671" t="n">
        <v>0</v>
      </c>
      <c r="O2671" t="n">
        <v>0</v>
      </c>
      <c r="P2671" t="n">
        <v>0</v>
      </c>
      <c r="Q2671" t="n">
        <v>0</v>
      </c>
      <c r="R2671" t="n">
        <v>0</v>
      </c>
      <c r="S2671" t="n">
        <v>0</v>
      </c>
      <c r="T2671" t="n">
        <v>0</v>
      </c>
      <c r="U2671" t="n">
        <v>0</v>
      </c>
      <c r="V2671" s="2" t="inlineStr"/>
    </row>
    <row r="2672" ht="15" customHeight="1">
      <c r="A2672" t="inlineStr">
        <is>
          <t>A 36205-2022</t>
        </is>
      </c>
      <c r="B2672" t="inlineStr">
        <is>
          <t>avverkningsanmälan</t>
        </is>
      </c>
      <c r="C2672" t="inlineStr">
        <is>
          <t>Föryngringsavverkning</t>
        </is>
      </c>
      <c r="D2672" s="1" t="n">
        <v>44803</v>
      </c>
      <c r="E2672" s="1" t="n">
        <v>46313</v>
      </c>
      <c r="F2672" t="inlineStr">
        <is>
          <t>SÖDERMANLANDS LÄN</t>
        </is>
      </c>
      <c r="G2672" t="inlineStr">
        <is>
          <t>GNESTA</t>
        </is>
      </c>
      <c r="I2672" t="n">
        <v>5.8</v>
      </c>
      <c r="J2672" t="n">
        <v>0</v>
      </c>
      <c r="K2672" t="n">
        <v>0</v>
      </c>
      <c r="L2672" t="n">
        <v>0</v>
      </c>
      <c r="M2672" t="n">
        <v>0</v>
      </c>
      <c r="N2672" t="n">
        <v>0</v>
      </c>
      <c r="O2672" t="n">
        <v>0</v>
      </c>
      <c r="P2672" t="n">
        <v>0</v>
      </c>
      <c r="Q2672" t="n">
        <v>0</v>
      </c>
      <c r="R2672" t="n">
        <v>0</v>
      </c>
      <c r="S2672" t="n">
        <v>0</v>
      </c>
      <c r="T2672" t="n">
        <v>0</v>
      </c>
      <c r="U2672" t="n">
        <v>0</v>
      </c>
      <c r="V2672" s="2" t="inlineStr"/>
    </row>
    <row r="2673" ht="15" customHeight="1">
      <c r="A2673" t="inlineStr">
        <is>
          <t>A 26713-2024</t>
        </is>
      </c>
      <c r="B2673" t="inlineStr">
        <is>
          <t>avverkningsanmälan</t>
        </is>
      </c>
      <c r="C2673" t="inlineStr">
        <is>
          <t>Avverkning för annat ändamål</t>
        </is>
      </c>
      <c r="D2673" s="1" t="n">
        <v>45470</v>
      </c>
      <c r="E2673" s="1" t="n">
        <v>46313</v>
      </c>
      <c r="F2673" t="inlineStr">
        <is>
          <t>SÖDERMANLANDS LÄN</t>
        </is>
      </c>
      <c r="G2673" t="inlineStr">
        <is>
          <t>KATRINEHOLM</t>
        </is>
      </c>
      <c r="I2673" t="n">
        <v>0.7</v>
      </c>
      <c r="J2673" t="n">
        <v>0</v>
      </c>
      <c r="K2673" t="n">
        <v>0</v>
      </c>
      <c r="L2673" t="n">
        <v>0</v>
      </c>
      <c r="M2673" t="n">
        <v>0</v>
      </c>
      <c r="N2673" t="n">
        <v>0</v>
      </c>
      <c r="O2673" t="n">
        <v>0</v>
      </c>
      <c r="P2673" t="n">
        <v>0</v>
      </c>
      <c r="Q2673" t="n">
        <v>0</v>
      </c>
      <c r="R2673" t="n">
        <v>0</v>
      </c>
      <c r="S2673" t="n">
        <v>0</v>
      </c>
      <c r="T2673" t="n">
        <v>0</v>
      </c>
      <c r="U2673" t="n">
        <v>0</v>
      </c>
      <c r="V2673" s="2" t="inlineStr"/>
    </row>
    <row r="2674" ht="15" customHeight="1">
      <c r="A2674" t="inlineStr">
        <is>
          <t>A 12619-2025</t>
        </is>
      </c>
      <c r="B2674" t="inlineStr">
        <is>
          <t>avverkningsanmälan</t>
        </is>
      </c>
      <c r="C2674" t="inlineStr">
        <is>
          <t>Föryngringsavverkning</t>
        </is>
      </c>
      <c r="D2674" s="1" t="n">
        <v>45733</v>
      </c>
      <c r="E2674" s="1" t="n">
        <v>46313</v>
      </c>
      <c r="F2674" t="inlineStr">
        <is>
          <t>SÖDERMANLANDS LÄN</t>
        </is>
      </c>
      <c r="G2674" t="inlineStr">
        <is>
          <t>STRÄNGNÄS</t>
        </is>
      </c>
      <c r="I2674" t="n">
        <v>2</v>
      </c>
      <c r="J2674" t="n">
        <v>0</v>
      </c>
      <c r="K2674" t="n">
        <v>0</v>
      </c>
      <c r="L2674" t="n">
        <v>0</v>
      </c>
      <c r="M2674" t="n">
        <v>0</v>
      </c>
      <c r="N2674" t="n">
        <v>0</v>
      </c>
      <c r="O2674" t="n">
        <v>0</v>
      </c>
      <c r="P2674" t="n">
        <v>0</v>
      </c>
      <c r="Q2674" t="n">
        <v>0</v>
      </c>
      <c r="R2674" t="n">
        <v>0</v>
      </c>
      <c r="S2674" t="n">
        <v>0</v>
      </c>
      <c r="T2674" t="n">
        <v>0</v>
      </c>
      <c r="U2674" t="n">
        <v>0</v>
      </c>
      <c r="V2674" s="2" t="inlineStr"/>
    </row>
    <row r="2675" ht="15" customHeight="1">
      <c r="A2675" t="inlineStr">
        <is>
          <t>A 37002-2026</t>
        </is>
      </c>
      <c r="B2675" t="inlineStr">
        <is>
          <t>avverkningsanmälan</t>
        </is>
      </c>
      <c r="C2675" t="inlineStr">
        <is>
          <t>Föryngringsavverkning</t>
        </is>
      </c>
      <c r="D2675" s="1" t="n">
        <v>46273</v>
      </c>
      <c r="E2675" s="1" t="n">
        <v>46313</v>
      </c>
      <c r="F2675" t="inlineStr">
        <is>
          <t>SÖDERMANLANDS LÄN</t>
        </is>
      </c>
      <c r="G2675" t="inlineStr">
        <is>
          <t>FLEN</t>
        </is>
      </c>
      <c r="H2675" t="inlineStr">
        <is>
          <t>Holmen skog AB</t>
        </is>
      </c>
      <c r="I2675" t="n">
        <v>0.6</v>
      </c>
      <c r="J2675" t="n">
        <v>0</v>
      </c>
      <c r="K2675" t="n">
        <v>0</v>
      </c>
      <c r="L2675" t="n">
        <v>0</v>
      </c>
      <c r="M2675" t="n">
        <v>0</v>
      </c>
      <c r="N2675" t="n">
        <v>0</v>
      </c>
      <c r="O2675" t="n">
        <v>0</v>
      </c>
      <c r="P2675" t="n">
        <v>0</v>
      </c>
      <c r="Q2675" t="n">
        <v>0</v>
      </c>
      <c r="R2675" t="n">
        <v>0</v>
      </c>
      <c r="S2675" t="n">
        <v>0</v>
      </c>
      <c r="T2675" t="n">
        <v>0</v>
      </c>
      <c r="U2675" t="n">
        <v>0</v>
      </c>
      <c r="V2675" s="2" t="inlineStr"/>
    </row>
    <row r="2676" ht="15" customHeight="1">
      <c r="A2676" t="inlineStr">
        <is>
          <t>A 31762-2026</t>
        </is>
      </c>
      <c r="B2676" t="inlineStr">
        <is>
          <t>avverkningsanmälan</t>
        </is>
      </c>
      <c r="C2676" t="inlineStr">
        <is>
          <t>Föryngringsavverkning</t>
        </is>
      </c>
      <c r="D2676" s="1" t="n">
        <v>46229</v>
      </c>
      <c r="E2676" s="1" t="n">
        <v>46313</v>
      </c>
      <c r="F2676" t="inlineStr">
        <is>
          <t>SÖDERMANLANDS LÄN</t>
        </is>
      </c>
      <c r="G2676" t="inlineStr">
        <is>
          <t>FLEN</t>
        </is>
      </c>
      <c r="I2676" t="n">
        <v>3.1</v>
      </c>
      <c r="J2676" t="n">
        <v>0</v>
      </c>
      <c r="K2676" t="n">
        <v>0</v>
      </c>
      <c r="L2676" t="n">
        <v>0</v>
      </c>
      <c r="M2676" t="n">
        <v>0</v>
      </c>
      <c r="N2676" t="n">
        <v>0</v>
      </c>
      <c r="O2676" t="n">
        <v>0</v>
      </c>
      <c r="P2676" t="n">
        <v>0</v>
      </c>
      <c r="Q2676" t="n">
        <v>0</v>
      </c>
      <c r="R2676" t="n">
        <v>0</v>
      </c>
      <c r="S2676" t="n">
        <v>0</v>
      </c>
      <c r="T2676" t="n">
        <v>0</v>
      </c>
      <c r="U2676" t="n">
        <v>0</v>
      </c>
      <c r="V2676" s="2" t="inlineStr"/>
    </row>
    <row r="2677" ht="15" customHeight="1">
      <c r="A2677" t="inlineStr">
        <is>
          <t>A 36982-2026</t>
        </is>
      </c>
      <c r="B2677" t="inlineStr">
        <is>
          <t>avverkningsanmälan</t>
        </is>
      </c>
      <c r="C2677" t="inlineStr">
        <is>
          <t>Föryngringsavverkning</t>
        </is>
      </c>
      <c r="D2677" s="1" t="n">
        <v>46273</v>
      </c>
      <c r="E2677" s="1" t="n">
        <v>46313</v>
      </c>
      <c r="F2677" t="inlineStr">
        <is>
          <t>SÖDERMANLANDS LÄN</t>
        </is>
      </c>
      <c r="G2677" t="inlineStr">
        <is>
          <t>FLEN</t>
        </is>
      </c>
      <c r="H2677" t="inlineStr">
        <is>
          <t>Holmen skog AB</t>
        </is>
      </c>
      <c r="I2677" t="n">
        <v>2</v>
      </c>
      <c r="J2677" t="n">
        <v>0</v>
      </c>
      <c r="K2677" t="n">
        <v>0</v>
      </c>
      <c r="L2677" t="n">
        <v>0</v>
      </c>
      <c r="M2677" t="n">
        <v>0</v>
      </c>
      <c r="N2677" t="n">
        <v>0</v>
      </c>
      <c r="O2677" t="n">
        <v>0</v>
      </c>
      <c r="P2677" t="n">
        <v>0</v>
      </c>
      <c r="Q2677" t="n">
        <v>0</v>
      </c>
      <c r="R2677" t="n">
        <v>0</v>
      </c>
      <c r="S2677" t="n">
        <v>0</v>
      </c>
      <c r="T2677" t="n">
        <v>0</v>
      </c>
      <c r="U2677" t="n">
        <v>0</v>
      </c>
      <c r="V2677" s="2" t="inlineStr"/>
    </row>
    <row r="2678" ht="15" customHeight="1">
      <c r="A2678" t="inlineStr">
        <is>
          <t>A 56491-2022</t>
        </is>
      </c>
      <c r="B2678" t="inlineStr">
        <is>
          <t>avverkningsanmälan</t>
        </is>
      </c>
      <c r="C2678" t="inlineStr">
        <is>
          <t>Föryngringsavverkning</t>
        </is>
      </c>
      <c r="D2678" s="1" t="n">
        <v>44893</v>
      </c>
      <c r="E2678" s="1" t="n">
        <v>46313</v>
      </c>
      <c r="F2678" t="inlineStr">
        <is>
          <t>SÖDERMANLANDS LÄN</t>
        </is>
      </c>
      <c r="G2678" t="inlineStr">
        <is>
          <t>NYKÖPING</t>
        </is>
      </c>
      <c r="H2678" t="inlineStr">
        <is>
          <t>Övriga Aktiebolag</t>
        </is>
      </c>
      <c r="I2678" t="n">
        <v>10</v>
      </c>
      <c r="J2678" t="n">
        <v>0</v>
      </c>
      <c r="K2678" t="n">
        <v>0</v>
      </c>
      <c r="L2678" t="n">
        <v>0</v>
      </c>
      <c r="M2678" t="n">
        <v>0</v>
      </c>
      <c r="N2678" t="n">
        <v>0</v>
      </c>
      <c r="O2678" t="n">
        <v>0</v>
      </c>
      <c r="P2678" t="n">
        <v>0</v>
      </c>
      <c r="Q2678" t="n">
        <v>0</v>
      </c>
      <c r="R2678" t="n">
        <v>0</v>
      </c>
      <c r="S2678" t="n">
        <v>0</v>
      </c>
      <c r="T2678" t="n">
        <v>0</v>
      </c>
      <c r="U2678" t="n">
        <v>0</v>
      </c>
      <c r="V2678" s="2" t="inlineStr"/>
    </row>
    <row r="2679" ht="15" customHeight="1">
      <c r="A2679" t="inlineStr">
        <is>
          <t>A 36944-2026</t>
        </is>
      </c>
      <c r="B2679" t="inlineStr">
        <is>
          <t>avverkningsanmälan</t>
        </is>
      </c>
      <c r="C2679" t="inlineStr">
        <is>
          <t>Föryngringsavverkning</t>
        </is>
      </c>
      <c r="D2679" s="1" t="n">
        <v>46273</v>
      </c>
      <c r="E2679" s="1" t="n">
        <v>46313</v>
      </c>
      <c r="F2679" t="inlineStr">
        <is>
          <t>SÖDERMANLANDS LÄN</t>
        </is>
      </c>
      <c r="G2679" t="inlineStr">
        <is>
          <t>TROSA</t>
        </is>
      </c>
      <c r="I2679" t="n">
        <v>4.4</v>
      </c>
      <c r="J2679" t="n">
        <v>0</v>
      </c>
      <c r="K2679" t="n">
        <v>0</v>
      </c>
      <c r="L2679" t="n">
        <v>0</v>
      </c>
      <c r="M2679" t="n">
        <v>0</v>
      </c>
      <c r="N2679" t="n">
        <v>0</v>
      </c>
      <c r="O2679" t="n">
        <v>0</v>
      </c>
      <c r="P2679" t="n">
        <v>0</v>
      </c>
      <c r="Q2679" t="n">
        <v>0</v>
      </c>
      <c r="R2679" t="n">
        <v>0</v>
      </c>
      <c r="S2679" t="n">
        <v>0</v>
      </c>
      <c r="T2679" t="n">
        <v>0</v>
      </c>
      <c r="U2679" t="n">
        <v>0</v>
      </c>
      <c r="V2679" s="2" t="inlineStr"/>
    </row>
    <row r="2680" ht="15" customHeight="1">
      <c r="A2680" t="inlineStr">
        <is>
          <t>A 1151-2025</t>
        </is>
      </c>
      <c r="B2680" t="inlineStr">
        <is>
          <t>avverkningsanmälan</t>
        </is>
      </c>
      <c r="C2680" t="inlineStr">
        <is>
          <t>Avverkning för annat ändamål</t>
        </is>
      </c>
      <c r="D2680" s="1" t="n">
        <v>45666</v>
      </c>
      <c r="E2680" s="1" t="n">
        <v>46313</v>
      </c>
      <c r="F2680" t="inlineStr">
        <is>
          <t>SÖDERMANLANDS LÄN</t>
        </is>
      </c>
      <c r="G2680" t="inlineStr">
        <is>
          <t>KATRINEHOLM</t>
        </is>
      </c>
      <c r="I2680" t="n">
        <v>1.9</v>
      </c>
      <c r="J2680" t="n">
        <v>0</v>
      </c>
      <c r="K2680" t="n">
        <v>0</v>
      </c>
      <c r="L2680" t="n">
        <v>0</v>
      </c>
      <c r="M2680" t="n">
        <v>0</v>
      </c>
      <c r="N2680" t="n">
        <v>0</v>
      </c>
      <c r="O2680" t="n">
        <v>0</v>
      </c>
      <c r="P2680" t="n">
        <v>0</v>
      </c>
      <c r="Q2680" t="n">
        <v>0</v>
      </c>
      <c r="R2680" t="n">
        <v>0</v>
      </c>
      <c r="S2680" t="n">
        <v>0</v>
      </c>
      <c r="T2680" t="n">
        <v>0</v>
      </c>
      <c r="U2680" t="n">
        <v>0</v>
      </c>
      <c r="V2680" s="2" t="inlineStr"/>
    </row>
    <row r="2681" ht="15" customHeight="1">
      <c r="A2681" t="inlineStr">
        <is>
          <t>A 30931-2024</t>
        </is>
      </c>
      <c r="B2681" t="inlineStr">
        <is>
          <t>avverkningsanmälan</t>
        </is>
      </c>
      <c r="C2681" t="inlineStr">
        <is>
          <t>Föryngringsavverkning</t>
        </is>
      </c>
      <c r="D2681" s="1" t="n">
        <v>45498</v>
      </c>
      <c r="E2681" s="1" t="n">
        <v>46313</v>
      </c>
      <c r="F2681" t="inlineStr">
        <is>
          <t>SÖDERMANLANDS LÄN</t>
        </is>
      </c>
      <c r="G2681" t="inlineStr">
        <is>
          <t>VINGÅKER</t>
        </is>
      </c>
      <c r="I2681" t="n">
        <v>2.2</v>
      </c>
      <c r="J2681" t="n">
        <v>0</v>
      </c>
      <c r="K2681" t="n">
        <v>0</v>
      </c>
      <c r="L2681" t="n">
        <v>0</v>
      </c>
      <c r="M2681" t="n">
        <v>0</v>
      </c>
      <c r="N2681" t="n">
        <v>0</v>
      </c>
      <c r="O2681" t="n">
        <v>0</v>
      </c>
      <c r="P2681" t="n">
        <v>0</v>
      </c>
      <c r="Q2681" t="n">
        <v>0</v>
      </c>
      <c r="R2681" t="n">
        <v>0</v>
      </c>
      <c r="S2681" t="n">
        <v>0</v>
      </c>
      <c r="T2681" t="n">
        <v>0</v>
      </c>
      <c r="U2681" t="n">
        <v>0</v>
      </c>
      <c r="V2681" s="2" t="inlineStr"/>
    </row>
    <row r="2682" ht="15" customHeight="1">
      <c r="A2682" t="inlineStr">
        <is>
          <t>A 31913-2026</t>
        </is>
      </c>
      <c r="B2682" t="inlineStr">
        <is>
          <t>avverkningsanmälan</t>
        </is>
      </c>
      <c r="C2682" t="inlineStr">
        <is>
          <t>Föryngringsavverkning</t>
        </is>
      </c>
      <c r="D2682" s="1" t="n">
        <v>46231</v>
      </c>
      <c r="E2682" s="1" t="n">
        <v>46313</v>
      </c>
      <c r="F2682" t="inlineStr">
        <is>
          <t>SÖDERMANLANDS LÄN</t>
        </is>
      </c>
      <c r="G2682" t="inlineStr">
        <is>
          <t>VINGÅKER</t>
        </is>
      </c>
      <c r="I2682" t="n">
        <v>10.1</v>
      </c>
      <c r="J2682" t="n">
        <v>0</v>
      </c>
      <c r="K2682" t="n">
        <v>0</v>
      </c>
      <c r="L2682" t="n">
        <v>0</v>
      </c>
      <c r="M2682" t="n">
        <v>0</v>
      </c>
      <c r="N2682" t="n">
        <v>0</v>
      </c>
      <c r="O2682" t="n">
        <v>0</v>
      </c>
      <c r="P2682" t="n">
        <v>0</v>
      </c>
      <c r="Q2682" t="n">
        <v>0</v>
      </c>
      <c r="R2682" t="n">
        <v>0</v>
      </c>
      <c r="S2682" t="n">
        <v>0</v>
      </c>
      <c r="T2682" t="n">
        <v>0</v>
      </c>
      <c r="U2682" t="n">
        <v>0</v>
      </c>
      <c r="V2682" s="2" t="inlineStr"/>
    </row>
    <row r="2683" ht="15" customHeight="1">
      <c r="A2683" t="inlineStr">
        <is>
          <t>A 13495-2024</t>
        </is>
      </c>
      <c r="B2683" t="inlineStr">
        <is>
          <t>avverkningsanmälan</t>
        </is>
      </c>
      <c r="C2683" t="inlineStr">
        <is>
          <t>Föryngringsavverkning</t>
        </is>
      </c>
      <c r="D2683" s="1" t="n">
        <v>45387</v>
      </c>
      <c r="E2683" s="1" t="n">
        <v>46313</v>
      </c>
      <c r="F2683" t="inlineStr">
        <is>
          <t>SÖDERMANLANDS LÄN</t>
        </is>
      </c>
      <c r="G2683" t="inlineStr">
        <is>
          <t>ESKILSTUNA</t>
        </is>
      </c>
      <c r="H2683" t="inlineStr">
        <is>
          <t>Kyrkan</t>
        </is>
      </c>
      <c r="I2683" t="n">
        <v>6.9</v>
      </c>
      <c r="J2683" t="n">
        <v>0</v>
      </c>
      <c r="K2683" t="n">
        <v>0</v>
      </c>
      <c r="L2683" t="n">
        <v>0</v>
      </c>
      <c r="M2683" t="n">
        <v>0</v>
      </c>
      <c r="N2683" t="n">
        <v>0</v>
      </c>
      <c r="O2683" t="n">
        <v>0</v>
      </c>
      <c r="P2683" t="n">
        <v>0</v>
      </c>
      <c r="Q2683" t="n">
        <v>0</v>
      </c>
      <c r="R2683" t="n">
        <v>0</v>
      </c>
      <c r="S2683" t="n">
        <v>0</v>
      </c>
      <c r="T2683" t="n">
        <v>0</v>
      </c>
      <c r="U2683" t="n">
        <v>0</v>
      </c>
      <c r="V2683" s="2" t="inlineStr"/>
    </row>
    <row r="2684" ht="15" customHeight="1">
      <c r="A2684" t="inlineStr">
        <is>
          <t>A 8299-2024</t>
        </is>
      </c>
      <c r="B2684" t="inlineStr">
        <is>
          <t>avverkningsanmälan</t>
        </is>
      </c>
      <c r="C2684" t="inlineStr">
        <is>
          <t>Föryngringsavverkning</t>
        </is>
      </c>
      <c r="D2684" s="1" t="n">
        <v>45350</v>
      </c>
      <c r="E2684" s="1" t="n">
        <v>46313</v>
      </c>
      <c r="F2684" t="inlineStr">
        <is>
          <t>SÖDERMANLANDS LÄN</t>
        </is>
      </c>
      <c r="G2684" t="inlineStr">
        <is>
          <t>NYKÖPING</t>
        </is>
      </c>
      <c r="I2684" t="n">
        <v>1.1</v>
      </c>
      <c r="J2684" t="n">
        <v>0</v>
      </c>
      <c r="K2684" t="n">
        <v>0</v>
      </c>
      <c r="L2684" t="n">
        <v>0</v>
      </c>
      <c r="M2684" t="n">
        <v>0</v>
      </c>
      <c r="N2684" t="n">
        <v>0</v>
      </c>
      <c r="O2684" t="n">
        <v>0</v>
      </c>
      <c r="P2684" t="n">
        <v>0</v>
      </c>
      <c r="Q2684" t="n">
        <v>0</v>
      </c>
      <c r="R2684" t="n">
        <v>0</v>
      </c>
      <c r="S2684" t="n">
        <v>0</v>
      </c>
      <c r="T2684" t="n">
        <v>0</v>
      </c>
      <c r="U2684" t="n">
        <v>0</v>
      </c>
      <c r="V2684" s="2" t="inlineStr"/>
    </row>
    <row r="2685" ht="15" customHeight="1">
      <c r="A2685" t="inlineStr">
        <is>
          <t>A 48827-2023</t>
        </is>
      </c>
      <c r="B2685" t="inlineStr">
        <is>
          <t>avverkningsanmälan</t>
        </is>
      </c>
      <c r="C2685" t="inlineStr">
        <is>
          <t>Föryngringsavverkning</t>
        </is>
      </c>
      <c r="D2685" s="1" t="n">
        <v>45204</v>
      </c>
      <c r="E2685" s="1" t="n">
        <v>46313</v>
      </c>
      <c r="F2685" t="inlineStr">
        <is>
          <t>SÖDERMANLANDS LÄN</t>
        </is>
      </c>
      <c r="G2685" t="inlineStr">
        <is>
          <t>STRÄNGNÄS</t>
        </is>
      </c>
      <c r="I2685" t="n">
        <v>1.7</v>
      </c>
      <c r="J2685" t="n">
        <v>0</v>
      </c>
      <c r="K2685" t="n">
        <v>0</v>
      </c>
      <c r="L2685" t="n">
        <v>0</v>
      </c>
      <c r="M2685" t="n">
        <v>0</v>
      </c>
      <c r="N2685" t="n">
        <v>0</v>
      </c>
      <c r="O2685" t="n">
        <v>0</v>
      </c>
      <c r="P2685" t="n">
        <v>0</v>
      </c>
      <c r="Q2685" t="n">
        <v>0</v>
      </c>
      <c r="R2685" t="n">
        <v>0</v>
      </c>
      <c r="S2685" t="n">
        <v>0</v>
      </c>
      <c r="T2685" t="n">
        <v>0</v>
      </c>
      <c r="U2685" t="n">
        <v>0</v>
      </c>
      <c r="V2685" s="2" t="inlineStr"/>
    </row>
    <row r="2686" ht="15" customHeight="1">
      <c r="A2686" t="inlineStr">
        <is>
          <t>A 8340-2023</t>
        </is>
      </c>
      <c r="B2686" t="inlineStr">
        <is>
          <t>avverkningsanmälan</t>
        </is>
      </c>
      <c r="C2686" t="inlineStr">
        <is>
          <t>Föryngringsavverkning</t>
        </is>
      </c>
      <c r="D2686" s="1" t="n">
        <v>44976</v>
      </c>
      <c r="E2686" s="1" t="n">
        <v>46313</v>
      </c>
      <c r="F2686" t="inlineStr">
        <is>
          <t>SÖDERMANLANDS LÄN</t>
        </is>
      </c>
      <c r="G2686" t="inlineStr">
        <is>
          <t>NYKÖPING</t>
        </is>
      </c>
      <c r="I2686" t="n">
        <v>0.4</v>
      </c>
      <c r="J2686" t="n">
        <v>0</v>
      </c>
      <c r="K2686" t="n">
        <v>0</v>
      </c>
      <c r="L2686" t="n">
        <v>0</v>
      </c>
      <c r="M2686" t="n">
        <v>0</v>
      </c>
      <c r="N2686" t="n">
        <v>0</v>
      </c>
      <c r="O2686" t="n">
        <v>0</v>
      </c>
      <c r="P2686" t="n">
        <v>0</v>
      </c>
      <c r="Q2686" t="n">
        <v>0</v>
      </c>
      <c r="R2686" t="n">
        <v>0</v>
      </c>
      <c r="S2686" t="n">
        <v>0</v>
      </c>
      <c r="T2686" t="n">
        <v>0</v>
      </c>
      <c r="U2686" t="n">
        <v>0</v>
      </c>
      <c r="V2686" s="2" t="inlineStr"/>
    </row>
    <row r="2687" ht="15" customHeight="1">
      <c r="A2687" t="inlineStr">
        <is>
          <t>A 47000-2022</t>
        </is>
      </c>
      <c r="B2687" t="inlineStr">
        <is>
          <t>avverkningsanmälan</t>
        </is>
      </c>
      <c r="C2687" t="inlineStr">
        <is>
          <t>Föryngringsavverkning</t>
        </is>
      </c>
      <c r="D2687" s="1" t="n">
        <v>44852</v>
      </c>
      <c r="E2687" s="1" t="n">
        <v>46313</v>
      </c>
      <c r="F2687" t="inlineStr">
        <is>
          <t>SÖDERMANLANDS LÄN</t>
        </is>
      </c>
      <c r="G2687" t="inlineStr">
        <is>
          <t>ESKILSTUNA</t>
        </is>
      </c>
      <c r="I2687" t="n">
        <v>1.8</v>
      </c>
      <c r="J2687" t="n">
        <v>0</v>
      </c>
      <c r="K2687" t="n">
        <v>0</v>
      </c>
      <c r="L2687" t="n">
        <v>0</v>
      </c>
      <c r="M2687" t="n">
        <v>0</v>
      </c>
      <c r="N2687" t="n">
        <v>0</v>
      </c>
      <c r="O2687" t="n">
        <v>0</v>
      </c>
      <c r="P2687" t="n">
        <v>0</v>
      </c>
      <c r="Q2687" t="n">
        <v>0</v>
      </c>
      <c r="R2687" t="n">
        <v>0</v>
      </c>
      <c r="S2687" t="n">
        <v>0</v>
      </c>
      <c r="T2687" t="n">
        <v>0</v>
      </c>
      <c r="U2687" t="n">
        <v>0</v>
      </c>
      <c r="V2687" s="2" t="inlineStr"/>
    </row>
    <row r="2688" ht="15" customHeight="1">
      <c r="A2688" t="inlineStr">
        <is>
          <t>A 50017-2023</t>
        </is>
      </c>
      <c r="B2688" t="inlineStr">
        <is>
          <t>avverkningsanmälan</t>
        </is>
      </c>
      <c r="C2688" t="inlineStr">
        <is>
          <t>Föryngringsavverkning</t>
        </is>
      </c>
      <c r="D2688" s="1" t="n">
        <v>45215</v>
      </c>
      <c r="E2688" s="1" t="n">
        <v>46313</v>
      </c>
      <c r="F2688" t="inlineStr">
        <is>
          <t>SÖDERMANLANDS LÄN</t>
        </is>
      </c>
      <c r="G2688" t="inlineStr">
        <is>
          <t>KATRINEHOLM</t>
        </is>
      </c>
      <c r="I2688" t="n">
        <v>0.9</v>
      </c>
      <c r="J2688" t="n">
        <v>0</v>
      </c>
      <c r="K2688" t="n">
        <v>0</v>
      </c>
      <c r="L2688" t="n">
        <v>0</v>
      </c>
      <c r="M2688" t="n">
        <v>0</v>
      </c>
      <c r="N2688" t="n">
        <v>0</v>
      </c>
      <c r="O2688" t="n">
        <v>0</v>
      </c>
      <c r="P2688" t="n">
        <v>0</v>
      </c>
      <c r="Q2688" t="n">
        <v>0</v>
      </c>
      <c r="R2688" t="n">
        <v>0</v>
      </c>
      <c r="S2688" t="n">
        <v>0</v>
      </c>
      <c r="T2688" t="n">
        <v>0</v>
      </c>
      <c r="U2688" t="n">
        <v>0</v>
      </c>
      <c r="V2688" s="2" t="inlineStr"/>
    </row>
    <row r="2689" ht="15" customHeight="1">
      <c r="A2689" t="inlineStr">
        <is>
          <t>A 29843-2023</t>
        </is>
      </c>
      <c r="B2689" t="inlineStr">
        <is>
          <t>avverkningsanmälan</t>
        </is>
      </c>
      <c r="C2689" t="inlineStr">
        <is>
          <t>Föryngringsavverkning</t>
        </is>
      </c>
      <c r="D2689" s="1" t="n">
        <v>45107</v>
      </c>
      <c r="E2689" s="1" t="n">
        <v>46313</v>
      </c>
      <c r="F2689" t="inlineStr">
        <is>
          <t>SÖDERMANLANDS LÄN</t>
        </is>
      </c>
      <c r="G2689" t="inlineStr">
        <is>
          <t>KATRINEHOLM</t>
        </is>
      </c>
      <c r="H2689" t="inlineStr">
        <is>
          <t>Holmen skog AB</t>
        </is>
      </c>
      <c r="I2689" t="n">
        <v>1.8</v>
      </c>
      <c r="J2689" t="n">
        <v>0</v>
      </c>
      <c r="K2689" t="n">
        <v>0</v>
      </c>
      <c r="L2689" t="n">
        <v>0</v>
      </c>
      <c r="M2689" t="n">
        <v>0</v>
      </c>
      <c r="N2689" t="n">
        <v>0</v>
      </c>
      <c r="O2689" t="n">
        <v>0</v>
      </c>
      <c r="P2689" t="n">
        <v>0</v>
      </c>
      <c r="Q2689" t="n">
        <v>0</v>
      </c>
      <c r="R2689" t="n">
        <v>0</v>
      </c>
      <c r="S2689" t="n">
        <v>0</v>
      </c>
      <c r="T2689" t="n">
        <v>0</v>
      </c>
      <c r="U2689" t="n">
        <v>0</v>
      </c>
      <c r="V2689" s="2" t="inlineStr"/>
    </row>
    <row r="2690" ht="15" customHeight="1">
      <c r="A2690" t="inlineStr">
        <is>
          <t>A 37329-2026</t>
        </is>
      </c>
      <c r="B2690" t="inlineStr">
        <is>
          <t>avverkningsanmälan</t>
        </is>
      </c>
      <c r="C2690" t="inlineStr">
        <is>
          <t>Föryngringsavverkning</t>
        </is>
      </c>
      <c r="D2690" s="1" t="n">
        <v>46274</v>
      </c>
      <c r="E2690" s="1" t="n">
        <v>46313</v>
      </c>
      <c r="F2690" t="inlineStr">
        <is>
          <t>SÖDERMANLANDS LÄN</t>
        </is>
      </c>
      <c r="G2690" t="inlineStr">
        <is>
          <t>VINGÅKER</t>
        </is>
      </c>
      <c r="H2690" t="inlineStr">
        <is>
          <t>Kommuner</t>
        </is>
      </c>
      <c r="I2690" t="n">
        <v>1</v>
      </c>
      <c r="J2690" t="n">
        <v>0</v>
      </c>
      <c r="K2690" t="n">
        <v>0</v>
      </c>
      <c r="L2690" t="n">
        <v>0</v>
      </c>
      <c r="M2690" t="n">
        <v>0</v>
      </c>
      <c r="N2690" t="n">
        <v>0</v>
      </c>
      <c r="O2690" t="n">
        <v>0</v>
      </c>
      <c r="P2690" t="n">
        <v>0</v>
      </c>
      <c r="Q2690" t="n">
        <v>0</v>
      </c>
      <c r="R2690" t="n">
        <v>0</v>
      </c>
      <c r="S2690" t="n">
        <v>0</v>
      </c>
      <c r="T2690" t="n">
        <v>0</v>
      </c>
      <c r="U2690" t="n">
        <v>0</v>
      </c>
      <c r="V2690" s="2" t="inlineStr"/>
    </row>
    <row r="2691" ht="15" customHeight="1">
      <c r="A2691" t="inlineStr">
        <is>
          <t>A 37325-2026</t>
        </is>
      </c>
      <c r="B2691" t="inlineStr">
        <is>
          <t>avverkningsanmälan</t>
        </is>
      </c>
      <c r="C2691" t="inlineStr">
        <is>
          <t>Föryngringsavverkning</t>
        </is>
      </c>
      <c r="D2691" s="1" t="n">
        <v>46275</v>
      </c>
      <c r="E2691" s="1" t="n">
        <v>46313</v>
      </c>
      <c r="F2691" t="inlineStr">
        <is>
          <t>SÖDERMANLANDS LÄN</t>
        </is>
      </c>
      <c r="G2691" t="inlineStr">
        <is>
          <t>VINGÅKER</t>
        </is>
      </c>
      <c r="H2691" t="inlineStr">
        <is>
          <t>Kommuner</t>
        </is>
      </c>
      <c r="I2691" t="n">
        <v>2</v>
      </c>
      <c r="J2691" t="n">
        <v>0</v>
      </c>
      <c r="K2691" t="n">
        <v>0</v>
      </c>
      <c r="L2691" t="n">
        <v>0</v>
      </c>
      <c r="M2691" t="n">
        <v>0</v>
      </c>
      <c r="N2691" t="n">
        <v>0</v>
      </c>
      <c r="O2691" t="n">
        <v>0</v>
      </c>
      <c r="P2691" t="n">
        <v>0</v>
      </c>
      <c r="Q2691" t="n">
        <v>0</v>
      </c>
      <c r="R2691" t="n">
        <v>0</v>
      </c>
      <c r="S2691" t="n">
        <v>0</v>
      </c>
      <c r="T2691" t="n">
        <v>0</v>
      </c>
      <c r="U2691" t="n">
        <v>0</v>
      </c>
      <c r="V2691" s="2" t="inlineStr"/>
    </row>
    <row r="2692" ht="15" customHeight="1">
      <c r="A2692" t="inlineStr">
        <is>
          <t>A 60034-2022</t>
        </is>
      </c>
      <c r="B2692" t="inlineStr">
        <is>
          <t>avverkningsanmälan</t>
        </is>
      </c>
      <c r="C2692" t="inlineStr">
        <is>
          <t>Föryngringsavverkning</t>
        </is>
      </c>
      <c r="D2692" s="1" t="n">
        <v>44909</v>
      </c>
      <c r="E2692" s="1" t="n">
        <v>46313</v>
      </c>
      <c r="F2692" t="inlineStr">
        <is>
          <t>SÖDERMANLANDS LÄN</t>
        </is>
      </c>
      <c r="G2692" t="inlineStr">
        <is>
          <t>FLEN</t>
        </is>
      </c>
      <c r="H2692" t="inlineStr">
        <is>
          <t>Holmen skog AB</t>
        </is>
      </c>
      <c r="I2692" t="n">
        <v>0.8</v>
      </c>
      <c r="J2692" t="n">
        <v>0</v>
      </c>
      <c r="K2692" t="n">
        <v>0</v>
      </c>
      <c r="L2692" t="n">
        <v>0</v>
      </c>
      <c r="M2692" t="n">
        <v>0</v>
      </c>
      <c r="N2692" t="n">
        <v>0</v>
      </c>
      <c r="O2692" t="n">
        <v>0</v>
      </c>
      <c r="P2692" t="n">
        <v>0</v>
      </c>
      <c r="Q2692" t="n">
        <v>0</v>
      </c>
      <c r="R2692" t="n">
        <v>0</v>
      </c>
      <c r="S2692" t="n">
        <v>0</v>
      </c>
      <c r="T2692" t="n">
        <v>0</v>
      </c>
      <c r="U2692" t="n">
        <v>0</v>
      </c>
      <c r="V2692" s="2" t="inlineStr"/>
    </row>
    <row r="2693" ht="15" customHeight="1">
      <c r="A2693" t="inlineStr">
        <is>
          <t>A 62418-2023</t>
        </is>
      </c>
      <c r="B2693" t="inlineStr">
        <is>
          <t>avverkningsanmälan</t>
        </is>
      </c>
      <c r="C2693" t="inlineStr">
        <is>
          <t>Föryngringsavverkning</t>
        </is>
      </c>
      <c r="D2693" s="1" t="n">
        <v>45268</v>
      </c>
      <c r="E2693" s="1" t="n">
        <v>46313</v>
      </c>
      <c r="F2693" t="inlineStr">
        <is>
          <t>SÖDERMANLANDS LÄN</t>
        </is>
      </c>
      <c r="G2693" t="inlineStr">
        <is>
          <t>KATRINEHOLM</t>
        </is>
      </c>
      <c r="I2693" t="n">
        <v>3</v>
      </c>
      <c r="J2693" t="n">
        <v>0</v>
      </c>
      <c r="K2693" t="n">
        <v>0</v>
      </c>
      <c r="L2693" t="n">
        <v>0</v>
      </c>
      <c r="M2693" t="n">
        <v>0</v>
      </c>
      <c r="N2693" t="n">
        <v>0</v>
      </c>
      <c r="O2693" t="n">
        <v>0</v>
      </c>
      <c r="P2693" t="n">
        <v>0</v>
      </c>
      <c r="Q2693" t="n">
        <v>0</v>
      </c>
      <c r="R2693" t="n">
        <v>0</v>
      </c>
      <c r="S2693" t="n">
        <v>0</v>
      </c>
      <c r="T2693" t="n">
        <v>0</v>
      </c>
      <c r="U2693" t="n">
        <v>0</v>
      </c>
      <c r="V2693" s="2" t="inlineStr"/>
    </row>
    <row r="2694" ht="15" customHeight="1">
      <c r="A2694" t="inlineStr">
        <is>
          <t>A 18797-2025</t>
        </is>
      </c>
      <c r="B2694" t="inlineStr">
        <is>
          <t>avverkningsanmälan</t>
        </is>
      </c>
      <c r="C2694" t="inlineStr">
        <is>
          <t>Föryngringsavverkning</t>
        </is>
      </c>
      <c r="D2694" s="1" t="n">
        <v>45764</v>
      </c>
      <c r="E2694" s="1" t="n">
        <v>46313</v>
      </c>
      <c r="F2694" t="inlineStr">
        <is>
          <t>SÖDERMANLANDS LÄN</t>
        </is>
      </c>
      <c r="G2694" t="inlineStr">
        <is>
          <t>VINGÅKER</t>
        </is>
      </c>
      <c r="H2694" t="inlineStr">
        <is>
          <t>Sveaskog</t>
        </is>
      </c>
      <c r="I2694" t="n">
        <v>3.9</v>
      </c>
      <c r="J2694" t="n">
        <v>0</v>
      </c>
      <c r="K2694" t="n">
        <v>0</v>
      </c>
      <c r="L2694" t="n">
        <v>0</v>
      </c>
      <c r="M2694" t="n">
        <v>0</v>
      </c>
      <c r="N2694" t="n">
        <v>0</v>
      </c>
      <c r="O2694" t="n">
        <v>0</v>
      </c>
      <c r="P2694" t="n">
        <v>0</v>
      </c>
      <c r="Q2694" t="n">
        <v>0</v>
      </c>
      <c r="R2694" t="n">
        <v>0</v>
      </c>
      <c r="S2694" t="n">
        <v>0</v>
      </c>
      <c r="T2694" t="n">
        <v>0</v>
      </c>
      <c r="U2694" t="n">
        <v>0</v>
      </c>
      <c r="V2694" s="2" t="inlineStr"/>
    </row>
    <row r="2695" ht="15" customHeight="1">
      <c r="A2695" t="inlineStr">
        <is>
          <t>A 50698-2024</t>
        </is>
      </c>
      <c r="B2695" t="inlineStr">
        <is>
          <t>avverkningsanmälan</t>
        </is>
      </c>
      <c r="C2695" t="inlineStr">
        <is>
          <t>Föryngringsavverkning</t>
        </is>
      </c>
      <c r="D2695" s="1" t="n">
        <v>45602</v>
      </c>
      <c r="E2695" s="1" t="n">
        <v>46313</v>
      </c>
      <c r="F2695" t="inlineStr">
        <is>
          <t>SÖDERMANLANDS LÄN</t>
        </is>
      </c>
      <c r="G2695" t="inlineStr">
        <is>
          <t>NYKÖPING</t>
        </is>
      </c>
      <c r="I2695" t="n">
        <v>1.4</v>
      </c>
      <c r="J2695" t="n">
        <v>0</v>
      </c>
      <c r="K2695" t="n">
        <v>0</v>
      </c>
      <c r="L2695" t="n">
        <v>0</v>
      </c>
      <c r="M2695" t="n">
        <v>0</v>
      </c>
      <c r="N2695" t="n">
        <v>0</v>
      </c>
      <c r="O2695" t="n">
        <v>0</v>
      </c>
      <c r="P2695" t="n">
        <v>0</v>
      </c>
      <c r="Q2695" t="n">
        <v>0</v>
      </c>
      <c r="R2695" t="n">
        <v>0</v>
      </c>
      <c r="S2695" t="n">
        <v>0</v>
      </c>
      <c r="T2695" t="n">
        <v>0</v>
      </c>
      <c r="U2695" t="n">
        <v>0</v>
      </c>
      <c r="V2695" s="2" t="inlineStr"/>
    </row>
    <row r="2696" ht="15" customHeight="1">
      <c r="A2696" t="inlineStr">
        <is>
          <t>A 17768-2024</t>
        </is>
      </c>
      <c r="B2696" t="inlineStr">
        <is>
          <t>avverkningsanmälan</t>
        </is>
      </c>
      <c r="C2696" t="inlineStr">
        <is>
          <t>Föryngringsavverkning</t>
        </is>
      </c>
      <c r="D2696" s="1" t="n">
        <v>45418</v>
      </c>
      <c r="E2696" s="1" t="n">
        <v>46313</v>
      </c>
      <c r="F2696" t="inlineStr">
        <is>
          <t>SÖDERMANLANDS LÄN</t>
        </is>
      </c>
      <c r="G2696" t="inlineStr">
        <is>
          <t>VINGÅKER</t>
        </is>
      </c>
      <c r="I2696" t="n">
        <v>5.4</v>
      </c>
      <c r="J2696" t="n">
        <v>0</v>
      </c>
      <c r="K2696" t="n">
        <v>0</v>
      </c>
      <c r="L2696" t="n">
        <v>0</v>
      </c>
      <c r="M2696" t="n">
        <v>0</v>
      </c>
      <c r="N2696" t="n">
        <v>0</v>
      </c>
      <c r="O2696" t="n">
        <v>0</v>
      </c>
      <c r="P2696" t="n">
        <v>0</v>
      </c>
      <c r="Q2696" t="n">
        <v>0</v>
      </c>
      <c r="R2696" t="n">
        <v>0</v>
      </c>
      <c r="S2696" t="n">
        <v>0</v>
      </c>
      <c r="T2696" t="n">
        <v>0</v>
      </c>
      <c r="U2696" t="n">
        <v>0</v>
      </c>
      <c r="V2696" s="2" t="inlineStr"/>
    </row>
    <row r="2697" ht="15" customHeight="1">
      <c r="A2697" t="inlineStr">
        <is>
          <t>A 4536-2024</t>
        </is>
      </c>
      <c r="B2697" t="inlineStr">
        <is>
          <t>avverkningsanmälan</t>
        </is>
      </c>
      <c r="C2697" t="inlineStr">
        <is>
          <t>Föryngringsavverkning</t>
        </is>
      </c>
      <c r="D2697" s="1" t="n">
        <v>45327</v>
      </c>
      <c r="E2697" s="1" t="n">
        <v>46313</v>
      </c>
      <c r="F2697" t="inlineStr">
        <is>
          <t>SÖDERMANLANDS LÄN</t>
        </is>
      </c>
      <c r="G2697" t="inlineStr">
        <is>
          <t>FLEN</t>
        </is>
      </c>
      <c r="I2697" t="n">
        <v>2.7</v>
      </c>
      <c r="J2697" t="n">
        <v>0</v>
      </c>
      <c r="K2697" t="n">
        <v>0</v>
      </c>
      <c r="L2697" t="n">
        <v>0</v>
      </c>
      <c r="M2697" t="n">
        <v>0</v>
      </c>
      <c r="N2697" t="n">
        <v>0</v>
      </c>
      <c r="O2697" t="n">
        <v>0</v>
      </c>
      <c r="P2697" t="n">
        <v>0</v>
      </c>
      <c r="Q2697" t="n">
        <v>0</v>
      </c>
      <c r="R2697" t="n">
        <v>0</v>
      </c>
      <c r="S2697" t="n">
        <v>0</v>
      </c>
      <c r="T2697" t="n">
        <v>0</v>
      </c>
      <c r="U2697" t="n">
        <v>0</v>
      </c>
      <c r="V2697" s="2" t="inlineStr"/>
    </row>
    <row r="2698" ht="15" customHeight="1">
      <c r="A2698" t="inlineStr">
        <is>
          <t>A 34437-2023</t>
        </is>
      </c>
      <c r="B2698" t="inlineStr">
        <is>
          <t>avverkningsanmälan</t>
        </is>
      </c>
      <c r="C2698" t="inlineStr">
        <is>
          <t>Avverkning för annat ändamål</t>
        </is>
      </c>
      <c r="D2698" s="1" t="n">
        <v>45133</v>
      </c>
      <c r="E2698" s="1" t="n">
        <v>46313</v>
      </c>
      <c r="F2698" t="inlineStr">
        <is>
          <t>SÖDERMANLANDS LÄN</t>
        </is>
      </c>
      <c r="G2698" t="inlineStr">
        <is>
          <t>GNESTA</t>
        </is>
      </c>
      <c r="I2698" t="n">
        <v>9.699999999999999</v>
      </c>
      <c r="J2698" t="n">
        <v>0</v>
      </c>
      <c r="K2698" t="n">
        <v>0</v>
      </c>
      <c r="L2698" t="n">
        <v>0</v>
      </c>
      <c r="M2698" t="n">
        <v>0</v>
      </c>
      <c r="N2698" t="n">
        <v>0</v>
      </c>
      <c r="O2698" t="n">
        <v>0</v>
      </c>
      <c r="P2698" t="n">
        <v>0</v>
      </c>
      <c r="Q2698" t="n">
        <v>0</v>
      </c>
      <c r="R2698" t="n">
        <v>0</v>
      </c>
      <c r="S2698" t="n">
        <v>0</v>
      </c>
      <c r="T2698" t="n">
        <v>0</v>
      </c>
      <c r="U2698" t="n">
        <v>0</v>
      </c>
      <c r="V2698" s="2" t="inlineStr"/>
    </row>
    <row r="2699" ht="15" customHeight="1">
      <c r="A2699" t="inlineStr">
        <is>
          <t>A 12936-2023</t>
        </is>
      </c>
      <c r="B2699" t="inlineStr">
        <is>
          <t>avverkningsanmälan</t>
        </is>
      </c>
      <c r="C2699" t="inlineStr">
        <is>
          <t>Föryngringsavverkning</t>
        </is>
      </c>
      <c r="D2699" s="1" t="n">
        <v>45001</v>
      </c>
      <c r="E2699" s="1" t="n">
        <v>46313</v>
      </c>
      <c r="F2699" t="inlineStr">
        <is>
          <t>SÖDERMANLANDS LÄN</t>
        </is>
      </c>
      <c r="G2699" t="inlineStr">
        <is>
          <t>FLEN</t>
        </is>
      </c>
      <c r="H2699" t="inlineStr">
        <is>
          <t>Holmen skog AB</t>
        </is>
      </c>
      <c r="I2699" t="n">
        <v>0.6</v>
      </c>
      <c r="J2699" t="n">
        <v>0</v>
      </c>
      <c r="K2699" t="n">
        <v>0</v>
      </c>
      <c r="L2699" t="n">
        <v>0</v>
      </c>
      <c r="M2699" t="n">
        <v>0</v>
      </c>
      <c r="N2699" t="n">
        <v>0</v>
      </c>
      <c r="O2699" t="n">
        <v>0</v>
      </c>
      <c r="P2699" t="n">
        <v>0</v>
      </c>
      <c r="Q2699" t="n">
        <v>0</v>
      </c>
      <c r="R2699" t="n">
        <v>0</v>
      </c>
      <c r="S2699" t="n">
        <v>0</v>
      </c>
      <c r="T2699" t="n">
        <v>0</v>
      </c>
      <c r="U2699" t="n">
        <v>0</v>
      </c>
      <c r="V2699" s="2" t="inlineStr"/>
    </row>
    <row r="2700" ht="15" customHeight="1">
      <c r="A2700" t="inlineStr">
        <is>
          <t>A 37229-2026</t>
        </is>
      </c>
      <c r="B2700" t="inlineStr">
        <is>
          <t>avverkningsanmälan</t>
        </is>
      </c>
      <c r="C2700" t="inlineStr">
        <is>
          <t>Föryngringsavverkning</t>
        </is>
      </c>
      <c r="D2700" s="1" t="n">
        <v>46274</v>
      </c>
      <c r="E2700" s="1" t="n">
        <v>46313</v>
      </c>
      <c r="F2700" t="inlineStr">
        <is>
          <t>SÖDERMANLANDS LÄN</t>
        </is>
      </c>
      <c r="G2700" t="inlineStr">
        <is>
          <t>VINGÅKER</t>
        </is>
      </c>
      <c r="I2700" t="n">
        <v>3.3</v>
      </c>
      <c r="J2700" t="n">
        <v>0</v>
      </c>
      <c r="K2700" t="n">
        <v>0</v>
      </c>
      <c r="L2700" t="n">
        <v>0</v>
      </c>
      <c r="M2700" t="n">
        <v>0</v>
      </c>
      <c r="N2700" t="n">
        <v>0</v>
      </c>
      <c r="O2700" t="n">
        <v>0</v>
      </c>
      <c r="P2700" t="n">
        <v>0</v>
      </c>
      <c r="Q2700" t="n">
        <v>0</v>
      </c>
      <c r="R2700" t="n">
        <v>0</v>
      </c>
      <c r="S2700" t="n">
        <v>0</v>
      </c>
      <c r="T2700" t="n">
        <v>0</v>
      </c>
      <c r="U2700" t="n">
        <v>0</v>
      </c>
      <c r="V2700" s="2" t="inlineStr"/>
    </row>
    <row r="2701" ht="15" customHeight="1">
      <c r="A2701" t="inlineStr">
        <is>
          <t>A 3353-2022</t>
        </is>
      </c>
      <c r="B2701" t="inlineStr">
        <is>
          <t>avverkningsanmälan</t>
        </is>
      </c>
      <c r="C2701" t="inlineStr">
        <is>
          <t>Föryngringsavverkning</t>
        </is>
      </c>
      <c r="D2701" s="1" t="n">
        <v>44585</v>
      </c>
      <c r="E2701" s="1" t="n">
        <v>46313</v>
      </c>
      <c r="F2701" t="inlineStr">
        <is>
          <t>SÖDERMANLANDS LÄN</t>
        </is>
      </c>
      <c r="G2701" t="inlineStr">
        <is>
          <t>NYKÖPING</t>
        </is>
      </c>
      <c r="I2701" t="n">
        <v>2.8</v>
      </c>
      <c r="J2701" t="n">
        <v>0</v>
      </c>
      <c r="K2701" t="n">
        <v>0</v>
      </c>
      <c r="L2701" t="n">
        <v>0</v>
      </c>
      <c r="M2701" t="n">
        <v>0</v>
      </c>
      <c r="N2701" t="n">
        <v>0</v>
      </c>
      <c r="O2701" t="n">
        <v>0</v>
      </c>
      <c r="P2701" t="n">
        <v>0</v>
      </c>
      <c r="Q2701" t="n">
        <v>0</v>
      </c>
      <c r="R2701" t="n">
        <v>0</v>
      </c>
      <c r="S2701" t="n">
        <v>0</v>
      </c>
      <c r="T2701" t="n">
        <v>0</v>
      </c>
      <c r="U2701" t="n">
        <v>0</v>
      </c>
      <c r="V2701" s="2" t="inlineStr"/>
    </row>
    <row r="2702" ht="15" customHeight="1">
      <c r="A2702" t="inlineStr">
        <is>
          <t>A 48091-2024</t>
        </is>
      </c>
      <c r="B2702" t="inlineStr">
        <is>
          <t>avverkningsanmälan</t>
        </is>
      </c>
      <c r="C2702" t="inlineStr">
        <is>
          <t>Föryngringsavverkning</t>
        </is>
      </c>
      <c r="D2702" s="1" t="n">
        <v>45590</v>
      </c>
      <c r="E2702" s="1" t="n">
        <v>46313</v>
      </c>
      <c r="F2702" t="inlineStr">
        <is>
          <t>SÖDERMANLANDS LÄN</t>
        </is>
      </c>
      <c r="G2702" t="inlineStr">
        <is>
          <t>KATRINEHOLM</t>
        </is>
      </c>
      <c r="I2702" t="n">
        <v>3.1</v>
      </c>
      <c r="J2702" t="n">
        <v>0</v>
      </c>
      <c r="K2702" t="n">
        <v>0</v>
      </c>
      <c r="L2702" t="n">
        <v>0</v>
      </c>
      <c r="M2702" t="n">
        <v>0</v>
      </c>
      <c r="N2702" t="n">
        <v>0</v>
      </c>
      <c r="O2702" t="n">
        <v>0</v>
      </c>
      <c r="P2702" t="n">
        <v>0</v>
      </c>
      <c r="Q2702" t="n">
        <v>0</v>
      </c>
      <c r="R2702" t="n">
        <v>0</v>
      </c>
      <c r="S2702" t="n">
        <v>0</v>
      </c>
      <c r="T2702" t="n">
        <v>0</v>
      </c>
      <c r="U2702" t="n">
        <v>0</v>
      </c>
      <c r="V2702" s="2" t="inlineStr"/>
    </row>
    <row r="2703" ht="15" customHeight="1">
      <c r="A2703" t="inlineStr">
        <is>
          <t>A 25071-2022</t>
        </is>
      </c>
      <c r="B2703" t="inlineStr">
        <is>
          <t>avverkningsanmälan</t>
        </is>
      </c>
      <c r="C2703" t="inlineStr">
        <is>
          <t>Föryngringsavverkning</t>
        </is>
      </c>
      <c r="D2703" s="1" t="n">
        <v>44729</v>
      </c>
      <c r="E2703" s="1" t="n">
        <v>46313</v>
      </c>
      <c r="F2703" t="inlineStr">
        <is>
          <t>SÖDERMANLANDS LÄN</t>
        </is>
      </c>
      <c r="G2703" t="inlineStr">
        <is>
          <t>ESKILSTUNA</t>
        </is>
      </c>
      <c r="I2703" t="n">
        <v>1.1</v>
      </c>
      <c r="J2703" t="n">
        <v>0</v>
      </c>
      <c r="K2703" t="n">
        <v>0</v>
      </c>
      <c r="L2703" t="n">
        <v>0</v>
      </c>
      <c r="M2703" t="n">
        <v>0</v>
      </c>
      <c r="N2703" t="n">
        <v>0</v>
      </c>
      <c r="O2703" t="n">
        <v>0</v>
      </c>
      <c r="P2703" t="n">
        <v>0</v>
      </c>
      <c r="Q2703" t="n">
        <v>0</v>
      </c>
      <c r="R2703" t="n">
        <v>0</v>
      </c>
      <c r="S2703" t="n">
        <v>0</v>
      </c>
      <c r="T2703" t="n">
        <v>0</v>
      </c>
      <c r="U2703" t="n">
        <v>0</v>
      </c>
      <c r="V2703" s="2" t="inlineStr"/>
    </row>
    <row r="2704" ht="15" customHeight="1">
      <c r="A2704" t="inlineStr">
        <is>
          <t>A 31964-2026</t>
        </is>
      </c>
      <c r="B2704" t="inlineStr">
        <is>
          <t>avverkningsanmälan</t>
        </is>
      </c>
      <c r="C2704" t="inlineStr">
        <is>
          <t>Föryngringsavverkning</t>
        </is>
      </c>
      <c r="D2704" s="1" t="n">
        <v>46232</v>
      </c>
      <c r="E2704" s="1" t="n">
        <v>46313</v>
      </c>
      <c r="F2704" t="inlineStr">
        <is>
          <t>SÖDERMANLANDS LÄN</t>
        </is>
      </c>
      <c r="G2704" t="inlineStr">
        <is>
          <t>KATRINEHOLM</t>
        </is>
      </c>
      <c r="H2704" t="inlineStr">
        <is>
          <t>Övriga Aktiebolag</t>
        </is>
      </c>
      <c r="I2704" t="n">
        <v>3.5</v>
      </c>
      <c r="J2704" t="n">
        <v>0</v>
      </c>
      <c r="K2704" t="n">
        <v>0</v>
      </c>
      <c r="L2704" t="n">
        <v>0</v>
      </c>
      <c r="M2704" t="n">
        <v>0</v>
      </c>
      <c r="N2704" t="n">
        <v>0</v>
      </c>
      <c r="O2704" t="n">
        <v>0</v>
      </c>
      <c r="P2704" t="n">
        <v>0</v>
      </c>
      <c r="Q2704" t="n">
        <v>0</v>
      </c>
      <c r="R2704" t="n">
        <v>0</v>
      </c>
      <c r="S2704" t="n">
        <v>0</v>
      </c>
      <c r="T2704" t="n">
        <v>0</v>
      </c>
      <c r="U2704" t="n">
        <v>0</v>
      </c>
      <c r="V2704" s="2" t="inlineStr"/>
    </row>
    <row r="2705" ht="15" customHeight="1">
      <c r="A2705" t="inlineStr">
        <is>
          <t>A 60749-2021</t>
        </is>
      </c>
      <c r="B2705" t="inlineStr">
        <is>
          <t>avverkningsanmälan</t>
        </is>
      </c>
      <c r="C2705" t="inlineStr">
        <is>
          <t>Föryngringsavverkning</t>
        </is>
      </c>
      <c r="D2705" s="1" t="n">
        <v>44496</v>
      </c>
      <c r="E2705" s="1" t="n">
        <v>46313</v>
      </c>
      <c r="F2705" t="inlineStr">
        <is>
          <t>SÖDERMANLANDS LÄN</t>
        </is>
      </c>
      <c r="G2705" t="inlineStr">
        <is>
          <t>STRÄNGNÄS</t>
        </is>
      </c>
      <c r="I2705" t="n">
        <v>0.6</v>
      </c>
      <c r="J2705" t="n">
        <v>0</v>
      </c>
      <c r="K2705" t="n">
        <v>0</v>
      </c>
      <c r="L2705" t="n">
        <v>0</v>
      </c>
      <c r="M2705" t="n">
        <v>0</v>
      </c>
      <c r="N2705" t="n">
        <v>0</v>
      </c>
      <c r="O2705" t="n">
        <v>0</v>
      </c>
      <c r="P2705" t="n">
        <v>0</v>
      </c>
      <c r="Q2705" t="n">
        <v>0</v>
      </c>
      <c r="R2705" t="n">
        <v>0</v>
      </c>
      <c r="S2705" t="n">
        <v>0</v>
      </c>
      <c r="T2705" t="n">
        <v>0</v>
      </c>
      <c r="U2705" t="n">
        <v>0</v>
      </c>
      <c r="V2705" s="2" t="inlineStr"/>
    </row>
    <row r="2706" ht="15" customHeight="1">
      <c r="A2706" t="inlineStr">
        <is>
          <t>A 48160-2022</t>
        </is>
      </c>
      <c r="B2706" t="inlineStr">
        <is>
          <t>avverkningsanmälan</t>
        </is>
      </c>
      <c r="C2706" t="inlineStr">
        <is>
          <t>Föryngringsavverkning</t>
        </is>
      </c>
      <c r="D2706" s="1" t="n">
        <v>44853</v>
      </c>
      <c r="E2706" s="1" t="n">
        <v>46313</v>
      </c>
      <c r="F2706" t="inlineStr">
        <is>
          <t>SÖDERMANLANDS LÄN</t>
        </is>
      </c>
      <c r="G2706" t="inlineStr">
        <is>
          <t>KATRINEHOLM</t>
        </is>
      </c>
      <c r="H2706" t="inlineStr">
        <is>
          <t>Övriga statliga verk och myndigheter</t>
        </is>
      </c>
      <c r="I2706" t="n">
        <v>2.2</v>
      </c>
      <c r="J2706" t="n">
        <v>0</v>
      </c>
      <c r="K2706" t="n">
        <v>0</v>
      </c>
      <c r="L2706" t="n">
        <v>0</v>
      </c>
      <c r="M2706" t="n">
        <v>0</v>
      </c>
      <c r="N2706" t="n">
        <v>0</v>
      </c>
      <c r="O2706" t="n">
        <v>0</v>
      </c>
      <c r="P2706" t="n">
        <v>0</v>
      </c>
      <c r="Q2706" t="n">
        <v>0</v>
      </c>
      <c r="R2706" t="n">
        <v>0</v>
      </c>
      <c r="S2706" t="n">
        <v>0</v>
      </c>
      <c r="T2706" t="n">
        <v>0</v>
      </c>
      <c r="U2706" t="n">
        <v>0</v>
      </c>
      <c r="V2706" s="2" t="inlineStr"/>
    </row>
    <row r="2707" ht="15" customHeight="1">
      <c r="A2707" t="inlineStr">
        <is>
          <t>A 37334-2026</t>
        </is>
      </c>
      <c r="B2707" t="inlineStr">
        <is>
          <t>avverkningsanmälan</t>
        </is>
      </c>
      <c r="C2707" t="inlineStr">
        <is>
          <t>Föryngringsavverkning</t>
        </is>
      </c>
      <c r="D2707" s="1" t="n">
        <v>46274</v>
      </c>
      <c r="E2707" s="1" t="n">
        <v>46313</v>
      </c>
      <c r="F2707" t="inlineStr">
        <is>
          <t>SÖDERMANLANDS LÄN</t>
        </is>
      </c>
      <c r="G2707" t="inlineStr">
        <is>
          <t>VINGÅKER</t>
        </is>
      </c>
      <c r="H2707" t="inlineStr">
        <is>
          <t>Kommuner</t>
        </is>
      </c>
      <c r="I2707" t="n">
        <v>1.3</v>
      </c>
      <c r="J2707" t="n">
        <v>0</v>
      </c>
      <c r="K2707" t="n">
        <v>0</v>
      </c>
      <c r="L2707" t="n">
        <v>0</v>
      </c>
      <c r="M2707" t="n">
        <v>0</v>
      </c>
      <c r="N2707" t="n">
        <v>0</v>
      </c>
      <c r="O2707" t="n">
        <v>0</v>
      </c>
      <c r="P2707" t="n">
        <v>0</v>
      </c>
      <c r="Q2707" t="n">
        <v>0</v>
      </c>
      <c r="R2707" t="n">
        <v>0</v>
      </c>
      <c r="S2707" t="n">
        <v>0</v>
      </c>
      <c r="T2707" t="n">
        <v>0</v>
      </c>
      <c r="U2707" t="n">
        <v>0</v>
      </c>
      <c r="V2707" s="2" t="inlineStr"/>
    </row>
    <row r="2708" ht="15" customHeight="1">
      <c r="A2708" t="inlineStr">
        <is>
          <t>A 18339-2023</t>
        </is>
      </c>
      <c r="B2708" t="inlineStr">
        <is>
          <t>avverkningsanmälan</t>
        </is>
      </c>
      <c r="C2708" t="inlineStr">
        <is>
          <t>Föryngringsavverkning</t>
        </is>
      </c>
      <c r="D2708" s="1" t="n">
        <v>45041</v>
      </c>
      <c r="E2708" s="1" t="n">
        <v>46313</v>
      </c>
      <c r="F2708" t="inlineStr">
        <is>
          <t>SÖDERMANLANDS LÄN</t>
        </is>
      </c>
      <c r="G2708" t="inlineStr">
        <is>
          <t>KATRINEHOLM</t>
        </is>
      </c>
      <c r="I2708" t="n">
        <v>1.7</v>
      </c>
      <c r="J2708" t="n">
        <v>0</v>
      </c>
      <c r="K2708" t="n">
        <v>0</v>
      </c>
      <c r="L2708" t="n">
        <v>0</v>
      </c>
      <c r="M2708" t="n">
        <v>0</v>
      </c>
      <c r="N2708" t="n">
        <v>0</v>
      </c>
      <c r="O2708" t="n">
        <v>0</v>
      </c>
      <c r="P2708" t="n">
        <v>0</v>
      </c>
      <c r="Q2708" t="n">
        <v>0</v>
      </c>
      <c r="R2708" t="n">
        <v>0</v>
      </c>
      <c r="S2708" t="n">
        <v>0</v>
      </c>
      <c r="T2708" t="n">
        <v>0</v>
      </c>
      <c r="U2708" t="n">
        <v>0</v>
      </c>
      <c r="V2708" s="2" t="inlineStr"/>
    </row>
    <row r="2709" ht="15" customHeight="1">
      <c r="A2709" t="inlineStr">
        <is>
          <t>A 20460-2025</t>
        </is>
      </c>
      <c r="B2709" t="inlineStr">
        <is>
          <t>avverkningsanmälan</t>
        </is>
      </c>
      <c r="C2709" t="inlineStr">
        <is>
          <t>Föryngringsavverkning</t>
        </is>
      </c>
      <c r="D2709" s="1" t="n">
        <v>45775</v>
      </c>
      <c r="E2709" s="1" t="n">
        <v>46313</v>
      </c>
      <c r="F2709" t="inlineStr">
        <is>
          <t>SÖDERMANLANDS LÄN</t>
        </is>
      </c>
      <c r="G2709" t="inlineStr">
        <is>
          <t>KATRINEHOLM</t>
        </is>
      </c>
      <c r="I2709" t="n">
        <v>0.6</v>
      </c>
      <c r="J2709" t="n">
        <v>0</v>
      </c>
      <c r="K2709" t="n">
        <v>0</v>
      </c>
      <c r="L2709" t="n">
        <v>0</v>
      </c>
      <c r="M2709" t="n">
        <v>0</v>
      </c>
      <c r="N2709" t="n">
        <v>0</v>
      </c>
      <c r="O2709" t="n">
        <v>0</v>
      </c>
      <c r="P2709" t="n">
        <v>0</v>
      </c>
      <c r="Q2709" t="n">
        <v>0</v>
      </c>
      <c r="R2709" t="n">
        <v>0</v>
      </c>
      <c r="S2709" t="n">
        <v>0</v>
      </c>
      <c r="T2709" t="n">
        <v>0</v>
      </c>
      <c r="U2709" t="n">
        <v>0</v>
      </c>
      <c r="V2709" s="2" t="inlineStr"/>
    </row>
    <row r="2710" ht="15" customHeight="1">
      <c r="A2710" t="inlineStr">
        <is>
          <t>A 49092-2024</t>
        </is>
      </c>
      <c r="B2710" t="inlineStr">
        <is>
          <t>avverkningsanmälan</t>
        </is>
      </c>
      <c r="C2710" t="inlineStr">
        <is>
          <t>Avverkning för annat ändamål</t>
        </is>
      </c>
      <c r="D2710" s="1" t="n">
        <v>45594</v>
      </c>
      <c r="E2710" s="1" t="n">
        <v>46313</v>
      </c>
      <c r="F2710" t="inlineStr">
        <is>
          <t>SÖDERMANLANDS LÄN</t>
        </is>
      </c>
      <c r="G2710" t="inlineStr">
        <is>
          <t>KATRINEHOLM</t>
        </is>
      </c>
      <c r="H2710" t="inlineStr">
        <is>
          <t>Övriga Aktiebolag</t>
        </is>
      </c>
      <c r="I2710" t="n">
        <v>0.4</v>
      </c>
      <c r="J2710" t="n">
        <v>0</v>
      </c>
      <c r="K2710" t="n">
        <v>0</v>
      </c>
      <c r="L2710" t="n">
        <v>0</v>
      </c>
      <c r="M2710" t="n">
        <v>0</v>
      </c>
      <c r="N2710" t="n">
        <v>0</v>
      </c>
      <c r="O2710" t="n">
        <v>0</v>
      </c>
      <c r="P2710" t="n">
        <v>0</v>
      </c>
      <c r="Q2710" t="n">
        <v>0</v>
      </c>
      <c r="R2710" t="n">
        <v>0</v>
      </c>
      <c r="S2710" t="n">
        <v>0</v>
      </c>
      <c r="T2710" t="n">
        <v>0</v>
      </c>
      <c r="U2710" t="n">
        <v>0</v>
      </c>
      <c r="V2710" s="2" t="inlineStr"/>
    </row>
    <row r="2711" ht="15" customHeight="1">
      <c r="A2711" t="inlineStr">
        <is>
          <t>A 49095-2024</t>
        </is>
      </c>
      <c r="B2711" t="inlineStr">
        <is>
          <t>avverkningsanmälan</t>
        </is>
      </c>
      <c r="C2711" t="inlineStr">
        <is>
          <t>Avverkning för annat ändamål</t>
        </is>
      </c>
      <c r="D2711" s="1" t="n">
        <v>45594</v>
      </c>
      <c r="E2711" s="1" t="n">
        <v>46313</v>
      </c>
      <c r="F2711" t="inlineStr">
        <is>
          <t>SÖDERMANLANDS LÄN</t>
        </is>
      </c>
      <c r="G2711" t="inlineStr">
        <is>
          <t>KATRINEHOLM</t>
        </is>
      </c>
      <c r="H2711" t="inlineStr">
        <is>
          <t>Övriga Aktiebolag</t>
        </is>
      </c>
      <c r="I2711" t="n">
        <v>0.4</v>
      </c>
      <c r="J2711" t="n">
        <v>0</v>
      </c>
      <c r="K2711" t="n">
        <v>0</v>
      </c>
      <c r="L2711" t="n">
        <v>0</v>
      </c>
      <c r="M2711" t="n">
        <v>0</v>
      </c>
      <c r="N2711" t="n">
        <v>0</v>
      </c>
      <c r="O2711" t="n">
        <v>0</v>
      </c>
      <c r="P2711" t="n">
        <v>0</v>
      </c>
      <c r="Q2711" t="n">
        <v>0</v>
      </c>
      <c r="R2711" t="n">
        <v>0</v>
      </c>
      <c r="S2711" t="n">
        <v>0</v>
      </c>
      <c r="T2711" t="n">
        <v>0</v>
      </c>
      <c r="U2711" t="n">
        <v>0</v>
      </c>
      <c r="V2711" s="2" t="inlineStr"/>
    </row>
    <row r="2712" ht="15" customHeight="1">
      <c r="A2712" t="inlineStr">
        <is>
          <t>A 37681-2026</t>
        </is>
      </c>
      <c r="B2712" t="inlineStr">
        <is>
          <t>avverkningsanmälan</t>
        </is>
      </c>
      <c r="C2712" t="inlineStr">
        <is>
          <t>Föryngringsavverkning</t>
        </is>
      </c>
      <c r="D2712" s="1" t="n">
        <v>46278</v>
      </c>
      <c r="E2712" s="1" t="n">
        <v>46313</v>
      </c>
      <c r="F2712" t="inlineStr">
        <is>
          <t>SÖDERMANLANDS LÄN</t>
        </is>
      </c>
      <c r="G2712" t="inlineStr">
        <is>
          <t>STRÄNGNÄS</t>
        </is>
      </c>
      <c r="H2712" t="inlineStr">
        <is>
          <t>Allmännings- och besparingsskogar</t>
        </is>
      </c>
      <c r="I2712" t="n">
        <v>8.300000000000001</v>
      </c>
      <c r="J2712" t="n">
        <v>0</v>
      </c>
      <c r="K2712" t="n">
        <v>0</v>
      </c>
      <c r="L2712" t="n">
        <v>0</v>
      </c>
      <c r="M2712" t="n">
        <v>0</v>
      </c>
      <c r="N2712" t="n">
        <v>0</v>
      </c>
      <c r="O2712" t="n">
        <v>0</v>
      </c>
      <c r="P2712" t="n">
        <v>0</v>
      </c>
      <c r="Q2712" t="n">
        <v>0</v>
      </c>
      <c r="R2712" t="n">
        <v>0</v>
      </c>
      <c r="S2712" t="n">
        <v>0</v>
      </c>
      <c r="T2712" t="n">
        <v>0</v>
      </c>
      <c r="U2712" t="n">
        <v>0</v>
      </c>
      <c r="V2712" s="2" t="inlineStr"/>
    </row>
    <row r="2713" ht="15" customHeight="1">
      <c r="A2713" t="inlineStr">
        <is>
          <t>A 27915-2023</t>
        </is>
      </c>
      <c r="B2713" t="inlineStr">
        <is>
          <t>avverkningsanmälan</t>
        </is>
      </c>
      <c r="C2713" t="inlineStr">
        <is>
          <t>Föryngringsavverkning</t>
        </is>
      </c>
      <c r="D2713" s="1" t="n">
        <v>45098</v>
      </c>
      <c r="E2713" s="1" t="n">
        <v>46313</v>
      </c>
      <c r="F2713" t="inlineStr">
        <is>
          <t>SÖDERMANLANDS LÄN</t>
        </is>
      </c>
      <c r="G2713" t="inlineStr">
        <is>
          <t>NYKÖPING</t>
        </is>
      </c>
      <c r="I2713" t="n">
        <v>2</v>
      </c>
      <c r="J2713" t="n">
        <v>0</v>
      </c>
      <c r="K2713" t="n">
        <v>0</v>
      </c>
      <c r="L2713" t="n">
        <v>0</v>
      </c>
      <c r="M2713" t="n">
        <v>0</v>
      </c>
      <c r="N2713" t="n">
        <v>0</v>
      </c>
      <c r="O2713" t="n">
        <v>0</v>
      </c>
      <c r="P2713" t="n">
        <v>0</v>
      </c>
      <c r="Q2713" t="n">
        <v>0</v>
      </c>
      <c r="R2713" t="n">
        <v>0</v>
      </c>
      <c r="S2713" t="n">
        <v>0</v>
      </c>
      <c r="T2713" t="n">
        <v>0</v>
      </c>
      <c r="U2713" t="n">
        <v>0</v>
      </c>
      <c r="V2713" s="2" t="inlineStr"/>
    </row>
    <row r="2714" ht="15" customHeight="1">
      <c r="A2714" t="inlineStr">
        <is>
          <t>A 37682-2026</t>
        </is>
      </c>
      <c r="B2714" t="inlineStr">
        <is>
          <t>avverkningsanmälan</t>
        </is>
      </c>
      <c r="C2714" t="inlineStr">
        <is>
          <t>Föryngringsavverkning</t>
        </is>
      </c>
      <c r="D2714" s="1" t="n">
        <v>46278</v>
      </c>
      <c r="E2714" s="1" t="n">
        <v>46313</v>
      </c>
      <c r="F2714" t="inlineStr">
        <is>
          <t>SÖDERMANLANDS LÄN</t>
        </is>
      </c>
      <c r="G2714" t="inlineStr">
        <is>
          <t>STRÄNGNÄS</t>
        </is>
      </c>
      <c r="H2714" t="inlineStr">
        <is>
          <t>Allmännings- och besparingsskogar</t>
        </is>
      </c>
      <c r="I2714" t="n">
        <v>3.3</v>
      </c>
      <c r="J2714" t="n">
        <v>0</v>
      </c>
      <c r="K2714" t="n">
        <v>0</v>
      </c>
      <c r="L2714" t="n">
        <v>0</v>
      </c>
      <c r="M2714" t="n">
        <v>0</v>
      </c>
      <c r="N2714" t="n">
        <v>0</v>
      </c>
      <c r="O2714" t="n">
        <v>0</v>
      </c>
      <c r="P2714" t="n">
        <v>0</v>
      </c>
      <c r="Q2714" t="n">
        <v>0</v>
      </c>
      <c r="R2714" t="n">
        <v>0</v>
      </c>
      <c r="S2714" t="n">
        <v>0</v>
      </c>
      <c r="T2714" t="n">
        <v>0</v>
      </c>
      <c r="U2714" t="n">
        <v>0</v>
      </c>
      <c r="V2714" s="2" t="inlineStr"/>
    </row>
    <row r="2715" ht="15" customHeight="1">
      <c r="A2715" t="inlineStr">
        <is>
          <t>A 55172-2022</t>
        </is>
      </c>
      <c r="B2715" t="inlineStr">
        <is>
          <t>avverkningsanmälan</t>
        </is>
      </c>
      <c r="C2715" t="inlineStr">
        <is>
          <t>Föryngringsavverkning</t>
        </is>
      </c>
      <c r="D2715" s="1" t="n">
        <v>44886</v>
      </c>
      <c r="E2715" s="1" t="n">
        <v>46313</v>
      </c>
      <c r="F2715" t="inlineStr">
        <is>
          <t>SÖDERMANLANDS LÄN</t>
        </is>
      </c>
      <c r="G2715" t="inlineStr">
        <is>
          <t>KATRINEHOLM</t>
        </is>
      </c>
      <c r="I2715" t="n">
        <v>1.3</v>
      </c>
      <c r="J2715" t="n">
        <v>0</v>
      </c>
      <c r="K2715" t="n">
        <v>0</v>
      </c>
      <c r="L2715" t="n">
        <v>0</v>
      </c>
      <c r="M2715" t="n">
        <v>0</v>
      </c>
      <c r="N2715" t="n">
        <v>0</v>
      </c>
      <c r="O2715" t="n">
        <v>0</v>
      </c>
      <c r="P2715" t="n">
        <v>0</v>
      </c>
      <c r="Q2715" t="n">
        <v>0</v>
      </c>
      <c r="R2715" t="n">
        <v>0</v>
      </c>
      <c r="S2715" t="n">
        <v>0</v>
      </c>
      <c r="T2715" t="n">
        <v>0</v>
      </c>
      <c r="U2715" t="n">
        <v>0</v>
      </c>
      <c r="V2715" s="2" t="inlineStr"/>
    </row>
    <row r="2716" ht="15" customHeight="1">
      <c r="A2716" t="inlineStr">
        <is>
          <t>A 32120-2026</t>
        </is>
      </c>
      <c r="B2716" t="inlineStr">
        <is>
          <t>avverkningsanmälan</t>
        </is>
      </c>
      <c r="C2716" t="inlineStr">
        <is>
          <t>Föryngringsavverkning</t>
        </is>
      </c>
      <c r="D2716" s="1" t="n">
        <v>46234</v>
      </c>
      <c r="E2716" s="1" t="n">
        <v>46313</v>
      </c>
      <c r="F2716" t="inlineStr">
        <is>
          <t>SÖDERMANLANDS LÄN</t>
        </is>
      </c>
      <c r="G2716" t="inlineStr">
        <is>
          <t>NYKÖPING</t>
        </is>
      </c>
      <c r="H2716" t="inlineStr">
        <is>
          <t>Holmen skog AB</t>
        </is>
      </c>
      <c r="I2716" t="n">
        <v>2.9</v>
      </c>
      <c r="J2716" t="n">
        <v>0</v>
      </c>
      <c r="K2716" t="n">
        <v>0</v>
      </c>
      <c r="L2716" t="n">
        <v>0</v>
      </c>
      <c r="M2716" t="n">
        <v>0</v>
      </c>
      <c r="N2716" t="n">
        <v>0</v>
      </c>
      <c r="O2716" t="n">
        <v>0</v>
      </c>
      <c r="P2716" t="n">
        <v>0</v>
      </c>
      <c r="Q2716" t="n">
        <v>0</v>
      </c>
      <c r="R2716" t="n">
        <v>0</v>
      </c>
      <c r="S2716" t="n">
        <v>0</v>
      </c>
      <c r="T2716" t="n">
        <v>0</v>
      </c>
      <c r="U2716" t="n">
        <v>0</v>
      </c>
      <c r="V2716" s="2" t="inlineStr"/>
    </row>
    <row r="2717" ht="15" customHeight="1">
      <c r="A2717" t="inlineStr">
        <is>
          <t>A 50935-2023</t>
        </is>
      </c>
      <c r="B2717" t="inlineStr">
        <is>
          <t>avverkningsanmälan</t>
        </is>
      </c>
      <c r="C2717" t="inlineStr">
        <is>
          <t>Föryngringsavverkning</t>
        </is>
      </c>
      <c r="D2717" s="1" t="n">
        <v>45211</v>
      </c>
      <c r="E2717" s="1" t="n">
        <v>46313</v>
      </c>
      <c r="F2717" t="inlineStr">
        <is>
          <t>SÖDERMANLANDS LÄN</t>
        </is>
      </c>
      <c r="G2717" t="inlineStr">
        <is>
          <t>KATRINEHOLM</t>
        </is>
      </c>
      <c r="I2717" t="n">
        <v>0.7</v>
      </c>
      <c r="J2717" t="n">
        <v>0</v>
      </c>
      <c r="K2717" t="n">
        <v>0</v>
      </c>
      <c r="L2717" t="n">
        <v>0</v>
      </c>
      <c r="M2717" t="n">
        <v>0</v>
      </c>
      <c r="N2717" t="n">
        <v>0</v>
      </c>
      <c r="O2717" t="n">
        <v>0</v>
      </c>
      <c r="P2717" t="n">
        <v>0</v>
      </c>
      <c r="Q2717" t="n">
        <v>0</v>
      </c>
      <c r="R2717" t="n">
        <v>0</v>
      </c>
      <c r="S2717" t="n">
        <v>0</v>
      </c>
      <c r="T2717" t="n">
        <v>0</v>
      </c>
      <c r="U2717" t="n">
        <v>0</v>
      </c>
      <c r="V2717" s="2" t="inlineStr"/>
    </row>
    <row r="2718" ht="15" customHeight="1">
      <c r="A2718" t="inlineStr">
        <is>
          <t>A 24619-2024</t>
        </is>
      </c>
      <c r="B2718" t="inlineStr">
        <is>
          <t>avverkningsanmälan</t>
        </is>
      </c>
      <c r="C2718" t="inlineStr">
        <is>
          <t>Föryngringsavverkning</t>
        </is>
      </c>
      <c r="D2718" s="1" t="n">
        <v>45460</v>
      </c>
      <c r="E2718" s="1" t="n">
        <v>46313</v>
      </c>
      <c r="F2718" t="inlineStr">
        <is>
          <t>SÖDERMANLANDS LÄN</t>
        </is>
      </c>
      <c r="G2718" t="inlineStr">
        <is>
          <t>KATRINEHOLM</t>
        </is>
      </c>
      <c r="I2718" t="n">
        <v>4.7</v>
      </c>
      <c r="J2718" t="n">
        <v>0</v>
      </c>
      <c r="K2718" t="n">
        <v>0</v>
      </c>
      <c r="L2718" t="n">
        <v>0</v>
      </c>
      <c r="M2718" t="n">
        <v>0</v>
      </c>
      <c r="N2718" t="n">
        <v>0</v>
      </c>
      <c r="O2718" t="n">
        <v>0</v>
      </c>
      <c r="P2718" t="n">
        <v>0</v>
      </c>
      <c r="Q2718" t="n">
        <v>0</v>
      </c>
      <c r="R2718" t="n">
        <v>0</v>
      </c>
      <c r="S2718" t="n">
        <v>0</v>
      </c>
      <c r="T2718" t="n">
        <v>0</v>
      </c>
      <c r="U2718" t="n">
        <v>0</v>
      </c>
      <c r="V2718" s="2" t="inlineStr"/>
    </row>
    <row r="2719" ht="15" customHeight="1">
      <c r="A2719" t="inlineStr">
        <is>
          <t>A 5521-2023</t>
        </is>
      </c>
      <c r="B2719" t="inlineStr">
        <is>
          <t>avverkningsanmälan</t>
        </is>
      </c>
      <c r="C2719" t="inlineStr">
        <is>
          <t>Föryngringsavverkning</t>
        </is>
      </c>
      <c r="D2719" s="1" t="n">
        <v>44960</v>
      </c>
      <c r="E2719" s="1" t="n">
        <v>46313</v>
      </c>
      <c r="F2719" t="inlineStr">
        <is>
          <t>SÖDERMANLANDS LÄN</t>
        </is>
      </c>
      <c r="G2719" t="inlineStr">
        <is>
          <t>NYKÖPING</t>
        </is>
      </c>
      <c r="I2719" t="n">
        <v>2.2</v>
      </c>
      <c r="J2719" t="n">
        <v>0</v>
      </c>
      <c r="K2719" t="n">
        <v>0</v>
      </c>
      <c r="L2719" t="n">
        <v>0</v>
      </c>
      <c r="M2719" t="n">
        <v>0</v>
      </c>
      <c r="N2719" t="n">
        <v>0</v>
      </c>
      <c r="O2719" t="n">
        <v>0</v>
      </c>
      <c r="P2719" t="n">
        <v>0</v>
      </c>
      <c r="Q2719" t="n">
        <v>0</v>
      </c>
      <c r="R2719" t="n">
        <v>0</v>
      </c>
      <c r="S2719" t="n">
        <v>0</v>
      </c>
      <c r="T2719" t="n">
        <v>0</v>
      </c>
      <c r="U2719" t="n">
        <v>0</v>
      </c>
      <c r="V2719" s="2" t="inlineStr"/>
    </row>
    <row r="2720" ht="15" customHeight="1">
      <c r="A2720" t="inlineStr">
        <is>
          <t>A 21160-2024</t>
        </is>
      </c>
      <c r="B2720" t="inlineStr">
        <is>
          <t>avverkningsanmälan</t>
        </is>
      </c>
      <c r="C2720" t="inlineStr">
        <is>
          <t>Föryngringsavverkning</t>
        </is>
      </c>
      <c r="D2720" s="1" t="n">
        <v>45440</v>
      </c>
      <c r="E2720" s="1" t="n">
        <v>46313</v>
      </c>
      <c r="F2720" t="inlineStr">
        <is>
          <t>SÖDERMANLANDS LÄN</t>
        </is>
      </c>
      <c r="G2720" t="inlineStr">
        <is>
          <t>VINGÅKER</t>
        </is>
      </c>
      <c r="I2720" t="n">
        <v>1.4</v>
      </c>
      <c r="J2720" t="n">
        <v>0</v>
      </c>
      <c r="K2720" t="n">
        <v>0</v>
      </c>
      <c r="L2720" t="n">
        <v>0</v>
      </c>
      <c r="M2720" t="n">
        <v>0</v>
      </c>
      <c r="N2720" t="n">
        <v>0</v>
      </c>
      <c r="O2720" t="n">
        <v>0</v>
      </c>
      <c r="P2720" t="n">
        <v>0</v>
      </c>
      <c r="Q2720" t="n">
        <v>0</v>
      </c>
      <c r="R2720" t="n">
        <v>0</v>
      </c>
      <c r="S2720" t="n">
        <v>0</v>
      </c>
      <c r="T2720" t="n">
        <v>0</v>
      </c>
      <c r="U2720" t="n">
        <v>0</v>
      </c>
      <c r="V2720" s="2" t="inlineStr"/>
    </row>
    <row r="2721" ht="15" customHeight="1">
      <c r="A2721" t="inlineStr">
        <is>
          <t>A 13675-2025</t>
        </is>
      </c>
      <c r="B2721" t="inlineStr">
        <is>
          <t>avverkningsanmälan</t>
        </is>
      </c>
      <c r="C2721" t="inlineStr">
        <is>
          <t>Avverkning för annat ändamål</t>
        </is>
      </c>
      <c r="D2721" s="1" t="n">
        <v>45736</v>
      </c>
      <c r="E2721" s="1" t="n">
        <v>46313</v>
      </c>
      <c r="F2721" t="inlineStr">
        <is>
          <t>SÖDERMANLANDS LÄN</t>
        </is>
      </c>
      <c r="G2721" t="inlineStr">
        <is>
          <t>TROSA</t>
        </is>
      </c>
      <c r="I2721" t="n">
        <v>1.4</v>
      </c>
      <c r="J2721" t="n">
        <v>0</v>
      </c>
      <c r="K2721" t="n">
        <v>0</v>
      </c>
      <c r="L2721" t="n">
        <v>0</v>
      </c>
      <c r="M2721" t="n">
        <v>0</v>
      </c>
      <c r="N2721" t="n">
        <v>0</v>
      </c>
      <c r="O2721" t="n">
        <v>0</v>
      </c>
      <c r="P2721" t="n">
        <v>0</v>
      </c>
      <c r="Q2721" t="n">
        <v>0</v>
      </c>
      <c r="R2721" t="n">
        <v>0</v>
      </c>
      <c r="S2721" t="n">
        <v>0</v>
      </c>
      <c r="T2721" t="n">
        <v>0</v>
      </c>
      <c r="U2721" t="n">
        <v>0</v>
      </c>
      <c r="V2721" s="2" t="inlineStr"/>
    </row>
    <row r="2722" ht="15" customHeight="1">
      <c r="A2722" t="inlineStr">
        <is>
          <t>A 37882-2026</t>
        </is>
      </c>
      <c r="B2722" t="inlineStr">
        <is>
          <t>avverkningsanmälan</t>
        </is>
      </c>
      <c r="C2722" t="inlineStr">
        <is>
          <t>Föryngringsavverkning</t>
        </is>
      </c>
      <c r="D2722" s="1" t="n">
        <v>46279</v>
      </c>
      <c r="E2722" s="1" t="n">
        <v>46313</v>
      </c>
      <c r="F2722" t="inlineStr">
        <is>
          <t>SÖDERMANLANDS LÄN</t>
        </is>
      </c>
      <c r="G2722" t="inlineStr">
        <is>
          <t>ESKILSTUNA</t>
        </is>
      </c>
      <c r="H2722" t="inlineStr">
        <is>
          <t>Sveaskog</t>
        </is>
      </c>
      <c r="I2722" t="n">
        <v>7.3</v>
      </c>
      <c r="J2722" t="n">
        <v>0</v>
      </c>
      <c r="K2722" t="n">
        <v>0</v>
      </c>
      <c r="L2722" t="n">
        <v>0</v>
      </c>
      <c r="M2722" t="n">
        <v>0</v>
      </c>
      <c r="N2722" t="n">
        <v>0</v>
      </c>
      <c r="O2722" t="n">
        <v>0</v>
      </c>
      <c r="P2722" t="n">
        <v>0</v>
      </c>
      <c r="Q2722" t="n">
        <v>0</v>
      </c>
      <c r="R2722" t="n">
        <v>0</v>
      </c>
      <c r="S2722" t="n">
        <v>0</v>
      </c>
      <c r="T2722" t="n">
        <v>0</v>
      </c>
      <c r="U2722" t="n">
        <v>0</v>
      </c>
      <c r="V2722" s="2" t="inlineStr"/>
    </row>
    <row r="2723" ht="15" customHeight="1">
      <c r="A2723" t="inlineStr">
        <is>
          <t>A 10981-2024</t>
        </is>
      </c>
      <c r="B2723" t="inlineStr">
        <is>
          <t>avverkningsanmälan</t>
        </is>
      </c>
      <c r="C2723" t="inlineStr">
        <is>
          <t>Föryngringsavverkning</t>
        </is>
      </c>
      <c r="D2723" s="1" t="n">
        <v>45370</v>
      </c>
      <c r="E2723" s="1" t="n">
        <v>46313</v>
      </c>
      <c r="F2723" t="inlineStr">
        <is>
          <t>SÖDERMANLANDS LÄN</t>
        </is>
      </c>
      <c r="G2723" t="inlineStr">
        <is>
          <t>NYKÖPING</t>
        </is>
      </c>
      <c r="H2723" t="inlineStr">
        <is>
          <t>Kommuner</t>
        </is>
      </c>
      <c r="I2723" t="n">
        <v>2.6</v>
      </c>
      <c r="J2723" t="n">
        <v>0</v>
      </c>
      <c r="K2723" t="n">
        <v>0</v>
      </c>
      <c r="L2723" t="n">
        <v>0</v>
      </c>
      <c r="M2723" t="n">
        <v>0</v>
      </c>
      <c r="N2723" t="n">
        <v>0</v>
      </c>
      <c r="O2723" t="n">
        <v>0</v>
      </c>
      <c r="P2723" t="n">
        <v>0</v>
      </c>
      <c r="Q2723" t="n">
        <v>0</v>
      </c>
      <c r="R2723" t="n">
        <v>0</v>
      </c>
      <c r="S2723" t="n">
        <v>0</v>
      </c>
      <c r="T2723" t="n">
        <v>0</v>
      </c>
      <c r="U2723" t="n">
        <v>0</v>
      </c>
      <c r="V2723" s="2" t="inlineStr"/>
    </row>
    <row r="2724" ht="15" customHeight="1">
      <c r="A2724" t="inlineStr">
        <is>
          <t>A 73923-2021</t>
        </is>
      </c>
      <c r="B2724" t="inlineStr">
        <is>
          <t>avverkningsanmälan</t>
        </is>
      </c>
      <c r="C2724" t="inlineStr">
        <is>
          <t>Föryngringsavverkning</t>
        </is>
      </c>
      <c r="D2724" s="1" t="n">
        <v>44553</v>
      </c>
      <c r="E2724" s="1" t="n">
        <v>46313</v>
      </c>
      <c r="F2724" t="inlineStr">
        <is>
          <t>SÖDERMANLANDS LÄN</t>
        </is>
      </c>
      <c r="G2724" t="inlineStr">
        <is>
          <t>FLEN</t>
        </is>
      </c>
      <c r="I2724" t="n">
        <v>5.7</v>
      </c>
      <c r="J2724" t="n">
        <v>0</v>
      </c>
      <c r="K2724" t="n">
        <v>0</v>
      </c>
      <c r="L2724" t="n">
        <v>0</v>
      </c>
      <c r="M2724" t="n">
        <v>0</v>
      </c>
      <c r="N2724" t="n">
        <v>0</v>
      </c>
      <c r="O2724" t="n">
        <v>0</v>
      </c>
      <c r="P2724" t="n">
        <v>0</v>
      </c>
      <c r="Q2724" t="n">
        <v>0</v>
      </c>
      <c r="R2724" t="n">
        <v>0</v>
      </c>
      <c r="S2724" t="n">
        <v>0</v>
      </c>
      <c r="T2724" t="n">
        <v>0</v>
      </c>
      <c r="U2724" t="n">
        <v>0</v>
      </c>
      <c r="V2724" s="2" t="inlineStr"/>
    </row>
    <row r="2725" ht="15" customHeight="1">
      <c r="A2725" t="inlineStr">
        <is>
          <t>A 53843-2023</t>
        </is>
      </c>
      <c r="B2725" t="inlineStr">
        <is>
          <t>avverkningsanmälan</t>
        </is>
      </c>
      <c r="C2725" t="inlineStr">
        <is>
          <t>Föryngringsavverkning</t>
        </is>
      </c>
      <c r="D2725" s="1" t="n">
        <v>45230</v>
      </c>
      <c r="E2725" s="1" t="n">
        <v>46313</v>
      </c>
      <c r="F2725" t="inlineStr">
        <is>
          <t>SÖDERMANLANDS LÄN</t>
        </is>
      </c>
      <c r="G2725" t="inlineStr">
        <is>
          <t>KATRINEHOLM</t>
        </is>
      </c>
      <c r="I2725" t="n">
        <v>14.2</v>
      </c>
      <c r="J2725" t="n">
        <v>0</v>
      </c>
      <c r="K2725" t="n">
        <v>0</v>
      </c>
      <c r="L2725" t="n">
        <v>0</v>
      </c>
      <c r="M2725" t="n">
        <v>0</v>
      </c>
      <c r="N2725" t="n">
        <v>0</v>
      </c>
      <c r="O2725" t="n">
        <v>0</v>
      </c>
      <c r="P2725" t="n">
        <v>0</v>
      </c>
      <c r="Q2725" t="n">
        <v>0</v>
      </c>
      <c r="R2725" t="n">
        <v>0</v>
      </c>
      <c r="S2725" t="n">
        <v>0</v>
      </c>
      <c r="T2725" t="n">
        <v>0</v>
      </c>
      <c r="U2725" t="n">
        <v>0</v>
      </c>
      <c r="V2725" s="2" t="inlineStr"/>
    </row>
    <row r="2726" ht="15" customHeight="1">
      <c r="A2726" t="inlineStr">
        <is>
          <t>A 30198-2022</t>
        </is>
      </c>
      <c r="B2726" t="inlineStr">
        <is>
          <t>avverkningsanmälan</t>
        </is>
      </c>
      <c r="C2726" t="inlineStr">
        <is>
          <t>Föryngringsavverkning</t>
        </is>
      </c>
      <c r="D2726" s="1" t="n">
        <v>44757</v>
      </c>
      <c r="E2726" s="1" t="n">
        <v>46313</v>
      </c>
      <c r="F2726" t="inlineStr">
        <is>
          <t>SÖDERMANLANDS LÄN</t>
        </is>
      </c>
      <c r="G2726" t="inlineStr">
        <is>
          <t>NYKÖPING</t>
        </is>
      </c>
      <c r="H2726" t="inlineStr">
        <is>
          <t>Holmen skog AB</t>
        </is>
      </c>
      <c r="I2726" t="n">
        <v>0.9</v>
      </c>
      <c r="J2726" t="n">
        <v>0</v>
      </c>
      <c r="K2726" t="n">
        <v>0</v>
      </c>
      <c r="L2726" t="n">
        <v>0</v>
      </c>
      <c r="M2726" t="n">
        <v>0</v>
      </c>
      <c r="N2726" t="n">
        <v>0</v>
      </c>
      <c r="O2726" t="n">
        <v>0</v>
      </c>
      <c r="P2726" t="n">
        <v>0</v>
      </c>
      <c r="Q2726" t="n">
        <v>0</v>
      </c>
      <c r="R2726" t="n">
        <v>0</v>
      </c>
      <c r="S2726" t="n">
        <v>0</v>
      </c>
      <c r="T2726" t="n">
        <v>0</v>
      </c>
      <c r="U2726" t="n">
        <v>0</v>
      </c>
      <c r="V2726" s="2" t="inlineStr"/>
    </row>
    <row r="2727" ht="15" customHeight="1">
      <c r="A2727" t="inlineStr">
        <is>
          <t>A 22295-2024</t>
        </is>
      </c>
      <c r="B2727" t="inlineStr">
        <is>
          <t>avverkningsanmälan</t>
        </is>
      </c>
      <c r="C2727" t="inlineStr">
        <is>
          <t>Föryngringsavverkning</t>
        </is>
      </c>
      <c r="D2727" s="1" t="n">
        <v>45446</v>
      </c>
      <c r="E2727" s="1" t="n">
        <v>46313</v>
      </c>
      <c r="F2727" t="inlineStr">
        <is>
          <t>SÖDERMANLANDS LÄN</t>
        </is>
      </c>
      <c r="G2727" t="inlineStr">
        <is>
          <t>KATRINEHOLM</t>
        </is>
      </c>
      <c r="H2727" t="inlineStr">
        <is>
          <t>Kommuner</t>
        </is>
      </c>
      <c r="I2727" t="n">
        <v>1.2</v>
      </c>
      <c r="J2727" t="n">
        <v>0</v>
      </c>
      <c r="K2727" t="n">
        <v>0</v>
      </c>
      <c r="L2727" t="n">
        <v>0</v>
      </c>
      <c r="M2727" t="n">
        <v>0</v>
      </c>
      <c r="N2727" t="n">
        <v>0</v>
      </c>
      <c r="O2727" t="n">
        <v>0</v>
      </c>
      <c r="P2727" t="n">
        <v>0</v>
      </c>
      <c r="Q2727" t="n">
        <v>0</v>
      </c>
      <c r="R2727" t="n">
        <v>0</v>
      </c>
      <c r="S2727" t="n">
        <v>0</v>
      </c>
      <c r="T2727" t="n">
        <v>0</v>
      </c>
      <c r="U2727" t="n">
        <v>0</v>
      </c>
      <c r="V2727" s="2" t="inlineStr"/>
    </row>
    <row r="2728" ht="15" customHeight="1">
      <c r="A2728" t="inlineStr">
        <is>
          <t>A 7381-2024</t>
        </is>
      </c>
      <c r="B2728" t="inlineStr">
        <is>
          <t>avverkningsanmälan</t>
        </is>
      </c>
      <c r="C2728" t="inlineStr">
        <is>
          <t>Föryngringsavverkning</t>
        </is>
      </c>
      <c r="D2728" s="1" t="n">
        <v>45345</v>
      </c>
      <c r="E2728" s="1" t="n">
        <v>46313</v>
      </c>
      <c r="F2728" t="inlineStr">
        <is>
          <t>SÖDERMANLANDS LÄN</t>
        </is>
      </c>
      <c r="G2728" t="inlineStr">
        <is>
          <t>FLEN</t>
        </is>
      </c>
      <c r="I2728" t="n">
        <v>0.9</v>
      </c>
      <c r="J2728" t="n">
        <v>0</v>
      </c>
      <c r="K2728" t="n">
        <v>0</v>
      </c>
      <c r="L2728" t="n">
        <v>0</v>
      </c>
      <c r="M2728" t="n">
        <v>0</v>
      </c>
      <c r="N2728" t="n">
        <v>0</v>
      </c>
      <c r="O2728" t="n">
        <v>0</v>
      </c>
      <c r="P2728" t="n">
        <v>0</v>
      </c>
      <c r="Q2728" t="n">
        <v>0</v>
      </c>
      <c r="R2728" t="n">
        <v>0</v>
      </c>
      <c r="S2728" t="n">
        <v>0</v>
      </c>
      <c r="T2728" t="n">
        <v>0</v>
      </c>
      <c r="U2728" t="n">
        <v>0</v>
      </c>
      <c r="V2728" s="2" t="inlineStr"/>
    </row>
    <row r="2729" ht="15" customHeight="1">
      <c r="A2729" t="inlineStr">
        <is>
          <t>A 42525-2023</t>
        </is>
      </c>
      <c r="B2729" t="inlineStr">
        <is>
          <t>avverkningsanmälan</t>
        </is>
      </c>
      <c r="C2729" t="inlineStr">
        <is>
          <t>Föryngringsavverkning</t>
        </is>
      </c>
      <c r="D2729" s="1" t="n">
        <v>45181</v>
      </c>
      <c r="E2729" s="1" t="n">
        <v>46313</v>
      </c>
      <c r="F2729" t="inlineStr">
        <is>
          <t>SÖDERMANLANDS LÄN</t>
        </is>
      </c>
      <c r="G2729" t="inlineStr">
        <is>
          <t>NYKÖPING</t>
        </is>
      </c>
      <c r="I2729" t="n">
        <v>3.1</v>
      </c>
      <c r="J2729" t="n">
        <v>0</v>
      </c>
      <c r="K2729" t="n">
        <v>0</v>
      </c>
      <c r="L2729" t="n">
        <v>0</v>
      </c>
      <c r="M2729" t="n">
        <v>0</v>
      </c>
      <c r="N2729" t="n">
        <v>0</v>
      </c>
      <c r="O2729" t="n">
        <v>0</v>
      </c>
      <c r="P2729" t="n">
        <v>0</v>
      </c>
      <c r="Q2729" t="n">
        <v>0</v>
      </c>
      <c r="R2729" t="n">
        <v>0</v>
      </c>
      <c r="S2729" t="n">
        <v>0</v>
      </c>
      <c r="T2729" t="n">
        <v>0</v>
      </c>
      <c r="U2729" t="n">
        <v>0</v>
      </c>
      <c r="V2729" s="2" t="inlineStr"/>
    </row>
    <row r="2730" ht="15" customHeight="1">
      <c r="A2730" t="inlineStr">
        <is>
          <t>A 42564-2023</t>
        </is>
      </c>
      <c r="B2730" t="inlineStr">
        <is>
          <t>avverkningsanmälan</t>
        </is>
      </c>
      <c r="C2730" t="inlineStr">
        <is>
          <t>Föryngringsavverkning</t>
        </is>
      </c>
      <c r="D2730" s="1" t="n">
        <v>45181</v>
      </c>
      <c r="E2730" s="1" t="n">
        <v>46313</v>
      </c>
      <c r="F2730" t="inlineStr">
        <is>
          <t>SÖDERMANLANDS LÄN</t>
        </is>
      </c>
      <c r="G2730" t="inlineStr">
        <is>
          <t>VINGÅKER</t>
        </is>
      </c>
      <c r="I2730" t="n">
        <v>5.8</v>
      </c>
      <c r="J2730" t="n">
        <v>0</v>
      </c>
      <c r="K2730" t="n">
        <v>0</v>
      </c>
      <c r="L2730" t="n">
        <v>0</v>
      </c>
      <c r="M2730" t="n">
        <v>0</v>
      </c>
      <c r="N2730" t="n">
        <v>0</v>
      </c>
      <c r="O2730" t="n">
        <v>0</v>
      </c>
      <c r="P2730" t="n">
        <v>0</v>
      </c>
      <c r="Q2730" t="n">
        <v>0</v>
      </c>
      <c r="R2730" t="n">
        <v>0</v>
      </c>
      <c r="S2730" t="n">
        <v>0</v>
      </c>
      <c r="T2730" t="n">
        <v>0</v>
      </c>
      <c r="U2730" t="n">
        <v>0</v>
      </c>
      <c r="V2730" s="2" t="inlineStr"/>
    </row>
    <row r="2731" ht="15" customHeight="1">
      <c r="A2731" t="inlineStr">
        <is>
          <t>A 32177-2026</t>
        </is>
      </c>
      <c r="B2731" t="inlineStr">
        <is>
          <t>avverkningsanmälan</t>
        </is>
      </c>
      <c r="C2731" t="inlineStr">
        <is>
          <t>Föryngringsavverkning</t>
        </is>
      </c>
      <c r="D2731" s="1" t="n">
        <v>46237</v>
      </c>
      <c r="E2731" s="1" t="n">
        <v>46313</v>
      </c>
      <c r="F2731" t="inlineStr">
        <is>
          <t>SÖDERMANLANDS LÄN</t>
        </is>
      </c>
      <c r="G2731" t="inlineStr">
        <is>
          <t>ESKILSTUNA</t>
        </is>
      </c>
      <c r="H2731" t="inlineStr">
        <is>
          <t>Sveaskog</t>
        </is>
      </c>
      <c r="I2731" t="n">
        <v>5.2</v>
      </c>
      <c r="J2731" t="n">
        <v>0</v>
      </c>
      <c r="K2731" t="n">
        <v>0</v>
      </c>
      <c r="L2731" t="n">
        <v>0</v>
      </c>
      <c r="M2731" t="n">
        <v>0</v>
      </c>
      <c r="N2731" t="n">
        <v>0</v>
      </c>
      <c r="O2731" t="n">
        <v>0</v>
      </c>
      <c r="P2731" t="n">
        <v>0</v>
      </c>
      <c r="Q2731" t="n">
        <v>0</v>
      </c>
      <c r="R2731" t="n">
        <v>0</v>
      </c>
      <c r="S2731" t="n">
        <v>0</v>
      </c>
      <c r="T2731" t="n">
        <v>0</v>
      </c>
      <c r="U2731" t="n">
        <v>0</v>
      </c>
      <c r="V2731" s="2" t="inlineStr"/>
    </row>
    <row r="2732" ht="15" customHeight="1">
      <c r="A2732" t="inlineStr">
        <is>
          <t>A 22272-2022</t>
        </is>
      </c>
      <c r="B2732" t="inlineStr">
        <is>
          <t>avverkningsanmälan</t>
        </is>
      </c>
      <c r="C2732" t="inlineStr">
        <is>
          <t>Föryngringsavverkning</t>
        </is>
      </c>
      <c r="D2732" s="1" t="n">
        <v>44712</v>
      </c>
      <c r="E2732" s="1" t="n">
        <v>46313</v>
      </c>
      <c r="F2732" t="inlineStr">
        <is>
          <t>SÖDERMANLANDS LÄN</t>
        </is>
      </c>
      <c r="G2732" t="inlineStr">
        <is>
          <t>KATRINEHOLM</t>
        </is>
      </c>
      <c r="I2732" t="n">
        <v>0.7</v>
      </c>
      <c r="J2732" t="n">
        <v>0</v>
      </c>
      <c r="K2732" t="n">
        <v>0</v>
      </c>
      <c r="L2732" t="n">
        <v>0</v>
      </c>
      <c r="M2732" t="n">
        <v>0</v>
      </c>
      <c r="N2732" t="n">
        <v>0</v>
      </c>
      <c r="O2732" t="n">
        <v>0</v>
      </c>
      <c r="P2732" t="n">
        <v>0</v>
      </c>
      <c r="Q2732" t="n">
        <v>0</v>
      </c>
      <c r="R2732" t="n">
        <v>0</v>
      </c>
      <c r="S2732" t="n">
        <v>0</v>
      </c>
      <c r="T2732" t="n">
        <v>0</v>
      </c>
      <c r="U2732" t="n">
        <v>0</v>
      </c>
      <c r="V2732" s="2" t="inlineStr"/>
    </row>
    <row r="2733" ht="15" customHeight="1">
      <c r="A2733" t="inlineStr">
        <is>
          <t>A 53715-2023</t>
        </is>
      </c>
      <c r="B2733" t="inlineStr">
        <is>
          <t>avverkningsanmälan</t>
        </is>
      </c>
      <c r="C2733" t="inlineStr">
        <is>
          <t>Föryngringsavverkning</t>
        </is>
      </c>
      <c r="D2733" s="1" t="n">
        <v>45230</v>
      </c>
      <c r="E2733" s="1" t="n">
        <v>46313</v>
      </c>
      <c r="F2733" t="inlineStr">
        <is>
          <t>SÖDERMANLANDS LÄN</t>
        </is>
      </c>
      <c r="G2733" t="inlineStr">
        <is>
          <t>KATRINEHOLM</t>
        </is>
      </c>
      <c r="H2733" t="inlineStr">
        <is>
          <t>Allmännings- och besparingsskogar</t>
        </is>
      </c>
      <c r="I2733" t="n">
        <v>5.6</v>
      </c>
      <c r="J2733" t="n">
        <v>0</v>
      </c>
      <c r="K2733" t="n">
        <v>0</v>
      </c>
      <c r="L2733" t="n">
        <v>0</v>
      </c>
      <c r="M2733" t="n">
        <v>0</v>
      </c>
      <c r="N2733" t="n">
        <v>0</v>
      </c>
      <c r="O2733" t="n">
        <v>0</v>
      </c>
      <c r="P2733" t="n">
        <v>0</v>
      </c>
      <c r="Q2733" t="n">
        <v>0</v>
      </c>
      <c r="R2733" t="n">
        <v>0</v>
      </c>
      <c r="S2733" t="n">
        <v>0</v>
      </c>
      <c r="T2733" t="n">
        <v>0</v>
      </c>
      <c r="U2733" t="n">
        <v>0</v>
      </c>
      <c r="V2733" s="2" t="inlineStr"/>
    </row>
    <row r="2734" ht="15" customHeight="1">
      <c r="A2734" t="inlineStr">
        <is>
          <t>A 4877-2024</t>
        </is>
      </c>
      <c r="B2734" t="inlineStr">
        <is>
          <t>avverkningsanmälan</t>
        </is>
      </c>
      <c r="C2734" t="inlineStr">
        <is>
          <t>Föryngringsavverkning</t>
        </is>
      </c>
      <c r="D2734" s="1" t="n">
        <v>45329</v>
      </c>
      <c r="E2734" s="1" t="n">
        <v>46313</v>
      </c>
      <c r="F2734" t="inlineStr">
        <is>
          <t>SÖDERMANLANDS LÄN</t>
        </is>
      </c>
      <c r="G2734" t="inlineStr">
        <is>
          <t>NYKÖPING</t>
        </is>
      </c>
      <c r="I2734" t="n">
        <v>4.2</v>
      </c>
      <c r="J2734" t="n">
        <v>0</v>
      </c>
      <c r="K2734" t="n">
        <v>0</v>
      </c>
      <c r="L2734" t="n">
        <v>0</v>
      </c>
      <c r="M2734" t="n">
        <v>0</v>
      </c>
      <c r="N2734" t="n">
        <v>0</v>
      </c>
      <c r="O2734" t="n">
        <v>0</v>
      </c>
      <c r="P2734" t="n">
        <v>0</v>
      </c>
      <c r="Q2734" t="n">
        <v>0</v>
      </c>
      <c r="R2734" t="n">
        <v>0</v>
      </c>
      <c r="S2734" t="n">
        <v>0</v>
      </c>
      <c r="T2734" t="n">
        <v>0</v>
      </c>
      <c r="U2734" t="n">
        <v>0</v>
      </c>
      <c r="V2734" s="2" t="inlineStr"/>
    </row>
    <row r="2735" ht="15" customHeight="1">
      <c r="A2735" t="inlineStr">
        <is>
          <t>A 58175-2024</t>
        </is>
      </c>
      <c r="B2735" t="inlineStr">
        <is>
          <t>avverkningsanmälan</t>
        </is>
      </c>
      <c r="C2735" t="inlineStr">
        <is>
          <t>Avverkning för att bevara och utveckla /försöksver</t>
        </is>
      </c>
      <c r="D2735" s="1" t="n">
        <v>45632</v>
      </c>
      <c r="E2735" s="1" t="n">
        <v>46313</v>
      </c>
      <c r="F2735" t="inlineStr">
        <is>
          <t>SÖDERMANLANDS LÄN</t>
        </is>
      </c>
      <c r="G2735" t="inlineStr">
        <is>
          <t>KATRINEHOLM</t>
        </is>
      </c>
      <c r="I2735" t="n">
        <v>1.3</v>
      </c>
      <c r="J2735" t="n">
        <v>0</v>
      </c>
      <c r="K2735" t="n">
        <v>0</v>
      </c>
      <c r="L2735" t="n">
        <v>0</v>
      </c>
      <c r="M2735" t="n">
        <v>0</v>
      </c>
      <c r="N2735" t="n">
        <v>0</v>
      </c>
      <c r="O2735" t="n">
        <v>0</v>
      </c>
      <c r="P2735" t="n">
        <v>0</v>
      </c>
      <c r="Q2735" t="n">
        <v>0</v>
      </c>
      <c r="R2735" t="n">
        <v>0</v>
      </c>
      <c r="S2735" t="n">
        <v>0</v>
      </c>
      <c r="T2735" t="n">
        <v>0</v>
      </c>
      <c r="U2735" t="n">
        <v>0</v>
      </c>
      <c r="V2735" s="2" t="inlineStr"/>
    </row>
    <row r="2736" ht="15" customHeight="1">
      <c r="A2736" t="inlineStr">
        <is>
          <t>A 32373-2026</t>
        </is>
      </c>
      <c r="B2736" t="inlineStr">
        <is>
          <t>avverkningsanmälan</t>
        </is>
      </c>
      <c r="C2736" t="inlineStr">
        <is>
          <t>Föryngringsavverkning</t>
        </is>
      </c>
      <c r="D2736" s="1" t="n">
        <v>46238</v>
      </c>
      <c r="E2736" s="1" t="n">
        <v>46313</v>
      </c>
      <c r="F2736" t="inlineStr">
        <is>
          <t>SÖDERMANLANDS LÄN</t>
        </is>
      </c>
      <c r="G2736" t="inlineStr">
        <is>
          <t>ESKILSTUNA</t>
        </is>
      </c>
      <c r="I2736" t="n">
        <v>2.9</v>
      </c>
      <c r="J2736" t="n">
        <v>0</v>
      </c>
      <c r="K2736" t="n">
        <v>0</v>
      </c>
      <c r="L2736" t="n">
        <v>0</v>
      </c>
      <c r="M2736" t="n">
        <v>0</v>
      </c>
      <c r="N2736" t="n">
        <v>0</v>
      </c>
      <c r="O2736" t="n">
        <v>0</v>
      </c>
      <c r="P2736" t="n">
        <v>0</v>
      </c>
      <c r="Q2736" t="n">
        <v>0</v>
      </c>
      <c r="R2736" t="n">
        <v>0</v>
      </c>
      <c r="S2736" t="n">
        <v>0</v>
      </c>
      <c r="T2736" t="n">
        <v>0</v>
      </c>
      <c r="U2736" t="n">
        <v>0</v>
      </c>
      <c r="V2736" s="2" t="inlineStr"/>
    </row>
    <row r="2737" ht="15" customHeight="1">
      <c r="A2737" t="inlineStr">
        <is>
          <t>A 59474-2021</t>
        </is>
      </c>
      <c r="B2737" t="inlineStr">
        <is>
          <t>avverkningsanmälan</t>
        </is>
      </c>
      <c r="C2737" t="inlineStr">
        <is>
          <t>Föryngringsavverkning</t>
        </is>
      </c>
      <c r="D2737" s="1" t="n">
        <v>44491</v>
      </c>
      <c r="E2737" s="1" t="n">
        <v>46313</v>
      </c>
      <c r="F2737" t="inlineStr">
        <is>
          <t>SÖDERMANLANDS LÄN</t>
        </is>
      </c>
      <c r="G2737" t="inlineStr">
        <is>
          <t>KATRINEHOLM</t>
        </is>
      </c>
      <c r="I2737" t="n">
        <v>2.7</v>
      </c>
      <c r="J2737" t="n">
        <v>0</v>
      </c>
      <c r="K2737" t="n">
        <v>0</v>
      </c>
      <c r="L2737" t="n">
        <v>0</v>
      </c>
      <c r="M2737" t="n">
        <v>0</v>
      </c>
      <c r="N2737" t="n">
        <v>0</v>
      </c>
      <c r="O2737" t="n">
        <v>0</v>
      </c>
      <c r="P2737" t="n">
        <v>0</v>
      </c>
      <c r="Q2737" t="n">
        <v>0</v>
      </c>
      <c r="R2737" t="n">
        <v>0</v>
      </c>
      <c r="S2737" t="n">
        <v>0</v>
      </c>
      <c r="T2737" t="n">
        <v>0</v>
      </c>
      <c r="U2737" t="n">
        <v>0</v>
      </c>
      <c r="V2737" s="2" t="inlineStr"/>
    </row>
    <row r="2738" ht="15" customHeight="1">
      <c r="A2738" t="inlineStr">
        <is>
          <t>A 52551-2023</t>
        </is>
      </c>
      <c r="B2738" t="inlineStr">
        <is>
          <t>avverkningsanmälan</t>
        </is>
      </c>
      <c r="C2738" t="inlineStr">
        <is>
          <t>Föryngringsavverkning</t>
        </is>
      </c>
      <c r="D2738" s="1" t="n">
        <v>45218</v>
      </c>
      <c r="E2738" s="1" t="n">
        <v>46313</v>
      </c>
      <c r="F2738" t="inlineStr">
        <is>
          <t>SÖDERMANLANDS LÄN</t>
        </is>
      </c>
      <c r="G2738" t="inlineStr">
        <is>
          <t>NYKÖPING</t>
        </is>
      </c>
      <c r="I2738" t="n">
        <v>3.6</v>
      </c>
      <c r="J2738" t="n">
        <v>0</v>
      </c>
      <c r="K2738" t="n">
        <v>0</v>
      </c>
      <c r="L2738" t="n">
        <v>0</v>
      </c>
      <c r="M2738" t="n">
        <v>0</v>
      </c>
      <c r="N2738" t="n">
        <v>0</v>
      </c>
      <c r="O2738" t="n">
        <v>0</v>
      </c>
      <c r="P2738" t="n">
        <v>0</v>
      </c>
      <c r="Q2738" t="n">
        <v>0</v>
      </c>
      <c r="R2738" t="n">
        <v>0</v>
      </c>
      <c r="S2738" t="n">
        <v>0</v>
      </c>
      <c r="T2738" t="n">
        <v>0</v>
      </c>
      <c r="U2738" t="n">
        <v>0</v>
      </c>
      <c r="V2738" s="2" t="inlineStr"/>
    </row>
    <row r="2739" ht="15" customHeight="1">
      <c r="A2739" t="inlineStr">
        <is>
          <t>A 51923-2023</t>
        </is>
      </c>
      <c r="B2739" t="inlineStr">
        <is>
          <t>avverkningsanmälan</t>
        </is>
      </c>
      <c r="C2739" t="inlineStr">
        <is>
          <t>Föryngringsavverkning</t>
        </is>
      </c>
      <c r="D2739" s="1" t="n">
        <v>45223</v>
      </c>
      <c r="E2739" s="1" t="n">
        <v>46313</v>
      </c>
      <c r="F2739" t="inlineStr">
        <is>
          <t>SÖDERMANLANDS LÄN</t>
        </is>
      </c>
      <c r="G2739" t="inlineStr">
        <is>
          <t>KATRINEHOLM</t>
        </is>
      </c>
      <c r="I2739" t="n">
        <v>0.6</v>
      </c>
      <c r="J2739" t="n">
        <v>0</v>
      </c>
      <c r="K2739" t="n">
        <v>0</v>
      </c>
      <c r="L2739" t="n">
        <v>0</v>
      </c>
      <c r="M2739" t="n">
        <v>0</v>
      </c>
      <c r="N2739" t="n">
        <v>0</v>
      </c>
      <c r="O2739" t="n">
        <v>0</v>
      </c>
      <c r="P2739" t="n">
        <v>0</v>
      </c>
      <c r="Q2739" t="n">
        <v>0</v>
      </c>
      <c r="R2739" t="n">
        <v>0</v>
      </c>
      <c r="S2739" t="n">
        <v>0</v>
      </c>
      <c r="T2739" t="n">
        <v>0</v>
      </c>
      <c r="U2739" t="n">
        <v>0</v>
      </c>
      <c r="V2739" s="2" t="inlineStr"/>
    </row>
    <row r="2740" ht="15" customHeight="1">
      <c r="A2740" t="inlineStr">
        <is>
          <t>A 32365-2026</t>
        </is>
      </c>
      <c r="B2740" t="inlineStr">
        <is>
          <t>avverkningsanmälan</t>
        </is>
      </c>
      <c r="C2740" t="inlineStr">
        <is>
          <t>Föryngringsavverkning</t>
        </is>
      </c>
      <c r="D2740" s="1" t="n">
        <v>46238</v>
      </c>
      <c r="E2740" s="1" t="n">
        <v>46313</v>
      </c>
      <c r="F2740" t="inlineStr">
        <is>
          <t>SÖDERMANLANDS LÄN</t>
        </is>
      </c>
      <c r="G2740" t="inlineStr">
        <is>
          <t>ESKILSTUNA</t>
        </is>
      </c>
      <c r="H2740" t="inlineStr">
        <is>
          <t>Sveaskog</t>
        </is>
      </c>
      <c r="I2740" t="n">
        <v>0.6</v>
      </c>
      <c r="J2740" t="n">
        <v>0</v>
      </c>
      <c r="K2740" t="n">
        <v>0</v>
      </c>
      <c r="L2740" t="n">
        <v>0</v>
      </c>
      <c r="M2740" t="n">
        <v>0</v>
      </c>
      <c r="N2740" t="n">
        <v>0</v>
      </c>
      <c r="O2740" t="n">
        <v>0</v>
      </c>
      <c r="P2740" t="n">
        <v>0</v>
      </c>
      <c r="Q2740" t="n">
        <v>0</v>
      </c>
      <c r="R2740" t="n">
        <v>0</v>
      </c>
      <c r="S2740" t="n">
        <v>0</v>
      </c>
      <c r="T2740" t="n">
        <v>0</v>
      </c>
      <c r="U2740" t="n">
        <v>0</v>
      </c>
      <c r="V2740" s="2" t="inlineStr"/>
    </row>
    <row r="2741" ht="15" customHeight="1">
      <c r="A2741" t="inlineStr">
        <is>
          <t>A 27255-2022</t>
        </is>
      </c>
      <c r="B2741" t="inlineStr">
        <is>
          <t>avverkningsanmälan</t>
        </is>
      </c>
      <c r="C2741" t="inlineStr">
        <is>
          <t>Föryngringsavverkning</t>
        </is>
      </c>
      <c r="D2741" s="1" t="n">
        <v>44741</v>
      </c>
      <c r="E2741" s="1" t="n">
        <v>46313</v>
      </c>
      <c r="F2741" t="inlineStr">
        <is>
          <t>SÖDERMANLANDS LÄN</t>
        </is>
      </c>
      <c r="G2741" t="inlineStr">
        <is>
          <t>ESKILSTUNA</t>
        </is>
      </c>
      <c r="I2741" t="n">
        <v>3.4</v>
      </c>
      <c r="J2741" t="n">
        <v>0</v>
      </c>
      <c r="K2741" t="n">
        <v>0</v>
      </c>
      <c r="L2741" t="n">
        <v>0</v>
      </c>
      <c r="M2741" t="n">
        <v>0</v>
      </c>
      <c r="N2741" t="n">
        <v>0</v>
      </c>
      <c r="O2741" t="n">
        <v>0</v>
      </c>
      <c r="P2741" t="n">
        <v>0</v>
      </c>
      <c r="Q2741" t="n">
        <v>0</v>
      </c>
      <c r="R2741" t="n">
        <v>0</v>
      </c>
      <c r="S2741" t="n">
        <v>0</v>
      </c>
      <c r="T2741" t="n">
        <v>0</v>
      </c>
      <c r="U2741" t="n">
        <v>0</v>
      </c>
      <c r="V2741" s="2" t="inlineStr"/>
    </row>
    <row r="2742" ht="15" customHeight="1">
      <c r="A2742" t="inlineStr">
        <is>
          <t>A 62268-2023</t>
        </is>
      </c>
      <c r="B2742" t="inlineStr">
        <is>
          <t>avverkningsanmälan</t>
        </is>
      </c>
      <c r="C2742" t="inlineStr">
        <is>
          <t>Föryngringsavverkning</t>
        </is>
      </c>
      <c r="D2742" s="1" t="n">
        <v>45267</v>
      </c>
      <c r="E2742" s="1" t="n">
        <v>46313</v>
      </c>
      <c r="F2742" t="inlineStr">
        <is>
          <t>SÖDERMANLANDS LÄN</t>
        </is>
      </c>
      <c r="G2742" t="inlineStr">
        <is>
          <t>ESKILSTUNA</t>
        </is>
      </c>
      <c r="I2742" t="n">
        <v>0.7</v>
      </c>
      <c r="J2742" t="n">
        <v>0</v>
      </c>
      <c r="K2742" t="n">
        <v>0</v>
      </c>
      <c r="L2742" t="n">
        <v>0</v>
      </c>
      <c r="M2742" t="n">
        <v>0</v>
      </c>
      <c r="N2742" t="n">
        <v>0</v>
      </c>
      <c r="O2742" t="n">
        <v>0</v>
      </c>
      <c r="P2742" t="n">
        <v>0</v>
      </c>
      <c r="Q2742" t="n">
        <v>0</v>
      </c>
      <c r="R2742" t="n">
        <v>0</v>
      </c>
      <c r="S2742" t="n">
        <v>0</v>
      </c>
      <c r="T2742" t="n">
        <v>0</v>
      </c>
      <c r="U2742" t="n">
        <v>0</v>
      </c>
      <c r="V2742" s="2" t="inlineStr"/>
    </row>
    <row r="2743" ht="15" customHeight="1">
      <c r="A2743" t="inlineStr">
        <is>
          <t>A 62278-2023</t>
        </is>
      </c>
      <c r="B2743" t="inlineStr">
        <is>
          <t>avverkningsanmälan</t>
        </is>
      </c>
      <c r="C2743" t="inlineStr">
        <is>
          <t>Föryngringsavverkning</t>
        </is>
      </c>
      <c r="D2743" s="1" t="n">
        <v>45267</v>
      </c>
      <c r="E2743" s="1" t="n">
        <v>46313</v>
      </c>
      <c r="F2743" t="inlineStr">
        <is>
          <t>SÖDERMANLANDS LÄN</t>
        </is>
      </c>
      <c r="G2743" t="inlineStr">
        <is>
          <t>ESKILSTUNA</t>
        </is>
      </c>
      <c r="I2743" t="n">
        <v>3</v>
      </c>
      <c r="J2743" t="n">
        <v>0</v>
      </c>
      <c r="K2743" t="n">
        <v>0</v>
      </c>
      <c r="L2743" t="n">
        <v>0</v>
      </c>
      <c r="M2743" t="n">
        <v>0</v>
      </c>
      <c r="N2743" t="n">
        <v>0</v>
      </c>
      <c r="O2743" t="n">
        <v>0</v>
      </c>
      <c r="P2743" t="n">
        <v>0</v>
      </c>
      <c r="Q2743" t="n">
        <v>0</v>
      </c>
      <c r="R2743" t="n">
        <v>0</v>
      </c>
      <c r="S2743" t="n">
        <v>0</v>
      </c>
      <c r="T2743" t="n">
        <v>0</v>
      </c>
      <c r="U2743" t="n">
        <v>0</v>
      </c>
      <c r="V2743" s="2" t="inlineStr"/>
    </row>
    <row r="2744" ht="15" customHeight="1">
      <c r="A2744" t="inlineStr">
        <is>
          <t>A 27875-2024</t>
        </is>
      </c>
      <c r="B2744" t="inlineStr">
        <is>
          <t>avverkningsanmälan</t>
        </is>
      </c>
      <c r="C2744" t="inlineStr">
        <is>
          <t>Föryngringsavverkning</t>
        </is>
      </c>
      <c r="D2744" s="1" t="n">
        <v>45475</v>
      </c>
      <c r="E2744" s="1" t="n">
        <v>46313</v>
      </c>
      <c r="F2744" t="inlineStr">
        <is>
          <t>SÖDERMANLANDS LÄN</t>
        </is>
      </c>
      <c r="G2744" t="inlineStr">
        <is>
          <t>KATRINEHOLM</t>
        </is>
      </c>
      <c r="I2744" t="n">
        <v>1.8</v>
      </c>
      <c r="J2744" t="n">
        <v>0</v>
      </c>
      <c r="K2744" t="n">
        <v>0</v>
      </c>
      <c r="L2744" t="n">
        <v>0</v>
      </c>
      <c r="M2744" t="n">
        <v>0</v>
      </c>
      <c r="N2744" t="n">
        <v>0</v>
      </c>
      <c r="O2744" t="n">
        <v>0</v>
      </c>
      <c r="P2744" t="n">
        <v>0</v>
      </c>
      <c r="Q2744" t="n">
        <v>0</v>
      </c>
      <c r="R2744" t="n">
        <v>0</v>
      </c>
      <c r="S2744" t="n">
        <v>0</v>
      </c>
      <c r="T2744" t="n">
        <v>0</v>
      </c>
      <c r="U2744" t="n">
        <v>0</v>
      </c>
      <c r="V2744" s="2" t="inlineStr"/>
    </row>
    <row r="2745" ht="15" customHeight="1">
      <c r="A2745" t="inlineStr">
        <is>
          <t>A 20506-2022</t>
        </is>
      </c>
      <c r="B2745" t="inlineStr">
        <is>
          <t>avverkningsanmälan</t>
        </is>
      </c>
      <c r="C2745" t="inlineStr">
        <is>
          <t>Föryngringsavverkning</t>
        </is>
      </c>
      <c r="D2745" s="1" t="n">
        <v>44699</v>
      </c>
      <c r="E2745" s="1" t="n">
        <v>46313</v>
      </c>
      <c r="F2745" t="inlineStr">
        <is>
          <t>SÖDERMANLANDS LÄN</t>
        </is>
      </c>
      <c r="G2745" t="inlineStr">
        <is>
          <t>STRÄNGNÄS</t>
        </is>
      </c>
      <c r="I2745" t="n">
        <v>1.9</v>
      </c>
      <c r="J2745" t="n">
        <v>0</v>
      </c>
      <c r="K2745" t="n">
        <v>0</v>
      </c>
      <c r="L2745" t="n">
        <v>0</v>
      </c>
      <c r="M2745" t="n">
        <v>0</v>
      </c>
      <c r="N2745" t="n">
        <v>0</v>
      </c>
      <c r="O2745" t="n">
        <v>0</v>
      </c>
      <c r="P2745" t="n">
        <v>0</v>
      </c>
      <c r="Q2745" t="n">
        <v>0</v>
      </c>
      <c r="R2745" t="n">
        <v>0</v>
      </c>
      <c r="S2745" t="n">
        <v>0</v>
      </c>
      <c r="T2745" t="n">
        <v>0</v>
      </c>
      <c r="U2745" t="n">
        <v>0</v>
      </c>
      <c r="V2745" s="2" t="inlineStr"/>
    </row>
    <row r="2746" ht="15" customHeight="1">
      <c r="A2746" t="inlineStr">
        <is>
          <t>A 6979-2024</t>
        </is>
      </c>
      <c r="B2746" t="inlineStr">
        <is>
          <t>avverkningsanmälan</t>
        </is>
      </c>
      <c r="C2746" t="inlineStr">
        <is>
          <t>Föryngringsavverkning</t>
        </is>
      </c>
      <c r="D2746" s="1" t="n">
        <v>45343</v>
      </c>
      <c r="E2746" s="1" t="n">
        <v>46313</v>
      </c>
      <c r="F2746" t="inlineStr">
        <is>
          <t>SÖDERMANLANDS LÄN</t>
        </is>
      </c>
      <c r="G2746" t="inlineStr">
        <is>
          <t>GNESTA</t>
        </is>
      </c>
      <c r="I2746" t="n">
        <v>1.4</v>
      </c>
      <c r="J2746" t="n">
        <v>0</v>
      </c>
      <c r="K2746" t="n">
        <v>0</v>
      </c>
      <c r="L2746" t="n">
        <v>0</v>
      </c>
      <c r="M2746" t="n">
        <v>0</v>
      </c>
      <c r="N2746" t="n">
        <v>0</v>
      </c>
      <c r="O2746" t="n">
        <v>0</v>
      </c>
      <c r="P2746" t="n">
        <v>0</v>
      </c>
      <c r="Q2746" t="n">
        <v>0</v>
      </c>
      <c r="R2746" t="n">
        <v>0</v>
      </c>
      <c r="S2746" t="n">
        <v>0</v>
      </c>
      <c r="T2746" t="n">
        <v>0</v>
      </c>
      <c r="U2746" t="n">
        <v>0</v>
      </c>
      <c r="V2746" s="2" t="inlineStr"/>
    </row>
    <row r="2747" ht="15" customHeight="1">
      <c r="A2747" t="inlineStr">
        <is>
          <t>A 20192-2023</t>
        </is>
      </c>
      <c r="B2747" t="inlineStr">
        <is>
          <t>avverkningsanmälan</t>
        </is>
      </c>
      <c r="C2747" t="inlineStr">
        <is>
          <t>Föryngringsavverkning</t>
        </is>
      </c>
      <c r="D2747" s="1" t="n">
        <v>45051</v>
      </c>
      <c r="E2747" s="1" t="n">
        <v>46313</v>
      </c>
      <c r="F2747" t="inlineStr">
        <is>
          <t>SÖDERMANLANDS LÄN</t>
        </is>
      </c>
      <c r="G2747" t="inlineStr">
        <is>
          <t>VINGÅKER</t>
        </is>
      </c>
      <c r="I2747" t="n">
        <v>0.6</v>
      </c>
      <c r="J2747" t="n">
        <v>0</v>
      </c>
      <c r="K2747" t="n">
        <v>0</v>
      </c>
      <c r="L2747" t="n">
        <v>0</v>
      </c>
      <c r="M2747" t="n">
        <v>0</v>
      </c>
      <c r="N2747" t="n">
        <v>0</v>
      </c>
      <c r="O2747" t="n">
        <v>0</v>
      </c>
      <c r="P2747" t="n">
        <v>0</v>
      </c>
      <c r="Q2747" t="n">
        <v>0</v>
      </c>
      <c r="R2747" t="n">
        <v>0</v>
      </c>
      <c r="S2747" t="n">
        <v>0</v>
      </c>
      <c r="T2747" t="n">
        <v>0</v>
      </c>
      <c r="U2747" t="n">
        <v>0</v>
      </c>
      <c r="V2747" s="2" t="inlineStr"/>
    </row>
    <row r="2748" ht="15" customHeight="1">
      <c r="A2748" t="inlineStr">
        <is>
          <t>A 32295-2026</t>
        </is>
      </c>
      <c r="B2748" t="inlineStr">
        <is>
          <t>avverkningsanmälan</t>
        </is>
      </c>
      <c r="C2748" t="inlineStr">
        <is>
          <t>Föryngringsavverkning</t>
        </is>
      </c>
      <c r="D2748" s="1" t="n">
        <v>46237</v>
      </c>
      <c r="E2748" s="1" t="n">
        <v>46313</v>
      </c>
      <c r="F2748" t="inlineStr">
        <is>
          <t>SÖDERMANLANDS LÄN</t>
        </is>
      </c>
      <c r="G2748" t="inlineStr">
        <is>
          <t>NYKÖPING</t>
        </is>
      </c>
      <c r="H2748" t="inlineStr">
        <is>
          <t>Sveaskog</t>
        </is>
      </c>
      <c r="I2748" t="n">
        <v>5.2</v>
      </c>
      <c r="J2748" t="n">
        <v>0</v>
      </c>
      <c r="K2748" t="n">
        <v>0</v>
      </c>
      <c r="L2748" t="n">
        <v>0</v>
      </c>
      <c r="M2748" t="n">
        <v>0</v>
      </c>
      <c r="N2748" t="n">
        <v>0</v>
      </c>
      <c r="O2748" t="n">
        <v>0</v>
      </c>
      <c r="P2748" t="n">
        <v>0</v>
      </c>
      <c r="Q2748" t="n">
        <v>0</v>
      </c>
      <c r="R2748" t="n">
        <v>0</v>
      </c>
      <c r="S2748" t="n">
        <v>0</v>
      </c>
      <c r="T2748" t="n">
        <v>0</v>
      </c>
      <c r="U2748" t="n">
        <v>0</v>
      </c>
      <c r="V2748" s="2" t="inlineStr"/>
    </row>
    <row r="2749" ht="15" customHeight="1">
      <c r="A2749" t="inlineStr">
        <is>
          <t>A 43088-2022</t>
        </is>
      </c>
      <c r="B2749" t="inlineStr">
        <is>
          <t>avverkningsanmälan</t>
        </is>
      </c>
      <c r="C2749" t="inlineStr">
        <is>
          <t>Föryngringsavverkning</t>
        </is>
      </c>
      <c r="D2749" s="1" t="n">
        <v>44833</v>
      </c>
      <c r="E2749" s="1" t="n">
        <v>46313</v>
      </c>
      <c r="F2749" t="inlineStr">
        <is>
          <t>SÖDERMANLANDS LÄN</t>
        </is>
      </c>
      <c r="G2749" t="inlineStr">
        <is>
          <t>KATRINEHOLM</t>
        </is>
      </c>
      <c r="I2749" t="n">
        <v>6.6</v>
      </c>
      <c r="J2749" t="n">
        <v>0</v>
      </c>
      <c r="K2749" t="n">
        <v>0</v>
      </c>
      <c r="L2749" t="n">
        <v>0</v>
      </c>
      <c r="M2749" t="n">
        <v>0</v>
      </c>
      <c r="N2749" t="n">
        <v>0</v>
      </c>
      <c r="O2749" t="n">
        <v>0</v>
      </c>
      <c r="P2749" t="n">
        <v>0</v>
      </c>
      <c r="Q2749" t="n">
        <v>0</v>
      </c>
      <c r="R2749" t="n">
        <v>0</v>
      </c>
      <c r="S2749" t="n">
        <v>0</v>
      </c>
      <c r="T2749" t="n">
        <v>0</v>
      </c>
      <c r="U2749" t="n">
        <v>0</v>
      </c>
      <c r="V2749" s="2" t="inlineStr"/>
    </row>
    <row r="2750" ht="15" customHeight="1">
      <c r="A2750" t="inlineStr">
        <is>
          <t>A 4977-2024</t>
        </is>
      </c>
      <c r="B2750" t="inlineStr">
        <is>
          <t>avverkningsanmälan</t>
        </is>
      </c>
      <c r="C2750" t="inlineStr">
        <is>
          <t>Föryngringsavverkning</t>
        </is>
      </c>
      <c r="D2750" s="1" t="n">
        <v>45329</v>
      </c>
      <c r="E2750" s="1" t="n">
        <v>46313</v>
      </c>
      <c r="F2750" t="inlineStr">
        <is>
          <t>SÖDERMANLANDS LÄN</t>
        </is>
      </c>
      <c r="G2750" t="inlineStr">
        <is>
          <t>ESKILSTUNA</t>
        </is>
      </c>
      <c r="H2750" t="inlineStr">
        <is>
          <t>Kyrkan</t>
        </is>
      </c>
      <c r="I2750" t="n">
        <v>12</v>
      </c>
      <c r="J2750" t="n">
        <v>0</v>
      </c>
      <c r="K2750" t="n">
        <v>0</v>
      </c>
      <c r="L2750" t="n">
        <v>0</v>
      </c>
      <c r="M2750" t="n">
        <v>0</v>
      </c>
      <c r="N2750" t="n">
        <v>0</v>
      </c>
      <c r="O2750" t="n">
        <v>0</v>
      </c>
      <c r="P2750" t="n">
        <v>0</v>
      </c>
      <c r="Q2750" t="n">
        <v>0</v>
      </c>
      <c r="R2750" t="n">
        <v>0</v>
      </c>
      <c r="S2750" t="n">
        <v>0</v>
      </c>
      <c r="T2750" t="n">
        <v>0</v>
      </c>
      <c r="U2750" t="n">
        <v>0</v>
      </c>
      <c r="V2750" s="2" t="inlineStr"/>
    </row>
    <row r="2751" ht="15" customHeight="1">
      <c r="A2751" t="inlineStr">
        <is>
          <t>A 51259-2024</t>
        </is>
      </c>
      <c r="B2751" t="inlineStr">
        <is>
          <t>avverkningsanmälan</t>
        </is>
      </c>
      <c r="C2751" t="inlineStr">
        <is>
          <t>Föryngringsavverkning</t>
        </is>
      </c>
      <c r="D2751" s="1" t="n">
        <v>45603</v>
      </c>
      <c r="E2751" s="1" t="n">
        <v>46313</v>
      </c>
      <c r="F2751" t="inlineStr">
        <is>
          <t>SÖDERMANLANDS LÄN</t>
        </is>
      </c>
      <c r="G2751" t="inlineStr">
        <is>
          <t>NYKÖPING</t>
        </is>
      </c>
      <c r="H2751" t="inlineStr">
        <is>
          <t>Sveaskog</t>
        </is>
      </c>
      <c r="I2751" t="n">
        <v>1</v>
      </c>
      <c r="J2751" t="n">
        <v>0</v>
      </c>
      <c r="K2751" t="n">
        <v>0</v>
      </c>
      <c r="L2751" t="n">
        <v>0</v>
      </c>
      <c r="M2751" t="n">
        <v>0</v>
      </c>
      <c r="N2751" t="n">
        <v>0</v>
      </c>
      <c r="O2751" t="n">
        <v>0</v>
      </c>
      <c r="P2751" t="n">
        <v>0</v>
      </c>
      <c r="Q2751" t="n">
        <v>0</v>
      </c>
      <c r="R2751" t="n">
        <v>0</v>
      </c>
      <c r="S2751" t="n">
        <v>0</v>
      </c>
      <c r="T2751" t="n">
        <v>0</v>
      </c>
      <c r="U2751" t="n">
        <v>0</v>
      </c>
      <c r="V2751" s="2" t="inlineStr"/>
    </row>
    <row r="2752" ht="15" customHeight="1">
      <c r="A2752" t="inlineStr">
        <is>
          <t>A 64286-2023</t>
        </is>
      </c>
      <c r="B2752" t="inlineStr">
        <is>
          <t>avverkningsanmälan</t>
        </is>
      </c>
      <c r="C2752" t="inlineStr">
        <is>
          <t>Föryngringsavverkning</t>
        </is>
      </c>
      <c r="D2752" s="1" t="n">
        <v>45280</v>
      </c>
      <c r="E2752" s="1" t="n">
        <v>46313</v>
      </c>
      <c r="F2752" t="inlineStr">
        <is>
          <t>SÖDERMANLANDS LÄN</t>
        </is>
      </c>
      <c r="G2752" t="inlineStr">
        <is>
          <t>TROSA</t>
        </is>
      </c>
      <c r="I2752" t="n">
        <v>2.7</v>
      </c>
      <c r="J2752" t="n">
        <v>0</v>
      </c>
      <c r="K2752" t="n">
        <v>0</v>
      </c>
      <c r="L2752" t="n">
        <v>0</v>
      </c>
      <c r="M2752" t="n">
        <v>0</v>
      </c>
      <c r="N2752" t="n">
        <v>0</v>
      </c>
      <c r="O2752" t="n">
        <v>0</v>
      </c>
      <c r="P2752" t="n">
        <v>0</v>
      </c>
      <c r="Q2752" t="n">
        <v>0</v>
      </c>
      <c r="R2752" t="n">
        <v>0</v>
      </c>
      <c r="S2752" t="n">
        <v>0</v>
      </c>
      <c r="T2752" t="n">
        <v>0</v>
      </c>
      <c r="U2752" t="n">
        <v>0</v>
      </c>
      <c r="V2752" s="2" t="inlineStr"/>
    </row>
    <row r="2753" ht="15" customHeight="1">
      <c r="A2753" t="inlineStr">
        <is>
          <t>A 61385-2023</t>
        </is>
      </c>
      <c r="B2753" t="inlineStr">
        <is>
          <t>avverkningsanmälan</t>
        </is>
      </c>
      <c r="C2753" t="inlineStr">
        <is>
          <t>Föryngringsavverkning</t>
        </is>
      </c>
      <c r="D2753" s="1" t="n">
        <v>45264</v>
      </c>
      <c r="E2753" s="1" t="n">
        <v>46313</v>
      </c>
      <c r="F2753" t="inlineStr">
        <is>
          <t>SÖDERMANLANDS LÄN</t>
        </is>
      </c>
      <c r="G2753" t="inlineStr">
        <is>
          <t>KATRINEHOLM</t>
        </is>
      </c>
      <c r="I2753" t="n">
        <v>0.4</v>
      </c>
      <c r="J2753" t="n">
        <v>0</v>
      </c>
      <c r="K2753" t="n">
        <v>0</v>
      </c>
      <c r="L2753" t="n">
        <v>0</v>
      </c>
      <c r="M2753" t="n">
        <v>0</v>
      </c>
      <c r="N2753" t="n">
        <v>0</v>
      </c>
      <c r="O2753" t="n">
        <v>0</v>
      </c>
      <c r="P2753" t="n">
        <v>0</v>
      </c>
      <c r="Q2753" t="n">
        <v>0</v>
      </c>
      <c r="R2753" t="n">
        <v>0</v>
      </c>
      <c r="S2753" t="n">
        <v>0</v>
      </c>
      <c r="T2753" t="n">
        <v>0</v>
      </c>
      <c r="U2753" t="n">
        <v>0</v>
      </c>
      <c r="V2753" s="2" t="inlineStr"/>
    </row>
    <row r="2754" ht="15" customHeight="1">
      <c r="A2754" t="inlineStr">
        <is>
          <t>A 32461-2026</t>
        </is>
      </c>
      <c r="B2754" t="inlineStr">
        <is>
          <t>avverkningsanmälan</t>
        </is>
      </c>
      <c r="C2754" t="inlineStr">
        <is>
          <t>Föryngringsavverkning</t>
        </is>
      </c>
      <c r="D2754" s="1" t="n">
        <v>46239</v>
      </c>
      <c r="E2754" s="1" t="n">
        <v>46313</v>
      </c>
      <c r="F2754" t="inlineStr">
        <is>
          <t>SÖDERMANLANDS LÄN</t>
        </is>
      </c>
      <c r="G2754" t="inlineStr">
        <is>
          <t>ESKILSTUNA</t>
        </is>
      </c>
      <c r="I2754" t="n">
        <v>0.6</v>
      </c>
      <c r="J2754" t="n">
        <v>0</v>
      </c>
      <c r="K2754" t="n">
        <v>0</v>
      </c>
      <c r="L2754" t="n">
        <v>0</v>
      </c>
      <c r="M2754" t="n">
        <v>0</v>
      </c>
      <c r="N2754" t="n">
        <v>0</v>
      </c>
      <c r="O2754" t="n">
        <v>0</v>
      </c>
      <c r="P2754" t="n">
        <v>0</v>
      </c>
      <c r="Q2754" t="n">
        <v>0</v>
      </c>
      <c r="R2754" t="n">
        <v>0</v>
      </c>
      <c r="S2754" t="n">
        <v>0</v>
      </c>
      <c r="T2754" t="n">
        <v>0</v>
      </c>
      <c r="U2754" t="n">
        <v>0</v>
      </c>
      <c r="V2754" s="2" t="inlineStr"/>
    </row>
    <row r="2755" ht="15" customHeight="1">
      <c r="A2755" t="inlineStr">
        <is>
          <t>A 44927-2023</t>
        </is>
      </c>
      <c r="B2755" t="inlineStr">
        <is>
          <t>avverkningsanmälan</t>
        </is>
      </c>
      <c r="C2755" t="inlineStr">
        <is>
          <t>Avverkning för annat ändamål</t>
        </is>
      </c>
      <c r="D2755" s="1" t="n">
        <v>45190</v>
      </c>
      <c r="E2755" s="1" t="n">
        <v>46313</v>
      </c>
      <c r="F2755" t="inlineStr">
        <is>
          <t>SÖDERMANLANDS LÄN</t>
        </is>
      </c>
      <c r="G2755" t="inlineStr">
        <is>
          <t>ESKILSTUNA</t>
        </is>
      </c>
      <c r="I2755" t="n">
        <v>0.6</v>
      </c>
      <c r="J2755" t="n">
        <v>0</v>
      </c>
      <c r="K2755" t="n">
        <v>0</v>
      </c>
      <c r="L2755" t="n">
        <v>0</v>
      </c>
      <c r="M2755" t="n">
        <v>0</v>
      </c>
      <c r="N2755" t="n">
        <v>0</v>
      </c>
      <c r="O2755" t="n">
        <v>0</v>
      </c>
      <c r="P2755" t="n">
        <v>0</v>
      </c>
      <c r="Q2755" t="n">
        <v>0</v>
      </c>
      <c r="R2755" t="n">
        <v>0</v>
      </c>
      <c r="S2755" t="n">
        <v>0</v>
      </c>
      <c r="T2755" t="n">
        <v>0</v>
      </c>
      <c r="U2755" t="n">
        <v>0</v>
      </c>
      <c r="V2755" s="2" t="inlineStr"/>
    </row>
    <row r="2756" ht="15" customHeight="1">
      <c r="A2756" t="inlineStr">
        <is>
          <t>A 37954-2026</t>
        </is>
      </c>
      <c r="B2756" t="inlineStr">
        <is>
          <t>avverkningsanmälan</t>
        </is>
      </c>
      <c r="C2756" t="inlineStr">
        <is>
          <t>Föryngringsavverkning</t>
        </is>
      </c>
      <c r="D2756" s="1" t="n">
        <v>46280</v>
      </c>
      <c r="E2756" s="1" t="n">
        <v>46313</v>
      </c>
      <c r="F2756" t="inlineStr">
        <is>
          <t>SÖDERMANLANDS LÄN</t>
        </is>
      </c>
      <c r="G2756" t="inlineStr">
        <is>
          <t>NYKÖPING</t>
        </is>
      </c>
      <c r="H2756" t="inlineStr">
        <is>
          <t>Holmen skog AB</t>
        </is>
      </c>
      <c r="I2756" t="n">
        <v>4.3</v>
      </c>
      <c r="J2756" t="n">
        <v>0</v>
      </c>
      <c r="K2756" t="n">
        <v>0</v>
      </c>
      <c r="L2756" t="n">
        <v>0</v>
      </c>
      <c r="M2756" t="n">
        <v>0</v>
      </c>
      <c r="N2756" t="n">
        <v>0</v>
      </c>
      <c r="O2756" t="n">
        <v>0</v>
      </c>
      <c r="P2756" t="n">
        <v>0</v>
      </c>
      <c r="Q2756" t="n">
        <v>0</v>
      </c>
      <c r="R2756" t="n">
        <v>0</v>
      </c>
      <c r="S2756" t="n">
        <v>0</v>
      </c>
      <c r="T2756" t="n">
        <v>0</v>
      </c>
      <c r="U2756" t="n">
        <v>0</v>
      </c>
      <c r="V2756" s="2" t="inlineStr"/>
    </row>
    <row r="2757" ht="15" customHeight="1">
      <c r="A2757" t="inlineStr">
        <is>
          <t>A 43221-2023</t>
        </is>
      </c>
      <c r="B2757" t="inlineStr">
        <is>
          <t>avverkningsanmälan</t>
        </is>
      </c>
      <c r="C2757" t="inlineStr">
        <is>
          <t>Föryngringsavverkning</t>
        </is>
      </c>
      <c r="D2757" s="1" t="n">
        <v>45183</v>
      </c>
      <c r="E2757" s="1" t="n">
        <v>46313</v>
      </c>
      <c r="F2757" t="inlineStr">
        <is>
          <t>SÖDERMANLANDS LÄN</t>
        </is>
      </c>
      <c r="G2757" t="inlineStr">
        <is>
          <t>ESKILSTUNA</t>
        </is>
      </c>
      <c r="H2757" t="inlineStr">
        <is>
          <t>Allmännings- och besparingsskogar</t>
        </is>
      </c>
      <c r="I2757" t="n">
        <v>15.8</v>
      </c>
      <c r="J2757" t="n">
        <v>0</v>
      </c>
      <c r="K2757" t="n">
        <v>0</v>
      </c>
      <c r="L2757" t="n">
        <v>0</v>
      </c>
      <c r="M2757" t="n">
        <v>0</v>
      </c>
      <c r="N2757" t="n">
        <v>0</v>
      </c>
      <c r="O2757" t="n">
        <v>0</v>
      </c>
      <c r="P2757" t="n">
        <v>0</v>
      </c>
      <c r="Q2757" t="n">
        <v>0</v>
      </c>
      <c r="R2757" t="n">
        <v>0</v>
      </c>
      <c r="S2757" t="n">
        <v>0</v>
      </c>
      <c r="T2757" t="n">
        <v>0</v>
      </c>
      <c r="U2757" t="n">
        <v>0</v>
      </c>
      <c r="V2757" s="2" t="inlineStr"/>
    </row>
    <row r="2758" ht="15" customHeight="1">
      <c r="A2758" t="inlineStr">
        <is>
          <t>A 46881-2022</t>
        </is>
      </c>
      <c r="B2758" t="inlineStr">
        <is>
          <t>avverkningsanmälan</t>
        </is>
      </c>
      <c r="C2758" t="inlineStr">
        <is>
          <t>Föryngringsavverkning</t>
        </is>
      </c>
      <c r="D2758" s="1" t="n">
        <v>44851</v>
      </c>
      <c r="E2758" s="1" t="n">
        <v>46313</v>
      </c>
      <c r="F2758" t="inlineStr">
        <is>
          <t>SÖDERMANLANDS LÄN</t>
        </is>
      </c>
      <c r="G2758" t="inlineStr">
        <is>
          <t>ESKILSTUNA</t>
        </is>
      </c>
      <c r="I2758" t="n">
        <v>1.3</v>
      </c>
      <c r="J2758" t="n">
        <v>0</v>
      </c>
      <c r="K2758" t="n">
        <v>0</v>
      </c>
      <c r="L2758" t="n">
        <v>0</v>
      </c>
      <c r="M2758" t="n">
        <v>0</v>
      </c>
      <c r="N2758" t="n">
        <v>0</v>
      </c>
      <c r="O2758" t="n">
        <v>0</v>
      </c>
      <c r="P2758" t="n">
        <v>0</v>
      </c>
      <c r="Q2758" t="n">
        <v>0</v>
      </c>
      <c r="R2758" t="n">
        <v>0</v>
      </c>
      <c r="S2758" t="n">
        <v>0</v>
      </c>
      <c r="T2758" t="n">
        <v>0</v>
      </c>
      <c r="U2758" t="n">
        <v>0</v>
      </c>
      <c r="V2758" s="2" t="inlineStr"/>
    </row>
    <row r="2759" ht="15" customHeight="1">
      <c r="A2759" t="inlineStr">
        <is>
          <t>A 48030-2022</t>
        </is>
      </c>
      <c r="B2759" t="inlineStr">
        <is>
          <t>avverkningsanmälan</t>
        </is>
      </c>
      <c r="C2759" t="inlineStr">
        <is>
          <t>Föryngringsavverkning</t>
        </is>
      </c>
      <c r="D2759" s="1" t="n">
        <v>44855</v>
      </c>
      <c r="E2759" s="1" t="n">
        <v>46313</v>
      </c>
      <c r="F2759" t="inlineStr">
        <is>
          <t>SÖDERMANLANDS LÄN</t>
        </is>
      </c>
      <c r="G2759" t="inlineStr">
        <is>
          <t>KATRINEHOLM</t>
        </is>
      </c>
      <c r="H2759" t="inlineStr">
        <is>
          <t>Allmännings- och besparingsskogar</t>
        </is>
      </c>
      <c r="I2759" t="n">
        <v>1.5</v>
      </c>
      <c r="J2759" t="n">
        <v>0</v>
      </c>
      <c r="K2759" t="n">
        <v>0</v>
      </c>
      <c r="L2759" t="n">
        <v>0</v>
      </c>
      <c r="M2759" t="n">
        <v>0</v>
      </c>
      <c r="N2759" t="n">
        <v>0</v>
      </c>
      <c r="O2759" t="n">
        <v>0</v>
      </c>
      <c r="P2759" t="n">
        <v>0</v>
      </c>
      <c r="Q2759" t="n">
        <v>0</v>
      </c>
      <c r="R2759" t="n">
        <v>0</v>
      </c>
      <c r="S2759" t="n">
        <v>0</v>
      </c>
      <c r="T2759" t="n">
        <v>0</v>
      </c>
      <c r="U2759" t="n">
        <v>0</v>
      </c>
      <c r="V2759" s="2" t="inlineStr"/>
    </row>
    <row r="2760" ht="15" customHeight="1">
      <c r="A2760" t="inlineStr">
        <is>
          <t>A 11117-2025</t>
        </is>
      </c>
      <c r="B2760" t="inlineStr">
        <is>
          <t>avverkningsanmälan</t>
        </is>
      </c>
      <c r="C2760" t="inlineStr">
        <is>
          <t>Föryngringsavverkning</t>
        </is>
      </c>
      <c r="D2760" s="1" t="n">
        <v>45723</v>
      </c>
      <c r="E2760" s="1" t="n">
        <v>46313</v>
      </c>
      <c r="F2760" t="inlineStr">
        <is>
          <t>SÖDERMANLANDS LÄN</t>
        </is>
      </c>
      <c r="G2760" t="inlineStr">
        <is>
          <t>ESKILSTUNA</t>
        </is>
      </c>
      <c r="I2760" t="n">
        <v>0.9</v>
      </c>
      <c r="J2760" t="n">
        <v>0</v>
      </c>
      <c r="K2760" t="n">
        <v>0</v>
      </c>
      <c r="L2760" t="n">
        <v>0</v>
      </c>
      <c r="M2760" t="n">
        <v>0</v>
      </c>
      <c r="N2760" t="n">
        <v>0</v>
      </c>
      <c r="O2760" t="n">
        <v>0</v>
      </c>
      <c r="P2760" t="n">
        <v>0</v>
      </c>
      <c r="Q2760" t="n">
        <v>0</v>
      </c>
      <c r="R2760" t="n">
        <v>0</v>
      </c>
      <c r="S2760" t="n">
        <v>0</v>
      </c>
      <c r="T2760" t="n">
        <v>0</v>
      </c>
      <c r="U2760" t="n">
        <v>0</v>
      </c>
      <c r="V2760" s="2" t="inlineStr"/>
    </row>
    <row r="2761" ht="15" customHeight="1">
      <c r="A2761" t="inlineStr">
        <is>
          <t>A 72341-2021</t>
        </is>
      </c>
      <c r="B2761" t="inlineStr">
        <is>
          <t>avverkningsanmälan</t>
        </is>
      </c>
      <c r="C2761" t="inlineStr">
        <is>
          <t>Föryngringsavverkning</t>
        </is>
      </c>
      <c r="D2761" s="1" t="n">
        <v>44545</v>
      </c>
      <c r="E2761" s="1" t="n">
        <v>46313</v>
      </c>
      <c r="F2761" t="inlineStr">
        <is>
          <t>SÖDERMANLANDS LÄN</t>
        </is>
      </c>
      <c r="G2761" t="inlineStr">
        <is>
          <t>GNESTA</t>
        </is>
      </c>
      <c r="I2761" t="n">
        <v>2.1</v>
      </c>
      <c r="J2761" t="n">
        <v>0</v>
      </c>
      <c r="K2761" t="n">
        <v>0</v>
      </c>
      <c r="L2761" t="n">
        <v>0</v>
      </c>
      <c r="M2761" t="n">
        <v>0</v>
      </c>
      <c r="N2761" t="n">
        <v>0</v>
      </c>
      <c r="O2761" t="n">
        <v>0</v>
      </c>
      <c r="P2761" t="n">
        <v>0</v>
      </c>
      <c r="Q2761" t="n">
        <v>0</v>
      </c>
      <c r="R2761" t="n">
        <v>0</v>
      </c>
      <c r="S2761" t="n">
        <v>0</v>
      </c>
      <c r="T2761" t="n">
        <v>0</v>
      </c>
      <c r="U2761" t="n">
        <v>0</v>
      </c>
      <c r="V2761" s="2" t="inlineStr"/>
    </row>
    <row r="2762" ht="15" customHeight="1">
      <c r="A2762" t="inlineStr">
        <is>
          <t>A 42476-2022</t>
        </is>
      </c>
      <c r="B2762" t="inlineStr">
        <is>
          <t>avverkningsanmälan</t>
        </is>
      </c>
      <c r="C2762" t="inlineStr">
        <is>
          <t>Föryngringsavverkning</t>
        </is>
      </c>
      <c r="D2762" s="1" t="n">
        <v>44831</v>
      </c>
      <c r="E2762" s="1" t="n">
        <v>46313</v>
      </c>
      <c r="F2762" t="inlineStr">
        <is>
          <t>SÖDERMANLANDS LÄN</t>
        </is>
      </c>
      <c r="G2762" t="inlineStr">
        <is>
          <t>STRÄNGNÄS</t>
        </is>
      </c>
      <c r="I2762" t="n">
        <v>5.5</v>
      </c>
      <c r="J2762" t="n">
        <v>0</v>
      </c>
      <c r="K2762" t="n">
        <v>0</v>
      </c>
      <c r="L2762" t="n">
        <v>0</v>
      </c>
      <c r="M2762" t="n">
        <v>0</v>
      </c>
      <c r="N2762" t="n">
        <v>0</v>
      </c>
      <c r="O2762" t="n">
        <v>0</v>
      </c>
      <c r="P2762" t="n">
        <v>0</v>
      </c>
      <c r="Q2762" t="n">
        <v>0</v>
      </c>
      <c r="R2762" t="n">
        <v>0</v>
      </c>
      <c r="S2762" t="n">
        <v>0</v>
      </c>
      <c r="T2762" t="n">
        <v>0</v>
      </c>
      <c r="U2762" t="n">
        <v>0</v>
      </c>
      <c r="V2762" s="2" t="inlineStr"/>
    </row>
    <row r="2763" ht="15" customHeight="1">
      <c r="A2763" t="inlineStr">
        <is>
          <t>A 42503-2022</t>
        </is>
      </c>
      <c r="B2763" t="inlineStr">
        <is>
          <t>avverkningsanmälan</t>
        </is>
      </c>
      <c r="C2763" t="inlineStr">
        <is>
          <t>Föryngringsavverkning</t>
        </is>
      </c>
      <c r="D2763" s="1" t="n">
        <v>44831</v>
      </c>
      <c r="E2763" s="1" t="n">
        <v>46313</v>
      </c>
      <c r="F2763" t="inlineStr">
        <is>
          <t>SÖDERMANLANDS LÄN</t>
        </is>
      </c>
      <c r="G2763" t="inlineStr">
        <is>
          <t>STRÄNGNÄS</t>
        </is>
      </c>
      <c r="I2763" t="n">
        <v>3.5</v>
      </c>
      <c r="J2763" t="n">
        <v>0</v>
      </c>
      <c r="K2763" t="n">
        <v>0</v>
      </c>
      <c r="L2763" t="n">
        <v>0</v>
      </c>
      <c r="M2763" t="n">
        <v>0</v>
      </c>
      <c r="N2763" t="n">
        <v>0</v>
      </c>
      <c r="O2763" t="n">
        <v>0</v>
      </c>
      <c r="P2763" t="n">
        <v>0</v>
      </c>
      <c r="Q2763" t="n">
        <v>0</v>
      </c>
      <c r="R2763" t="n">
        <v>0</v>
      </c>
      <c r="S2763" t="n">
        <v>0</v>
      </c>
      <c r="T2763" t="n">
        <v>0</v>
      </c>
      <c r="U2763" t="n">
        <v>0</v>
      </c>
      <c r="V2763" s="2" t="inlineStr"/>
    </row>
    <row r="2764" ht="15" customHeight="1">
      <c r="A2764" t="inlineStr">
        <is>
          <t>A 10932-2023</t>
        </is>
      </c>
      <c r="B2764" t="inlineStr">
        <is>
          <t>avverkningsanmälan</t>
        </is>
      </c>
      <c r="C2764" t="inlineStr">
        <is>
          <t>Föryngringsavverkning</t>
        </is>
      </c>
      <c r="D2764" s="1" t="n">
        <v>44985</v>
      </c>
      <c r="E2764" s="1" t="n">
        <v>46313</v>
      </c>
      <c r="F2764" t="inlineStr">
        <is>
          <t>SÖDERMANLANDS LÄN</t>
        </is>
      </c>
      <c r="G2764" t="inlineStr">
        <is>
          <t>KATRINEHOLM</t>
        </is>
      </c>
      <c r="I2764" t="n">
        <v>1.8</v>
      </c>
      <c r="J2764" t="n">
        <v>0</v>
      </c>
      <c r="K2764" t="n">
        <v>0</v>
      </c>
      <c r="L2764" t="n">
        <v>0</v>
      </c>
      <c r="M2764" t="n">
        <v>0</v>
      </c>
      <c r="N2764" t="n">
        <v>0</v>
      </c>
      <c r="O2764" t="n">
        <v>0</v>
      </c>
      <c r="P2764" t="n">
        <v>0</v>
      </c>
      <c r="Q2764" t="n">
        <v>0</v>
      </c>
      <c r="R2764" t="n">
        <v>0</v>
      </c>
      <c r="S2764" t="n">
        <v>0</v>
      </c>
      <c r="T2764" t="n">
        <v>0</v>
      </c>
      <c r="U2764" t="n">
        <v>0</v>
      </c>
      <c r="V2764" s="2" t="inlineStr"/>
    </row>
    <row r="2765" ht="15" customHeight="1">
      <c r="A2765" t="inlineStr">
        <is>
          <t>A 8324-2024</t>
        </is>
      </c>
      <c r="B2765" t="inlineStr">
        <is>
          <t>avverkningsanmälan</t>
        </is>
      </c>
      <c r="C2765" t="inlineStr">
        <is>
          <t>Föryngringsavverkning</t>
        </is>
      </c>
      <c r="D2765" s="1" t="n">
        <v>45350</v>
      </c>
      <c r="E2765" s="1" t="n">
        <v>46313</v>
      </c>
      <c r="F2765" t="inlineStr">
        <is>
          <t>SÖDERMANLANDS LÄN</t>
        </is>
      </c>
      <c r="G2765" t="inlineStr">
        <is>
          <t>NYKÖPING</t>
        </is>
      </c>
      <c r="I2765" t="n">
        <v>3.1</v>
      </c>
      <c r="J2765" t="n">
        <v>0</v>
      </c>
      <c r="K2765" t="n">
        <v>0</v>
      </c>
      <c r="L2765" t="n">
        <v>0</v>
      </c>
      <c r="M2765" t="n">
        <v>0</v>
      </c>
      <c r="N2765" t="n">
        <v>0</v>
      </c>
      <c r="O2765" t="n">
        <v>0</v>
      </c>
      <c r="P2765" t="n">
        <v>0</v>
      </c>
      <c r="Q2765" t="n">
        <v>0</v>
      </c>
      <c r="R2765" t="n">
        <v>0</v>
      </c>
      <c r="S2765" t="n">
        <v>0</v>
      </c>
      <c r="T2765" t="n">
        <v>0</v>
      </c>
      <c r="U2765" t="n">
        <v>0</v>
      </c>
      <c r="V2765" s="2" t="inlineStr"/>
    </row>
    <row r="2766" ht="15" customHeight="1">
      <c r="A2766" t="inlineStr">
        <is>
          <t>A 10019-2024</t>
        </is>
      </c>
      <c r="B2766" t="inlineStr">
        <is>
          <t>avverkningsanmälan</t>
        </is>
      </c>
      <c r="C2766" t="inlineStr">
        <is>
          <t>Föryngringsavverkning</t>
        </is>
      </c>
      <c r="D2766" s="1" t="n">
        <v>45363</v>
      </c>
      <c r="E2766" s="1" t="n">
        <v>46313</v>
      </c>
      <c r="F2766" t="inlineStr">
        <is>
          <t>SÖDERMANLANDS LÄN</t>
        </is>
      </c>
      <c r="G2766" t="inlineStr">
        <is>
          <t>ESKILSTUNA</t>
        </is>
      </c>
      <c r="H2766" t="inlineStr">
        <is>
          <t>Allmännings- och besparingsskogar</t>
        </is>
      </c>
      <c r="I2766" t="n">
        <v>0.7</v>
      </c>
      <c r="J2766" t="n">
        <v>0</v>
      </c>
      <c r="K2766" t="n">
        <v>0</v>
      </c>
      <c r="L2766" t="n">
        <v>0</v>
      </c>
      <c r="M2766" t="n">
        <v>0</v>
      </c>
      <c r="N2766" t="n">
        <v>0</v>
      </c>
      <c r="O2766" t="n">
        <v>0</v>
      </c>
      <c r="P2766" t="n">
        <v>0</v>
      </c>
      <c r="Q2766" t="n">
        <v>0</v>
      </c>
      <c r="R2766" t="n">
        <v>0</v>
      </c>
      <c r="S2766" t="n">
        <v>0</v>
      </c>
      <c r="T2766" t="n">
        <v>0</v>
      </c>
      <c r="U2766" t="n">
        <v>0</v>
      </c>
      <c r="V2766" s="2" t="inlineStr"/>
    </row>
    <row r="2767" ht="15" customHeight="1">
      <c r="A2767" t="inlineStr">
        <is>
          <t>A 36767-2022</t>
        </is>
      </c>
      <c r="B2767" t="inlineStr">
        <is>
          <t>avverkningsanmälan</t>
        </is>
      </c>
      <c r="C2767" t="inlineStr">
        <is>
          <t>Föryngringsavverkning</t>
        </is>
      </c>
      <c r="D2767" s="1" t="n">
        <v>44805</v>
      </c>
      <c r="E2767" s="1" t="n">
        <v>46313</v>
      </c>
      <c r="F2767" t="inlineStr">
        <is>
          <t>SÖDERMANLANDS LÄN</t>
        </is>
      </c>
      <c r="G2767" t="inlineStr">
        <is>
          <t>KATRINEHOLM</t>
        </is>
      </c>
      <c r="I2767" t="n">
        <v>1.1</v>
      </c>
      <c r="J2767" t="n">
        <v>0</v>
      </c>
      <c r="K2767" t="n">
        <v>0</v>
      </c>
      <c r="L2767" t="n">
        <v>0</v>
      </c>
      <c r="M2767" t="n">
        <v>0</v>
      </c>
      <c r="N2767" t="n">
        <v>0</v>
      </c>
      <c r="O2767" t="n">
        <v>0</v>
      </c>
      <c r="P2767" t="n">
        <v>0</v>
      </c>
      <c r="Q2767" t="n">
        <v>0</v>
      </c>
      <c r="R2767" t="n">
        <v>0</v>
      </c>
      <c r="S2767" t="n">
        <v>0</v>
      </c>
      <c r="T2767" t="n">
        <v>0</v>
      </c>
      <c r="U2767" t="n">
        <v>0</v>
      </c>
      <c r="V2767" s="2" t="inlineStr"/>
    </row>
    <row r="2768" ht="15" customHeight="1">
      <c r="A2768" t="inlineStr">
        <is>
          <t>A 13587-2022</t>
        </is>
      </c>
      <c r="B2768" t="inlineStr">
        <is>
          <t>avverkningsanmälan</t>
        </is>
      </c>
      <c r="C2768" t="inlineStr">
        <is>
          <t>Föryngringsavverkning</t>
        </is>
      </c>
      <c r="D2768" s="1" t="n">
        <v>44648</v>
      </c>
      <c r="E2768" s="1" t="n">
        <v>46313</v>
      </c>
      <c r="F2768" t="inlineStr">
        <is>
          <t>SÖDERMANLANDS LÄN</t>
        </is>
      </c>
      <c r="G2768" t="inlineStr">
        <is>
          <t>FLEN</t>
        </is>
      </c>
      <c r="I2768" t="n">
        <v>2</v>
      </c>
      <c r="J2768" t="n">
        <v>0</v>
      </c>
      <c r="K2768" t="n">
        <v>0</v>
      </c>
      <c r="L2768" t="n">
        <v>0</v>
      </c>
      <c r="M2768" t="n">
        <v>0</v>
      </c>
      <c r="N2768" t="n">
        <v>0</v>
      </c>
      <c r="O2768" t="n">
        <v>0</v>
      </c>
      <c r="P2768" t="n">
        <v>0</v>
      </c>
      <c r="Q2768" t="n">
        <v>0</v>
      </c>
      <c r="R2768" t="n">
        <v>0</v>
      </c>
      <c r="S2768" t="n">
        <v>0</v>
      </c>
      <c r="T2768" t="n">
        <v>0</v>
      </c>
      <c r="U2768" t="n">
        <v>0</v>
      </c>
      <c r="V2768" s="2" t="inlineStr"/>
    </row>
    <row r="2769" ht="15" customHeight="1">
      <c r="A2769" t="inlineStr">
        <is>
          <t>A 32963-2026</t>
        </is>
      </c>
      <c r="B2769" t="inlineStr">
        <is>
          <t>avverkningsanmälan</t>
        </is>
      </c>
      <c r="C2769" t="inlineStr">
        <is>
          <t>Föryngringsavverkning</t>
        </is>
      </c>
      <c r="D2769" s="1" t="n">
        <v>46241</v>
      </c>
      <c r="E2769" s="1" t="n">
        <v>46313</v>
      </c>
      <c r="F2769" t="inlineStr">
        <is>
          <t>SÖDERMANLANDS LÄN</t>
        </is>
      </c>
      <c r="G2769" t="inlineStr">
        <is>
          <t>ESKILSTUNA</t>
        </is>
      </c>
      <c r="I2769" t="n">
        <v>1.6</v>
      </c>
      <c r="J2769" t="n">
        <v>0</v>
      </c>
      <c r="K2769" t="n">
        <v>0</v>
      </c>
      <c r="L2769" t="n">
        <v>0</v>
      </c>
      <c r="M2769" t="n">
        <v>0</v>
      </c>
      <c r="N2769" t="n">
        <v>0</v>
      </c>
      <c r="O2769" t="n">
        <v>0</v>
      </c>
      <c r="P2769" t="n">
        <v>0</v>
      </c>
      <c r="Q2769" t="n">
        <v>0</v>
      </c>
      <c r="R2769" t="n">
        <v>0</v>
      </c>
      <c r="S2769" t="n">
        <v>0</v>
      </c>
      <c r="T2769" t="n">
        <v>0</v>
      </c>
      <c r="U2769" t="n">
        <v>0</v>
      </c>
      <c r="V2769" s="2" t="inlineStr"/>
    </row>
    <row r="2770" ht="15" customHeight="1">
      <c r="A2770" t="inlineStr">
        <is>
          <t>A 5834-2025</t>
        </is>
      </c>
      <c r="B2770" t="inlineStr">
        <is>
          <t>avverkningsanmälan</t>
        </is>
      </c>
      <c r="C2770" t="inlineStr">
        <is>
          <t>Föryngringsavverkning</t>
        </is>
      </c>
      <c r="D2770" s="1" t="n">
        <v>45694</v>
      </c>
      <c r="E2770" s="1" t="n">
        <v>46313</v>
      </c>
      <c r="F2770" t="inlineStr">
        <is>
          <t>SÖDERMANLANDS LÄN</t>
        </is>
      </c>
      <c r="G2770" t="inlineStr">
        <is>
          <t>KATRINEHOLM</t>
        </is>
      </c>
      <c r="I2770" t="n">
        <v>3.3</v>
      </c>
      <c r="J2770" t="n">
        <v>0</v>
      </c>
      <c r="K2770" t="n">
        <v>0</v>
      </c>
      <c r="L2770" t="n">
        <v>0</v>
      </c>
      <c r="M2770" t="n">
        <v>0</v>
      </c>
      <c r="N2770" t="n">
        <v>0</v>
      </c>
      <c r="O2770" t="n">
        <v>0</v>
      </c>
      <c r="P2770" t="n">
        <v>0</v>
      </c>
      <c r="Q2770" t="n">
        <v>0</v>
      </c>
      <c r="R2770" t="n">
        <v>0</v>
      </c>
      <c r="S2770" t="n">
        <v>0</v>
      </c>
      <c r="T2770" t="n">
        <v>0</v>
      </c>
      <c r="U2770" t="n">
        <v>0</v>
      </c>
      <c r="V2770" s="2" t="inlineStr"/>
    </row>
    <row r="2771" ht="15" customHeight="1">
      <c r="A2771" t="inlineStr">
        <is>
          <t>A 56627-2023</t>
        </is>
      </c>
      <c r="B2771" t="inlineStr">
        <is>
          <t>avverkningsanmälan</t>
        </is>
      </c>
      <c r="C2771" t="inlineStr">
        <is>
          <t>Föryngringsavverkning</t>
        </is>
      </c>
      <c r="D2771" s="1" t="n">
        <v>45243</v>
      </c>
      <c r="E2771" s="1" t="n">
        <v>46313</v>
      </c>
      <c r="F2771" t="inlineStr">
        <is>
          <t>SÖDERMANLANDS LÄN</t>
        </is>
      </c>
      <c r="G2771" t="inlineStr">
        <is>
          <t>VINGÅKER</t>
        </is>
      </c>
      <c r="I2771" t="n">
        <v>1.9</v>
      </c>
      <c r="J2771" t="n">
        <v>0</v>
      </c>
      <c r="K2771" t="n">
        <v>0</v>
      </c>
      <c r="L2771" t="n">
        <v>0</v>
      </c>
      <c r="M2771" t="n">
        <v>0</v>
      </c>
      <c r="N2771" t="n">
        <v>0</v>
      </c>
      <c r="O2771" t="n">
        <v>0</v>
      </c>
      <c r="P2771" t="n">
        <v>0</v>
      </c>
      <c r="Q2771" t="n">
        <v>0</v>
      </c>
      <c r="R2771" t="n">
        <v>0</v>
      </c>
      <c r="S2771" t="n">
        <v>0</v>
      </c>
      <c r="T2771" t="n">
        <v>0</v>
      </c>
      <c r="U2771" t="n">
        <v>0</v>
      </c>
      <c r="V2771" s="2" t="inlineStr"/>
    </row>
    <row r="2772" ht="15" customHeight="1">
      <c r="A2772" t="inlineStr">
        <is>
          <t>A 32499-2026</t>
        </is>
      </c>
      <c r="B2772" t="inlineStr">
        <is>
          <t>avverkningsanmälan</t>
        </is>
      </c>
      <c r="C2772" t="inlineStr">
        <is>
          <t>Föryngringsavverkning</t>
        </is>
      </c>
      <c r="D2772" s="1" t="n">
        <v>46239</v>
      </c>
      <c r="E2772" s="1" t="n">
        <v>46313</v>
      </c>
      <c r="F2772" t="inlineStr">
        <is>
          <t>SÖDERMANLANDS LÄN</t>
        </is>
      </c>
      <c r="G2772" t="inlineStr">
        <is>
          <t>NYKÖPING</t>
        </is>
      </c>
      <c r="H2772" t="inlineStr">
        <is>
          <t>Sveaskog</t>
        </is>
      </c>
      <c r="I2772" t="n">
        <v>0.8</v>
      </c>
      <c r="J2772" t="n">
        <v>0</v>
      </c>
      <c r="K2772" t="n">
        <v>0</v>
      </c>
      <c r="L2772" t="n">
        <v>0</v>
      </c>
      <c r="M2772" t="n">
        <v>0</v>
      </c>
      <c r="N2772" t="n">
        <v>0</v>
      </c>
      <c r="O2772" t="n">
        <v>0</v>
      </c>
      <c r="P2772" t="n">
        <v>0</v>
      </c>
      <c r="Q2772" t="n">
        <v>0</v>
      </c>
      <c r="R2772" t="n">
        <v>0</v>
      </c>
      <c r="S2772" t="n">
        <v>0</v>
      </c>
      <c r="T2772" t="n">
        <v>0</v>
      </c>
      <c r="U2772" t="n">
        <v>0</v>
      </c>
      <c r="V2772" s="2" t="inlineStr"/>
    </row>
    <row r="2773" ht="15" customHeight="1">
      <c r="A2773" t="inlineStr">
        <is>
          <t>A 9704-2022</t>
        </is>
      </c>
      <c r="B2773" t="inlineStr">
        <is>
          <t>avverkningsanmälan</t>
        </is>
      </c>
      <c r="C2773" t="inlineStr">
        <is>
          <t>Föryngringsavverkning</t>
        </is>
      </c>
      <c r="D2773" s="1" t="n">
        <v>44617</v>
      </c>
      <c r="E2773" s="1" t="n">
        <v>46313</v>
      </c>
      <c r="F2773" t="inlineStr">
        <is>
          <t>SÖDERMANLANDS LÄN</t>
        </is>
      </c>
      <c r="G2773" t="inlineStr">
        <is>
          <t>STRÄNGNÄS</t>
        </is>
      </c>
      <c r="I2773" t="n">
        <v>1.7</v>
      </c>
      <c r="J2773" t="n">
        <v>0</v>
      </c>
      <c r="K2773" t="n">
        <v>0</v>
      </c>
      <c r="L2773" t="n">
        <v>0</v>
      </c>
      <c r="M2773" t="n">
        <v>0</v>
      </c>
      <c r="N2773" t="n">
        <v>0</v>
      </c>
      <c r="O2773" t="n">
        <v>0</v>
      </c>
      <c r="P2773" t="n">
        <v>0</v>
      </c>
      <c r="Q2773" t="n">
        <v>0</v>
      </c>
      <c r="R2773" t="n">
        <v>0</v>
      </c>
      <c r="S2773" t="n">
        <v>0</v>
      </c>
      <c r="T2773" t="n">
        <v>0</v>
      </c>
      <c r="U2773" t="n">
        <v>0</v>
      </c>
      <c r="V2773" s="2" t="inlineStr"/>
    </row>
    <row r="2774" ht="15" customHeight="1">
      <c r="A2774" t="inlineStr">
        <is>
          <t>A 22228-2024</t>
        </is>
      </c>
      <c r="B2774" t="inlineStr">
        <is>
          <t>avverkningsanmälan</t>
        </is>
      </c>
      <c r="C2774" t="inlineStr">
        <is>
          <t>Föryngringsavverkning</t>
        </is>
      </c>
      <c r="D2774" s="1" t="n">
        <v>45446</v>
      </c>
      <c r="E2774" s="1" t="n">
        <v>46313</v>
      </c>
      <c r="F2774" t="inlineStr">
        <is>
          <t>SÖDERMANLANDS LÄN</t>
        </is>
      </c>
      <c r="G2774" t="inlineStr">
        <is>
          <t>GNESTA</t>
        </is>
      </c>
      <c r="I2774" t="n">
        <v>1.6</v>
      </c>
      <c r="J2774" t="n">
        <v>0</v>
      </c>
      <c r="K2774" t="n">
        <v>0</v>
      </c>
      <c r="L2774" t="n">
        <v>0</v>
      </c>
      <c r="M2774" t="n">
        <v>0</v>
      </c>
      <c r="N2774" t="n">
        <v>0</v>
      </c>
      <c r="O2774" t="n">
        <v>0</v>
      </c>
      <c r="P2774" t="n">
        <v>0</v>
      </c>
      <c r="Q2774" t="n">
        <v>0</v>
      </c>
      <c r="R2774" t="n">
        <v>0</v>
      </c>
      <c r="S2774" t="n">
        <v>0</v>
      </c>
      <c r="T2774" t="n">
        <v>0</v>
      </c>
      <c r="U2774" t="n">
        <v>0</v>
      </c>
      <c r="V2774" s="2" t="inlineStr"/>
    </row>
    <row r="2775" ht="15" customHeight="1">
      <c r="A2775" t="inlineStr">
        <is>
          <t>A 3475-2023</t>
        </is>
      </c>
      <c r="B2775" t="inlineStr">
        <is>
          <t>avverkningsanmälan</t>
        </is>
      </c>
      <c r="C2775" t="inlineStr">
        <is>
          <t>Föryngringsavverkning</t>
        </is>
      </c>
      <c r="D2775" s="1" t="n">
        <v>44949</v>
      </c>
      <c r="E2775" s="1" t="n">
        <v>46313</v>
      </c>
      <c r="F2775" t="inlineStr">
        <is>
          <t>SÖDERMANLANDS LÄN</t>
        </is>
      </c>
      <c r="G2775" t="inlineStr">
        <is>
          <t>NYKÖPING</t>
        </is>
      </c>
      <c r="I2775" t="n">
        <v>0.9</v>
      </c>
      <c r="J2775" t="n">
        <v>0</v>
      </c>
      <c r="K2775" t="n">
        <v>0</v>
      </c>
      <c r="L2775" t="n">
        <v>0</v>
      </c>
      <c r="M2775" t="n">
        <v>0</v>
      </c>
      <c r="N2775" t="n">
        <v>0</v>
      </c>
      <c r="O2775" t="n">
        <v>0</v>
      </c>
      <c r="P2775" t="n">
        <v>0</v>
      </c>
      <c r="Q2775" t="n">
        <v>0</v>
      </c>
      <c r="R2775" t="n">
        <v>0</v>
      </c>
      <c r="S2775" t="n">
        <v>0</v>
      </c>
      <c r="T2775" t="n">
        <v>0</v>
      </c>
      <c r="U2775" t="n">
        <v>0</v>
      </c>
      <c r="V2775" s="2" t="inlineStr"/>
    </row>
    <row r="2776" ht="15" customHeight="1">
      <c r="A2776" t="inlineStr">
        <is>
          <t>A 32693-2026</t>
        </is>
      </c>
      <c r="B2776" t="inlineStr">
        <is>
          <t>avverkningsanmälan</t>
        </is>
      </c>
      <c r="C2776" t="inlineStr">
        <is>
          <t>Föryngringsavverkning</t>
        </is>
      </c>
      <c r="D2776" s="1" t="n">
        <v>46240</v>
      </c>
      <c r="E2776" s="1" t="n">
        <v>46313</v>
      </c>
      <c r="F2776" t="inlineStr">
        <is>
          <t>SÖDERMANLANDS LÄN</t>
        </is>
      </c>
      <c r="G2776" t="inlineStr">
        <is>
          <t>FLEN</t>
        </is>
      </c>
      <c r="I2776" t="n">
        <v>9.5</v>
      </c>
      <c r="J2776" t="n">
        <v>0</v>
      </c>
      <c r="K2776" t="n">
        <v>0</v>
      </c>
      <c r="L2776" t="n">
        <v>0</v>
      </c>
      <c r="M2776" t="n">
        <v>0</v>
      </c>
      <c r="N2776" t="n">
        <v>0</v>
      </c>
      <c r="O2776" t="n">
        <v>0</v>
      </c>
      <c r="P2776" t="n">
        <v>0</v>
      </c>
      <c r="Q2776" t="n">
        <v>0</v>
      </c>
      <c r="R2776" t="n">
        <v>0</v>
      </c>
      <c r="S2776" t="n">
        <v>0</v>
      </c>
      <c r="T2776" t="n">
        <v>0</v>
      </c>
      <c r="U2776" t="n">
        <v>0</v>
      </c>
      <c r="V2776" s="2" t="inlineStr"/>
    </row>
    <row r="2777" ht="15" customHeight="1">
      <c r="A2777" t="inlineStr">
        <is>
          <t>A 9899-2023</t>
        </is>
      </c>
      <c r="B2777" t="inlineStr">
        <is>
          <t>avverkningsanmälan</t>
        </is>
      </c>
      <c r="C2777" t="inlineStr">
        <is>
          <t>Föryngringsavverkning</t>
        </is>
      </c>
      <c r="D2777" s="1" t="n">
        <v>44985</v>
      </c>
      <c r="E2777" s="1" t="n">
        <v>46313</v>
      </c>
      <c r="F2777" t="inlineStr">
        <is>
          <t>SÖDERMANLANDS LÄN</t>
        </is>
      </c>
      <c r="G2777" t="inlineStr">
        <is>
          <t>KATRINEHOLM</t>
        </is>
      </c>
      <c r="H2777" t="inlineStr">
        <is>
          <t>Allmännings- och besparingsskogar</t>
        </is>
      </c>
      <c r="I2777" t="n">
        <v>8.300000000000001</v>
      </c>
      <c r="J2777" t="n">
        <v>0</v>
      </c>
      <c r="K2777" t="n">
        <v>0</v>
      </c>
      <c r="L2777" t="n">
        <v>0</v>
      </c>
      <c r="M2777" t="n">
        <v>0</v>
      </c>
      <c r="N2777" t="n">
        <v>0</v>
      </c>
      <c r="O2777" t="n">
        <v>0</v>
      </c>
      <c r="P2777" t="n">
        <v>0</v>
      </c>
      <c r="Q2777" t="n">
        <v>0</v>
      </c>
      <c r="R2777" t="n">
        <v>0</v>
      </c>
      <c r="S2777" t="n">
        <v>0</v>
      </c>
      <c r="T2777" t="n">
        <v>0</v>
      </c>
      <c r="U2777" t="n">
        <v>0</v>
      </c>
      <c r="V2777" s="2" t="inlineStr"/>
    </row>
    <row r="2778" ht="15" customHeight="1">
      <c r="A2778" t="inlineStr">
        <is>
          <t>A 26663-2022</t>
        </is>
      </c>
      <c r="B2778" t="inlineStr">
        <is>
          <t>avverkningsanmälan</t>
        </is>
      </c>
      <c r="C2778" t="inlineStr">
        <is>
          <t>Föryngringsavverkning</t>
        </is>
      </c>
      <c r="D2778" s="1" t="n">
        <v>44739</v>
      </c>
      <c r="E2778" s="1" t="n">
        <v>46313</v>
      </c>
      <c r="F2778" t="inlineStr">
        <is>
          <t>SÖDERMANLANDS LÄN</t>
        </is>
      </c>
      <c r="G2778" t="inlineStr">
        <is>
          <t>FLEN</t>
        </is>
      </c>
      <c r="I2778" t="n">
        <v>5.9</v>
      </c>
      <c r="J2778" t="n">
        <v>0</v>
      </c>
      <c r="K2778" t="n">
        <v>0</v>
      </c>
      <c r="L2778" t="n">
        <v>0</v>
      </c>
      <c r="M2778" t="n">
        <v>0</v>
      </c>
      <c r="N2778" t="n">
        <v>0</v>
      </c>
      <c r="O2778" t="n">
        <v>0</v>
      </c>
      <c r="P2778" t="n">
        <v>0</v>
      </c>
      <c r="Q2778" t="n">
        <v>0</v>
      </c>
      <c r="R2778" t="n">
        <v>0</v>
      </c>
      <c r="S2778" t="n">
        <v>0</v>
      </c>
      <c r="T2778" t="n">
        <v>0</v>
      </c>
      <c r="U2778" t="n">
        <v>0</v>
      </c>
      <c r="V2778" s="2" t="inlineStr"/>
    </row>
    <row r="2779" ht="15" customHeight="1">
      <c r="A2779" t="inlineStr">
        <is>
          <t>A 34263-2023</t>
        </is>
      </c>
      <c r="B2779" t="inlineStr">
        <is>
          <t>avverkningsanmälan</t>
        </is>
      </c>
      <c r="C2779" t="inlineStr">
        <is>
          <t>Föryngringsavverkning</t>
        </is>
      </c>
      <c r="D2779" s="1" t="n">
        <v>45138</v>
      </c>
      <c r="E2779" s="1" t="n">
        <v>46313</v>
      </c>
      <c r="F2779" t="inlineStr">
        <is>
          <t>SÖDERMANLANDS LÄN</t>
        </is>
      </c>
      <c r="G2779" t="inlineStr">
        <is>
          <t>KATRINEHOLM</t>
        </is>
      </c>
      <c r="I2779" t="n">
        <v>0.7</v>
      </c>
      <c r="J2779" t="n">
        <v>0</v>
      </c>
      <c r="K2779" t="n">
        <v>0</v>
      </c>
      <c r="L2779" t="n">
        <v>0</v>
      </c>
      <c r="M2779" t="n">
        <v>0</v>
      </c>
      <c r="N2779" t="n">
        <v>0</v>
      </c>
      <c r="O2779" t="n">
        <v>0</v>
      </c>
      <c r="P2779" t="n">
        <v>0</v>
      </c>
      <c r="Q2779" t="n">
        <v>0</v>
      </c>
      <c r="R2779" t="n">
        <v>0</v>
      </c>
      <c r="S2779" t="n">
        <v>0</v>
      </c>
      <c r="T2779" t="n">
        <v>0</v>
      </c>
      <c r="U2779" t="n">
        <v>0</v>
      </c>
      <c r="V2779" s="2" t="inlineStr"/>
    </row>
    <row r="2780" ht="15" customHeight="1">
      <c r="A2780" t="inlineStr">
        <is>
          <t>A 23716-2024</t>
        </is>
      </c>
      <c r="B2780" t="inlineStr">
        <is>
          <t>avverkningsanmälan</t>
        </is>
      </c>
      <c r="C2780" t="inlineStr">
        <is>
          <t>Föryngringsavverkning</t>
        </is>
      </c>
      <c r="D2780" s="1" t="n">
        <v>45454</v>
      </c>
      <c r="E2780" s="1" t="n">
        <v>46313</v>
      </c>
      <c r="F2780" t="inlineStr">
        <is>
          <t>SÖDERMANLANDS LÄN</t>
        </is>
      </c>
      <c r="G2780" t="inlineStr">
        <is>
          <t>FLEN</t>
        </is>
      </c>
      <c r="I2780" t="n">
        <v>2</v>
      </c>
      <c r="J2780" t="n">
        <v>0</v>
      </c>
      <c r="K2780" t="n">
        <v>0</v>
      </c>
      <c r="L2780" t="n">
        <v>0</v>
      </c>
      <c r="M2780" t="n">
        <v>0</v>
      </c>
      <c r="N2780" t="n">
        <v>0</v>
      </c>
      <c r="O2780" t="n">
        <v>0</v>
      </c>
      <c r="P2780" t="n">
        <v>0</v>
      </c>
      <c r="Q2780" t="n">
        <v>0</v>
      </c>
      <c r="R2780" t="n">
        <v>0</v>
      </c>
      <c r="S2780" t="n">
        <v>0</v>
      </c>
      <c r="T2780" t="n">
        <v>0</v>
      </c>
      <c r="U2780" t="n">
        <v>0</v>
      </c>
      <c r="V2780" s="2" t="inlineStr"/>
    </row>
    <row r="2781" ht="15" customHeight="1">
      <c r="A2781" t="inlineStr">
        <is>
          <t>A 55699-2024</t>
        </is>
      </c>
      <c r="B2781" t="inlineStr">
        <is>
          <t>avverkningsanmälan</t>
        </is>
      </c>
      <c r="C2781" t="inlineStr">
        <is>
          <t>Föryngringsavverkning</t>
        </is>
      </c>
      <c r="D2781" s="1" t="n">
        <v>45622</v>
      </c>
      <c r="E2781" s="1" t="n">
        <v>46313</v>
      </c>
      <c r="F2781" t="inlineStr">
        <is>
          <t>SÖDERMANLANDS LÄN</t>
        </is>
      </c>
      <c r="G2781" t="inlineStr">
        <is>
          <t>ESKILSTUNA</t>
        </is>
      </c>
      <c r="I2781" t="n">
        <v>1.4</v>
      </c>
      <c r="J2781" t="n">
        <v>0</v>
      </c>
      <c r="K2781" t="n">
        <v>0</v>
      </c>
      <c r="L2781" t="n">
        <v>0</v>
      </c>
      <c r="M2781" t="n">
        <v>0</v>
      </c>
      <c r="N2781" t="n">
        <v>0</v>
      </c>
      <c r="O2781" t="n">
        <v>0</v>
      </c>
      <c r="P2781" t="n">
        <v>0</v>
      </c>
      <c r="Q2781" t="n">
        <v>0</v>
      </c>
      <c r="R2781" t="n">
        <v>0</v>
      </c>
      <c r="S2781" t="n">
        <v>0</v>
      </c>
      <c r="T2781" t="n">
        <v>0</v>
      </c>
      <c r="U2781" t="n">
        <v>0</v>
      </c>
      <c r="V2781" s="2" t="inlineStr"/>
    </row>
    <row r="2782" ht="15" customHeight="1">
      <c r="A2782" t="inlineStr">
        <is>
          <t>A 56322-2023</t>
        </is>
      </c>
      <c r="B2782" t="inlineStr">
        <is>
          <t>avverkningsanmälan</t>
        </is>
      </c>
      <c r="C2782" t="inlineStr">
        <is>
          <t>Avverkning för annat ändamål</t>
        </is>
      </c>
      <c r="D2782" s="1" t="n">
        <v>45243</v>
      </c>
      <c r="E2782" s="1" t="n">
        <v>46313</v>
      </c>
      <c r="F2782" t="inlineStr">
        <is>
          <t>SÖDERMANLANDS LÄN</t>
        </is>
      </c>
      <c r="G2782" t="inlineStr">
        <is>
          <t>NYKÖPING</t>
        </is>
      </c>
      <c r="H2782" t="inlineStr">
        <is>
          <t>Kommuner</t>
        </is>
      </c>
      <c r="I2782" t="n">
        <v>0.3</v>
      </c>
      <c r="J2782" t="n">
        <v>0</v>
      </c>
      <c r="K2782" t="n">
        <v>0</v>
      </c>
      <c r="L2782" t="n">
        <v>0</v>
      </c>
      <c r="M2782" t="n">
        <v>0</v>
      </c>
      <c r="N2782" t="n">
        <v>0</v>
      </c>
      <c r="O2782" t="n">
        <v>0</v>
      </c>
      <c r="P2782" t="n">
        <v>0</v>
      </c>
      <c r="Q2782" t="n">
        <v>0</v>
      </c>
      <c r="R2782" t="n">
        <v>0</v>
      </c>
      <c r="S2782" t="n">
        <v>0</v>
      </c>
      <c r="T2782" t="n">
        <v>0</v>
      </c>
      <c r="U2782" t="n">
        <v>0</v>
      </c>
      <c r="V2782" s="2" t="inlineStr"/>
    </row>
    <row r="2783" ht="15" customHeight="1">
      <c r="A2783" t="inlineStr">
        <is>
          <t>A 65349-2021</t>
        </is>
      </c>
      <c r="B2783" t="inlineStr">
        <is>
          <t>avverkningsanmälan</t>
        </is>
      </c>
      <c r="C2783" t="inlineStr">
        <is>
          <t>Föryngringsavverkning</t>
        </is>
      </c>
      <c r="D2783" s="1" t="n">
        <v>44515</v>
      </c>
      <c r="E2783" s="1" t="n">
        <v>46313</v>
      </c>
      <c r="F2783" t="inlineStr">
        <is>
          <t>SÖDERMANLANDS LÄN</t>
        </is>
      </c>
      <c r="G2783" t="inlineStr">
        <is>
          <t>ESKILSTUNA</t>
        </is>
      </c>
      <c r="I2783" t="n">
        <v>1.1</v>
      </c>
      <c r="J2783" t="n">
        <v>0</v>
      </c>
      <c r="K2783" t="n">
        <v>0</v>
      </c>
      <c r="L2783" t="n">
        <v>0</v>
      </c>
      <c r="M2783" t="n">
        <v>0</v>
      </c>
      <c r="N2783" t="n">
        <v>0</v>
      </c>
      <c r="O2783" t="n">
        <v>0</v>
      </c>
      <c r="P2783" t="n">
        <v>0</v>
      </c>
      <c r="Q2783" t="n">
        <v>0</v>
      </c>
      <c r="R2783" t="n">
        <v>0</v>
      </c>
      <c r="S2783" t="n">
        <v>0</v>
      </c>
      <c r="T2783" t="n">
        <v>0</v>
      </c>
      <c r="U2783" t="n">
        <v>0</v>
      </c>
      <c r="V2783" s="2" t="inlineStr"/>
    </row>
    <row r="2784" ht="15" customHeight="1">
      <c r="A2784" t="inlineStr">
        <is>
          <t>A 38593-2026</t>
        </is>
      </c>
      <c r="B2784" t="inlineStr">
        <is>
          <t>avverkningsanmälan</t>
        </is>
      </c>
      <c r="C2784" t="inlineStr">
        <is>
          <t>Föryngringsavverkning</t>
        </is>
      </c>
      <c r="D2784" s="1" t="n">
        <v>46283</v>
      </c>
      <c r="E2784" s="1" t="n">
        <v>46313</v>
      </c>
      <c r="F2784" t="inlineStr">
        <is>
          <t>SÖDERMANLANDS LÄN</t>
        </is>
      </c>
      <c r="G2784" t="inlineStr">
        <is>
          <t>NYKÖPING</t>
        </is>
      </c>
      <c r="I2784" t="n">
        <v>13.9</v>
      </c>
      <c r="J2784" t="n">
        <v>0</v>
      </c>
      <c r="K2784" t="n">
        <v>0</v>
      </c>
      <c r="L2784" t="n">
        <v>0</v>
      </c>
      <c r="M2784" t="n">
        <v>0</v>
      </c>
      <c r="N2784" t="n">
        <v>0</v>
      </c>
      <c r="O2784" t="n">
        <v>0</v>
      </c>
      <c r="P2784" t="n">
        <v>0</v>
      </c>
      <c r="Q2784" t="n">
        <v>0</v>
      </c>
      <c r="R2784" t="n">
        <v>0</v>
      </c>
      <c r="S2784" t="n">
        <v>0</v>
      </c>
      <c r="T2784" t="n">
        <v>0</v>
      </c>
      <c r="U2784" t="n">
        <v>0</v>
      </c>
      <c r="V2784" s="2" t="inlineStr"/>
    </row>
    <row r="2785" ht="15" customHeight="1">
      <c r="A2785" t="inlineStr">
        <is>
          <t>A 32875-2022</t>
        </is>
      </c>
      <c r="B2785" t="inlineStr">
        <is>
          <t>avverkningsanmälan</t>
        </is>
      </c>
      <c r="C2785" t="inlineStr">
        <is>
          <t>Föryngringsavverkning</t>
        </is>
      </c>
      <c r="D2785" s="1" t="n">
        <v>44784</v>
      </c>
      <c r="E2785" s="1" t="n">
        <v>46313</v>
      </c>
      <c r="F2785" t="inlineStr">
        <is>
          <t>SÖDERMANLANDS LÄN</t>
        </is>
      </c>
      <c r="G2785" t="inlineStr">
        <is>
          <t>NYKÖPING</t>
        </is>
      </c>
      <c r="I2785" t="n">
        <v>4</v>
      </c>
      <c r="J2785" t="n">
        <v>0</v>
      </c>
      <c r="K2785" t="n">
        <v>0</v>
      </c>
      <c r="L2785" t="n">
        <v>0</v>
      </c>
      <c r="M2785" t="n">
        <v>0</v>
      </c>
      <c r="N2785" t="n">
        <v>0</v>
      </c>
      <c r="O2785" t="n">
        <v>0</v>
      </c>
      <c r="P2785" t="n">
        <v>0</v>
      </c>
      <c r="Q2785" t="n">
        <v>0</v>
      </c>
      <c r="R2785" t="n">
        <v>0</v>
      </c>
      <c r="S2785" t="n">
        <v>0</v>
      </c>
      <c r="T2785" t="n">
        <v>0</v>
      </c>
      <c r="U2785" t="n">
        <v>0</v>
      </c>
      <c r="V2785" s="2" t="inlineStr"/>
    </row>
    <row r="2786" ht="15" customHeight="1">
      <c r="A2786" t="inlineStr">
        <is>
          <t>A 72666-2021</t>
        </is>
      </c>
      <c r="B2786" t="inlineStr">
        <is>
          <t>avverkningsanmälan</t>
        </is>
      </c>
      <c r="C2786" t="inlineStr">
        <is>
          <t>Föryngringsavverkning</t>
        </is>
      </c>
      <c r="D2786" s="1" t="n">
        <v>44546</v>
      </c>
      <c r="E2786" s="1" t="n">
        <v>46313</v>
      </c>
      <c r="F2786" t="inlineStr">
        <is>
          <t>SÖDERMANLANDS LÄN</t>
        </is>
      </c>
      <c r="G2786" t="inlineStr">
        <is>
          <t>NYKÖPING</t>
        </is>
      </c>
      <c r="H2786" t="inlineStr">
        <is>
          <t>Holmen skog AB</t>
        </is>
      </c>
      <c r="I2786" t="n">
        <v>0.6</v>
      </c>
      <c r="J2786" t="n">
        <v>0</v>
      </c>
      <c r="K2786" t="n">
        <v>0</v>
      </c>
      <c r="L2786" t="n">
        <v>0</v>
      </c>
      <c r="M2786" t="n">
        <v>0</v>
      </c>
      <c r="N2786" t="n">
        <v>0</v>
      </c>
      <c r="O2786" t="n">
        <v>0</v>
      </c>
      <c r="P2786" t="n">
        <v>0</v>
      </c>
      <c r="Q2786" t="n">
        <v>0</v>
      </c>
      <c r="R2786" t="n">
        <v>0</v>
      </c>
      <c r="S2786" t="n">
        <v>0</v>
      </c>
      <c r="T2786" t="n">
        <v>0</v>
      </c>
      <c r="U2786" t="n">
        <v>0</v>
      </c>
      <c r="V2786" s="2" t="inlineStr"/>
    </row>
    <row r="2787" ht="15" customHeight="1">
      <c r="A2787" t="inlineStr">
        <is>
          <t>A 55863-2022</t>
        </is>
      </c>
      <c r="B2787" t="inlineStr">
        <is>
          <t>avverkningsanmälan</t>
        </is>
      </c>
      <c r="C2787" t="inlineStr">
        <is>
          <t>Föryngringsavverkning</t>
        </is>
      </c>
      <c r="D2787" s="1" t="n">
        <v>44888</v>
      </c>
      <c r="E2787" s="1" t="n">
        <v>46313</v>
      </c>
      <c r="F2787" t="inlineStr">
        <is>
          <t>SÖDERMANLANDS LÄN</t>
        </is>
      </c>
      <c r="G2787" t="inlineStr">
        <is>
          <t>KATRINEHOLM</t>
        </is>
      </c>
      <c r="I2787" t="n">
        <v>9.300000000000001</v>
      </c>
      <c r="J2787" t="n">
        <v>0</v>
      </c>
      <c r="K2787" t="n">
        <v>0</v>
      </c>
      <c r="L2787" t="n">
        <v>0</v>
      </c>
      <c r="M2787" t="n">
        <v>0</v>
      </c>
      <c r="N2787" t="n">
        <v>0</v>
      </c>
      <c r="O2787" t="n">
        <v>0</v>
      </c>
      <c r="P2787" t="n">
        <v>0</v>
      </c>
      <c r="Q2787" t="n">
        <v>0</v>
      </c>
      <c r="R2787" t="n">
        <v>0</v>
      </c>
      <c r="S2787" t="n">
        <v>0</v>
      </c>
      <c r="T2787" t="n">
        <v>0</v>
      </c>
      <c r="U2787" t="n">
        <v>0</v>
      </c>
      <c r="V2787" s="2" t="inlineStr"/>
    </row>
    <row r="2788" ht="15" customHeight="1">
      <c r="A2788" t="inlineStr">
        <is>
          <t>A 55865-2022</t>
        </is>
      </c>
      <c r="B2788" t="inlineStr">
        <is>
          <t>avverkningsanmälan</t>
        </is>
      </c>
      <c r="C2788" t="inlineStr">
        <is>
          <t>Föryngringsavverkning</t>
        </is>
      </c>
      <c r="D2788" s="1" t="n">
        <v>44888</v>
      </c>
      <c r="E2788" s="1" t="n">
        <v>46313</v>
      </c>
      <c r="F2788" t="inlineStr">
        <is>
          <t>SÖDERMANLANDS LÄN</t>
        </is>
      </c>
      <c r="G2788" t="inlineStr">
        <is>
          <t>KATRINEHOLM</t>
        </is>
      </c>
      <c r="I2788" t="n">
        <v>9.1</v>
      </c>
      <c r="J2788" t="n">
        <v>0</v>
      </c>
      <c r="K2788" t="n">
        <v>0</v>
      </c>
      <c r="L2788" t="n">
        <v>0</v>
      </c>
      <c r="M2788" t="n">
        <v>0</v>
      </c>
      <c r="N2788" t="n">
        <v>0</v>
      </c>
      <c r="O2788" t="n">
        <v>0</v>
      </c>
      <c r="P2788" t="n">
        <v>0</v>
      </c>
      <c r="Q2788" t="n">
        <v>0</v>
      </c>
      <c r="R2788" t="n">
        <v>0</v>
      </c>
      <c r="S2788" t="n">
        <v>0</v>
      </c>
      <c r="T2788" t="n">
        <v>0</v>
      </c>
      <c r="U2788" t="n">
        <v>0</v>
      </c>
      <c r="V2788" s="2" t="inlineStr"/>
    </row>
    <row r="2789" ht="15" customHeight="1">
      <c r="A2789" t="inlineStr">
        <is>
          <t>A 28768-2024</t>
        </is>
      </c>
      <c r="B2789" t="inlineStr">
        <is>
          <t>avverkningsanmälan</t>
        </is>
      </c>
      <c r="C2789" t="inlineStr">
        <is>
          <t>Föryngringsavverkning</t>
        </is>
      </c>
      <c r="D2789" s="1" t="n">
        <v>45478</v>
      </c>
      <c r="E2789" s="1" t="n">
        <v>46313</v>
      </c>
      <c r="F2789" t="inlineStr">
        <is>
          <t>SÖDERMANLANDS LÄN</t>
        </is>
      </c>
      <c r="G2789" t="inlineStr">
        <is>
          <t>FLEN</t>
        </is>
      </c>
      <c r="I2789" t="n">
        <v>5.2</v>
      </c>
      <c r="J2789" t="n">
        <v>0</v>
      </c>
      <c r="K2789" t="n">
        <v>0</v>
      </c>
      <c r="L2789" t="n">
        <v>0</v>
      </c>
      <c r="M2789" t="n">
        <v>0</v>
      </c>
      <c r="N2789" t="n">
        <v>0</v>
      </c>
      <c r="O2789" t="n">
        <v>0</v>
      </c>
      <c r="P2789" t="n">
        <v>0</v>
      </c>
      <c r="Q2789" t="n">
        <v>0</v>
      </c>
      <c r="R2789" t="n">
        <v>0</v>
      </c>
      <c r="S2789" t="n">
        <v>0</v>
      </c>
      <c r="T2789" t="n">
        <v>0</v>
      </c>
      <c r="U2789" t="n">
        <v>0</v>
      </c>
      <c r="V2789" s="2" t="inlineStr"/>
    </row>
    <row r="2790" ht="15" customHeight="1">
      <c r="A2790" t="inlineStr">
        <is>
          <t>A 10341-2022</t>
        </is>
      </c>
      <c r="B2790" t="inlineStr">
        <is>
          <t>avverkningsanmälan</t>
        </is>
      </c>
      <c r="C2790" t="inlineStr">
        <is>
          <t>Föryngringsavverkning</t>
        </is>
      </c>
      <c r="D2790" s="1" t="n">
        <v>44623</v>
      </c>
      <c r="E2790" s="1" t="n">
        <v>46313</v>
      </c>
      <c r="F2790" t="inlineStr">
        <is>
          <t>SÖDERMANLANDS LÄN</t>
        </is>
      </c>
      <c r="G2790" t="inlineStr">
        <is>
          <t>KATRINEHOLM</t>
        </is>
      </c>
      <c r="I2790" t="n">
        <v>2.3</v>
      </c>
      <c r="J2790" t="n">
        <v>0</v>
      </c>
      <c r="K2790" t="n">
        <v>0</v>
      </c>
      <c r="L2790" t="n">
        <v>0</v>
      </c>
      <c r="M2790" t="n">
        <v>0</v>
      </c>
      <c r="N2790" t="n">
        <v>0</v>
      </c>
      <c r="O2790" t="n">
        <v>0</v>
      </c>
      <c r="P2790" t="n">
        <v>0</v>
      </c>
      <c r="Q2790" t="n">
        <v>0</v>
      </c>
      <c r="R2790" t="n">
        <v>0</v>
      </c>
      <c r="S2790" t="n">
        <v>0</v>
      </c>
      <c r="T2790" t="n">
        <v>0</v>
      </c>
      <c r="U2790" t="n">
        <v>0</v>
      </c>
      <c r="V2790" s="2" t="inlineStr"/>
    </row>
    <row r="2791" ht="15" customHeight="1">
      <c r="A2791" t="inlineStr">
        <is>
          <t>A 9437-2022</t>
        </is>
      </c>
      <c r="B2791" t="inlineStr">
        <is>
          <t>avverkningsanmälan</t>
        </is>
      </c>
      <c r="C2791" t="inlineStr">
        <is>
          <t>Föryngringsavverkning</t>
        </is>
      </c>
      <c r="D2791" s="1" t="n">
        <v>44616</v>
      </c>
      <c r="E2791" s="1" t="n">
        <v>46313</v>
      </c>
      <c r="F2791" t="inlineStr">
        <is>
          <t>SÖDERMANLANDS LÄN</t>
        </is>
      </c>
      <c r="G2791" t="inlineStr">
        <is>
          <t>KATRINEHOLM</t>
        </is>
      </c>
      <c r="I2791" t="n">
        <v>9.199999999999999</v>
      </c>
      <c r="J2791" t="n">
        <v>0</v>
      </c>
      <c r="K2791" t="n">
        <v>0</v>
      </c>
      <c r="L2791" t="n">
        <v>0</v>
      </c>
      <c r="M2791" t="n">
        <v>0</v>
      </c>
      <c r="N2791" t="n">
        <v>0</v>
      </c>
      <c r="O2791" t="n">
        <v>0</v>
      </c>
      <c r="P2791" t="n">
        <v>0</v>
      </c>
      <c r="Q2791" t="n">
        <v>0</v>
      </c>
      <c r="R2791" t="n">
        <v>0</v>
      </c>
      <c r="S2791" t="n">
        <v>0</v>
      </c>
      <c r="T2791" t="n">
        <v>0</v>
      </c>
      <c r="U2791" t="n">
        <v>0</v>
      </c>
      <c r="V2791" s="2" t="inlineStr"/>
    </row>
    <row r="2792" ht="15" customHeight="1">
      <c r="A2792" t="inlineStr">
        <is>
          <t>A 22345-2023</t>
        </is>
      </c>
      <c r="B2792" t="inlineStr">
        <is>
          <t>avverkningsanmälan</t>
        </is>
      </c>
      <c r="C2792" t="inlineStr">
        <is>
          <t>Föryngringsavverkning</t>
        </is>
      </c>
      <c r="D2792" s="1" t="n">
        <v>45070</v>
      </c>
      <c r="E2792" s="1" t="n">
        <v>46313</v>
      </c>
      <c r="F2792" t="inlineStr">
        <is>
          <t>SÖDERMANLANDS LÄN</t>
        </is>
      </c>
      <c r="G2792" t="inlineStr">
        <is>
          <t>KATRINEHOLM</t>
        </is>
      </c>
      <c r="H2792" t="inlineStr">
        <is>
          <t>Holmen skog AB</t>
        </is>
      </c>
      <c r="I2792" t="n">
        <v>2</v>
      </c>
      <c r="J2792" t="n">
        <v>0</v>
      </c>
      <c r="K2792" t="n">
        <v>0</v>
      </c>
      <c r="L2792" t="n">
        <v>0</v>
      </c>
      <c r="M2792" t="n">
        <v>0</v>
      </c>
      <c r="N2792" t="n">
        <v>0</v>
      </c>
      <c r="O2792" t="n">
        <v>0</v>
      </c>
      <c r="P2792" t="n">
        <v>0</v>
      </c>
      <c r="Q2792" t="n">
        <v>0</v>
      </c>
      <c r="R2792" t="n">
        <v>0</v>
      </c>
      <c r="S2792" t="n">
        <v>0</v>
      </c>
      <c r="T2792" t="n">
        <v>0</v>
      </c>
      <c r="U2792" t="n">
        <v>0</v>
      </c>
      <c r="V2792" s="2" t="inlineStr"/>
    </row>
    <row r="2793" ht="15" customHeight="1">
      <c r="A2793" t="inlineStr">
        <is>
          <t>A 28675-2024</t>
        </is>
      </c>
      <c r="B2793" t="inlineStr">
        <is>
          <t>avverkningsanmälan</t>
        </is>
      </c>
      <c r="C2793" t="inlineStr">
        <is>
          <t>Föryngringsavverkning</t>
        </is>
      </c>
      <c r="D2793" s="1" t="n">
        <v>45478</v>
      </c>
      <c r="E2793" s="1" t="n">
        <v>46313</v>
      </c>
      <c r="F2793" t="inlineStr">
        <is>
          <t>SÖDERMANLANDS LÄN</t>
        </is>
      </c>
      <c r="G2793" t="inlineStr">
        <is>
          <t>KATRINEHOLM</t>
        </is>
      </c>
      <c r="H2793" t="inlineStr">
        <is>
          <t>Övriga Aktiebolag</t>
        </is>
      </c>
      <c r="I2793" t="n">
        <v>3.5</v>
      </c>
      <c r="J2793" t="n">
        <v>0</v>
      </c>
      <c r="K2793" t="n">
        <v>0</v>
      </c>
      <c r="L2793" t="n">
        <v>0</v>
      </c>
      <c r="M2793" t="n">
        <v>0</v>
      </c>
      <c r="N2793" t="n">
        <v>0</v>
      </c>
      <c r="O2793" t="n">
        <v>0</v>
      </c>
      <c r="P2793" t="n">
        <v>0</v>
      </c>
      <c r="Q2793" t="n">
        <v>0</v>
      </c>
      <c r="R2793" t="n">
        <v>0</v>
      </c>
      <c r="S2793" t="n">
        <v>0</v>
      </c>
      <c r="T2793" t="n">
        <v>0</v>
      </c>
      <c r="U2793" t="n">
        <v>0</v>
      </c>
      <c r="V2793" s="2" t="inlineStr"/>
    </row>
    <row r="2794" ht="15" customHeight="1">
      <c r="A2794" t="inlineStr">
        <is>
          <t>A 32584-2026</t>
        </is>
      </c>
      <c r="B2794" t="inlineStr">
        <is>
          <t>avverkningsanmälan</t>
        </is>
      </c>
      <c r="C2794" t="inlineStr">
        <is>
          <t>Föryngringsavverkning</t>
        </is>
      </c>
      <c r="D2794" s="1" t="n">
        <v>46240</v>
      </c>
      <c r="E2794" s="1" t="n">
        <v>46313</v>
      </c>
      <c r="F2794" t="inlineStr">
        <is>
          <t>SÖDERMANLANDS LÄN</t>
        </is>
      </c>
      <c r="G2794" t="inlineStr">
        <is>
          <t>NYKÖPING</t>
        </is>
      </c>
      <c r="I2794" t="n">
        <v>1.5</v>
      </c>
      <c r="J2794" t="n">
        <v>0</v>
      </c>
      <c r="K2794" t="n">
        <v>0</v>
      </c>
      <c r="L2794" t="n">
        <v>0</v>
      </c>
      <c r="M2794" t="n">
        <v>0</v>
      </c>
      <c r="N2794" t="n">
        <v>0</v>
      </c>
      <c r="O2794" t="n">
        <v>0</v>
      </c>
      <c r="P2794" t="n">
        <v>0</v>
      </c>
      <c r="Q2794" t="n">
        <v>0</v>
      </c>
      <c r="R2794" t="n">
        <v>0</v>
      </c>
      <c r="S2794" t="n">
        <v>0</v>
      </c>
      <c r="T2794" t="n">
        <v>0</v>
      </c>
      <c r="U2794" t="n">
        <v>0</v>
      </c>
      <c r="V2794" s="2" t="inlineStr"/>
    </row>
    <row r="2795" ht="15" customHeight="1">
      <c r="A2795" t="inlineStr">
        <is>
          <t>A 15917-2022</t>
        </is>
      </c>
      <c r="B2795" t="inlineStr">
        <is>
          <t>avverkningsanmälan</t>
        </is>
      </c>
      <c r="C2795" t="inlineStr">
        <is>
          <t>Föryngringsavverkning</t>
        </is>
      </c>
      <c r="D2795" s="1" t="n">
        <v>44664</v>
      </c>
      <c r="E2795" s="1" t="n">
        <v>46313</v>
      </c>
      <c r="F2795" t="inlineStr">
        <is>
          <t>SÖDERMANLANDS LÄN</t>
        </is>
      </c>
      <c r="G2795" t="inlineStr">
        <is>
          <t>ESKILSTUNA</t>
        </is>
      </c>
      <c r="I2795" t="n">
        <v>1.6</v>
      </c>
      <c r="J2795" t="n">
        <v>0</v>
      </c>
      <c r="K2795" t="n">
        <v>0</v>
      </c>
      <c r="L2795" t="n">
        <v>0</v>
      </c>
      <c r="M2795" t="n">
        <v>0</v>
      </c>
      <c r="N2795" t="n">
        <v>0</v>
      </c>
      <c r="O2795" t="n">
        <v>0</v>
      </c>
      <c r="P2795" t="n">
        <v>0</v>
      </c>
      <c r="Q2795" t="n">
        <v>0</v>
      </c>
      <c r="R2795" t="n">
        <v>0</v>
      </c>
      <c r="S2795" t="n">
        <v>0</v>
      </c>
      <c r="T2795" t="n">
        <v>0</v>
      </c>
      <c r="U2795" t="n">
        <v>0</v>
      </c>
      <c r="V2795" s="2" t="inlineStr"/>
    </row>
    <row r="2796" ht="15" customHeight="1">
      <c r="A2796" t="inlineStr">
        <is>
          <t>A 38594-2026</t>
        </is>
      </c>
      <c r="B2796" t="inlineStr">
        <is>
          <t>avverkningsanmälan</t>
        </is>
      </c>
      <c r="C2796" t="inlineStr">
        <is>
          <t>Föryngringsavverkning</t>
        </is>
      </c>
      <c r="D2796" s="1" t="n">
        <v>46283</v>
      </c>
      <c r="E2796" s="1" t="n">
        <v>46313</v>
      </c>
      <c r="F2796" t="inlineStr">
        <is>
          <t>SÖDERMANLANDS LÄN</t>
        </is>
      </c>
      <c r="G2796" t="inlineStr">
        <is>
          <t>FLEN</t>
        </is>
      </c>
      <c r="I2796" t="n">
        <v>2.8</v>
      </c>
      <c r="J2796" t="n">
        <v>0</v>
      </c>
      <c r="K2796" t="n">
        <v>0</v>
      </c>
      <c r="L2796" t="n">
        <v>0</v>
      </c>
      <c r="M2796" t="n">
        <v>0</v>
      </c>
      <c r="N2796" t="n">
        <v>0</v>
      </c>
      <c r="O2796" t="n">
        <v>0</v>
      </c>
      <c r="P2796" t="n">
        <v>0</v>
      </c>
      <c r="Q2796" t="n">
        <v>0</v>
      </c>
      <c r="R2796" t="n">
        <v>0</v>
      </c>
      <c r="S2796" t="n">
        <v>0</v>
      </c>
      <c r="T2796" t="n">
        <v>0</v>
      </c>
      <c r="U2796" t="n">
        <v>0</v>
      </c>
      <c r="V2796" s="2" t="inlineStr"/>
    </row>
    <row r="2797" ht="15" customHeight="1">
      <c r="A2797" t="inlineStr">
        <is>
          <t>A 38410-2022</t>
        </is>
      </c>
      <c r="B2797" t="inlineStr">
        <is>
          <t>avverkningsanmälan</t>
        </is>
      </c>
      <c r="C2797" t="inlineStr">
        <is>
          <t>Föryngringsavverkning</t>
        </is>
      </c>
      <c r="D2797" s="1" t="n">
        <v>44812</v>
      </c>
      <c r="E2797" s="1" t="n">
        <v>46313</v>
      </c>
      <c r="F2797" t="inlineStr">
        <is>
          <t>SÖDERMANLANDS LÄN</t>
        </is>
      </c>
      <c r="G2797" t="inlineStr">
        <is>
          <t>NYKÖPING</t>
        </is>
      </c>
      <c r="I2797" t="n">
        <v>3.4</v>
      </c>
      <c r="J2797" t="n">
        <v>0</v>
      </c>
      <c r="K2797" t="n">
        <v>0</v>
      </c>
      <c r="L2797" t="n">
        <v>0</v>
      </c>
      <c r="M2797" t="n">
        <v>0</v>
      </c>
      <c r="N2797" t="n">
        <v>0</v>
      </c>
      <c r="O2797" t="n">
        <v>0</v>
      </c>
      <c r="P2797" t="n">
        <v>0</v>
      </c>
      <c r="Q2797" t="n">
        <v>0</v>
      </c>
      <c r="R2797" t="n">
        <v>0</v>
      </c>
      <c r="S2797" t="n">
        <v>0</v>
      </c>
      <c r="T2797" t="n">
        <v>0</v>
      </c>
      <c r="U2797" t="n">
        <v>0</v>
      </c>
      <c r="V2797" s="2" t="inlineStr"/>
    </row>
    <row r="2798" ht="15" customHeight="1">
      <c r="A2798" t="inlineStr">
        <is>
          <t>A 33790-2024</t>
        </is>
      </c>
      <c r="B2798" t="inlineStr">
        <is>
          <t>avverkningsanmälan</t>
        </is>
      </c>
      <c r="C2798" t="inlineStr">
        <is>
          <t>Föryngringsavverkning</t>
        </is>
      </c>
      <c r="D2798" s="1" t="n">
        <v>45520</v>
      </c>
      <c r="E2798" s="1" t="n">
        <v>46313</v>
      </c>
      <c r="F2798" t="inlineStr">
        <is>
          <t>SÖDERMANLANDS LÄN</t>
        </is>
      </c>
      <c r="G2798" t="inlineStr">
        <is>
          <t>KATRINEHOLM</t>
        </is>
      </c>
      <c r="I2798" t="n">
        <v>14</v>
      </c>
      <c r="J2798" t="n">
        <v>0</v>
      </c>
      <c r="K2798" t="n">
        <v>0</v>
      </c>
      <c r="L2798" t="n">
        <v>0</v>
      </c>
      <c r="M2798" t="n">
        <v>0</v>
      </c>
      <c r="N2798" t="n">
        <v>0</v>
      </c>
      <c r="O2798" t="n">
        <v>0</v>
      </c>
      <c r="P2798" t="n">
        <v>0</v>
      </c>
      <c r="Q2798" t="n">
        <v>0</v>
      </c>
      <c r="R2798" t="n">
        <v>0</v>
      </c>
      <c r="S2798" t="n">
        <v>0</v>
      </c>
      <c r="T2798" t="n">
        <v>0</v>
      </c>
      <c r="U2798" t="n">
        <v>0</v>
      </c>
      <c r="V2798" s="2" t="inlineStr"/>
    </row>
    <row r="2799" ht="15" customHeight="1">
      <c r="A2799" t="inlineStr">
        <is>
          <t>A 38589-2026</t>
        </is>
      </c>
      <c r="B2799" t="inlineStr">
        <is>
          <t>avverkningsanmälan</t>
        </is>
      </c>
      <c r="C2799" t="inlineStr">
        <is>
          <t>Föryngringsavverkning</t>
        </is>
      </c>
      <c r="D2799" s="1" t="n">
        <v>46283</v>
      </c>
      <c r="E2799" s="1" t="n">
        <v>46313</v>
      </c>
      <c r="F2799" t="inlineStr">
        <is>
          <t>SÖDERMANLANDS LÄN</t>
        </is>
      </c>
      <c r="G2799" t="inlineStr">
        <is>
          <t>NYKÖPING</t>
        </is>
      </c>
      <c r="I2799" t="n">
        <v>1.4</v>
      </c>
      <c r="J2799" t="n">
        <v>0</v>
      </c>
      <c r="K2799" t="n">
        <v>0</v>
      </c>
      <c r="L2799" t="n">
        <v>0</v>
      </c>
      <c r="M2799" t="n">
        <v>0</v>
      </c>
      <c r="N2799" t="n">
        <v>0</v>
      </c>
      <c r="O2799" t="n">
        <v>0</v>
      </c>
      <c r="P2799" t="n">
        <v>0</v>
      </c>
      <c r="Q2799" t="n">
        <v>0</v>
      </c>
      <c r="R2799" t="n">
        <v>0</v>
      </c>
      <c r="S2799" t="n">
        <v>0</v>
      </c>
      <c r="T2799" t="n">
        <v>0</v>
      </c>
      <c r="U2799" t="n">
        <v>0</v>
      </c>
      <c r="V2799" s="2" t="inlineStr"/>
    </row>
    <row r="2800" ht="15" customHeight="1">
      <c r="A2800" t="inlineStr">
        <is>
          <t>A 27141-2025</t>
        </is>
      </c>
      <c r="B2800" t="inlineStr">
        <is>
          <t>avverkningsanmälan</t>
        </is>
      </c>
      <c r="C2800" t="inlineStr">
        <is>
          <t>Föryngringsavverkning</t>
        </is>
      </c>
      <c r="D2800" s="1" t="n">
        <v>45812</v>
      </c>
      <c r="E2800" s="1" t="n">
        <v>46313</v>
      </c>
      <c r="F2800" t="inlineStr">
        <is>
          <t>SÖDERMANLANDS LÄN</t>
        </is>
      </c>
      <c r="G2800" t="inlineStr">
        <is>
          <t>GNESTA</t>
        </is>
      </c>
      <c r="I2800" t="n">
        <v>1.7</v>
      </c>
      <c r="J2800" t="n">
        <v>0</v>
      </c>
      <c r="K2800" t="n">
        <v>0</v>
      </c>
      <c r="L2800" t="n">
        <v>0</v>
      </c>
      <c r="M2800" t="n">
        <v>0</v>
      </c>
      <c r="N2800" t="n">
        <v>0</v>
      </c>
      <c r="O2800" t="n">
        <v>0</v>
      </c>
      <c r="P2800" t="n">
        <v>0</v>
      </c>
      <c r="Q2800" t="n">
        <v>0</v>
      </c>
      <c r="R2800" t="n">
        <v>0</v>
      </c>
      <c r="S2800" t="n">
        <v>0</v>
      </c>
      <c r="T2800" t="n">
        <v>0</v>
      </c>
      <c r="U2800" t="n">
        <v>0</v>
      </c>
      <c r="V2800" s="2" t="inlineStr"/>
    </row>
    <row r="2801" ht="15" customHeight="1">
      <c r="A2801" t="inlineStr">
        <is>
          <t>A 9074-2025</t>
        </is>
      </c>
      <c r="B2801" t="inlineStr">
        <is>
          <t>avverkningsanmälan</t>
        </is>
      </c>
      <c r="C2801" t="inlineStr">
        <is>
          <t>Föryngringsavverkning</t>
        </is>
      </c>
      <c r="D2801" s="1" t="n">
        <v>45713</v>
      </c>
      <c r="E2801" s="1" t="n">
        <v>46313</v>
      </c>
      <c r="F2801" t="inlineStr">
        <is>
          <t>SÖDERMANLANDS LÄN</t>
        </is>
      </c>
      <c r="G2801" t="inlineStr">
        <is>
          <t>FLEN</t>
        </is>
      </c>
      <c r="I2801" t="n">
        <v>0.6</v>
      </c>
      <c r="J2801" t="n">
        <v>0</v>
      </c>
      <c r="K2801" t="n">
        <v>0</v>
      </c>
      <c r="L2801" t="n">
        <v>0</v>
      </c>
      <c r="M2801" t="n">
        <v>0</v>
      </c>
      <c r="N2801" t="n">
        <v>0</v>
      </c>
      <c r="O2801" t="n">
        <v>0</v>
      </c>
      <c r="P2801" t="n">
        <v>0</v>
      </c>
      <c r="Q2801" t="n">
        <v>0</v>
      </c>
      <c r="R2801" t="n">
        <v>0</v>
      </c>
      <c r="S2801" t="n">
        <v>0</v>
      </c>
      <c r="T2801" t="n">
        <v>0</v>
      </c>
      <c r="U2801" t="n">
        <v>0</v>
      </c>
      <c r="V2801" s="2" t="inlineStr"/>
    </row>
    <row r="2802" ht="15" customHeight="1">
      <c r="A2802" t="inlineStr">
        <is>
          <t>A 4758-2025</t>
        </is>
      </c>
      <c r="B2802" t="inlineStr">
        <is>
          <t>avverkningsanmälan</t>
        </is>
      </c>
      <c r="C2802" t="inlineStr">
        <is>
          <t>Föryngringsavverkning</t>
        </is>
      </c>
      <c r="D2802" s="1" t="n">
        <v>45688</v>
      </c>
      <c r="E2802" s="1" t="n">
        <v>46313</v>
      </c>
      <c r="F2802" t="inlineStr">
        <is>
          <t>SÖDERMANLANDS LÄN</t>
        </is>
      </c>
      <c r="G2802" t="inlineStr">
        <is>
          <t>KATRINEHOLM</t>
        </is>
      </c>
      <c r="I2802" t="n">
        <v>2.3</v>
      </c>
      <c r="J2802" t="n">
        <v>0</v>
      </c>
      <c r="K2802" t="n">
        <v>0</v>
      </c>
      <c r="L2802" t="n">
        <v>0</v>
      </c>
      <c r="M2802" t="n">
        <v>0</v>
      </c>
      <c r="N2802" t="n">
        <v>0</v>
      </c>
      <c r="O2802" t="n">
        <v>0</v>
      </c>
      <c r="P2802" t="n">
        <v>0</v>
      </c>
      <c r="Q2802" t="n">
        <v>0</v>
      </c>
      <c r="R2802" t="n">
        <v>0</v>
      </c>
      <c r="S2802" t="n">
        <v>0</v>
      </c>
      <c r="T2802" t="n">
        <v>0</v>
      </c>
      <c r="U2802" t="n">
        <v>0</v>
      </c>
      <c r="V2802" s="2" t="inlineStr"/>
    </row>
    <row r="2803" ht="15" customHeight="1">
      <c r="A2803" t="inlineStr">
        <is>
          <t>A 2738-2022</t>
        </is>
      </c>
      <c r="B2803" t="inlineStr">
        <is>
          <t>avverkningsanmälan</t>
        </is>
      </c>
      <c r="C2803" t="inlineStr">
        <is>
          <t>Föryngringsavverkning</t>
        </is>
      </c>
      <c r="D2803" s="1" t="n">
        <v>44580</v>
      </c>
      <c r="E2803" s="1" t="n">
        <v>46313</v>
      </c>
      <c r="F2803" t="inlineStr">
        <is>
          <t>SÖDERMANLANDS LÄN</t>
        </is>
      </c>
      <c r="G2803" t="inlineStr">
        <is>
          <t>FLEN</t>
        </is>
      </c>
      <c r="I2803" t="n">
        <v>0.9</v>
      </c>
      <c r="J2803" t="n">
        <v>0</v>
      </c>
      <c r="K2803" t="n">
        <v>0</v>
      </c>
      <c r="L2803" t="n">
        <v>0</v>
      </c>
      <c r="M2803" t="n">
        <v>0</v>
      </c>
      <c r="N2803" t="n">
        <v>0</v>
      </c>
      <c r="O2803" t="n">
        <v>0</v>
      </c>
      <c r="P2803" t="n">
        <v>0</v>
      </c>
      <c r="Q2803" t="n">
        <v>0</v>
      </c>
      <c r="R2803" t="n">
        <v>0</v>
      </c>
      <c r="S2803" t="n">
        <v>0</v>
      </c>
      <c r="T2803" t="n">
        <v>0</v>
      </c>
      <c r="U2803" t="n">
        <v>0</v>
      </c>
      <c r="V2803" s="2" t="inlineStr"/>
    </row>
    <row r="2804" ht="15" customHeight="1">
      <c r="A2804" t="inlineStr">
        <is>
          <t>A 12712-2026</t>
        </is>
      </c>
      <c r="B2804" t="inlineStr">
        <is>
          <t>avverkningsanmälan</t>
        </is>
      </c>
      <c r="C2804" t="inlineStr">
        <is>
          <t>Föryngringsavverkning</t>
        </is>
      </c>
      <c r="D2804" s="1" t="n">
        <v>46091</v>
      </c>
      <c r="E2804" s="1" t="n">
        <v>46313</v>
      </c>
      <c r="F2804" t="inlineStr">
        <is>
          <t>SÖDERMANLANDS LÄN</t>
        </is>
      </c>
      <c r="G2804" t="inlineStr">
        <is>
          <t>FLEN</t>
        </is>
      </c>
      <c r="I2804" t="n">
        <v>1.8</v>
      </c>
      <c r="J2804" t="n">
        <v>0</v>
      </c>
      <c r="K2804" t="n">
        <v>0</v>
      </c>
      <c r="L2804" t="n">
        <v>0</v>
      </c>
      <c r="M2804" t="n">
        <v>0</v>
      </c>
      <c r="N2804" t="n">
        <v>0</v>
      </c>
      <c r="O2804" t="n">
        <v>0</v>
      </c>
      <c r="P2804" t="n">
        <v>0</v>
      </c>
      <c r="Q2804" t="n">
        <v>0</v>
      </c>
      <c r="R2804" t="n">
        <v>0</v>
      </c>
      <c r="S2804" t="n">
        <v>0</v>
      </c>
      <c r="T2804" t="n">
        <v>0</v>
      </c>
      <c r="U2804" t="n">
        <v>0</v>
      </c>
      <c r="V2804" s="2" t="inlineStr"/>
    </row>
    <row r="2805" ht="15" customHeight="1">
      <c r="A2805" t="inlineStr">
        <is>
          <t>A 33585-2022</t>
        </is>
      </c>
      <c r="B2805" t="inlineStr">
        <is>
          <t>avverkningsanmälan</t>
        </is>
      </c>
      <c r="C2805" t="inlineStr">
        <is>
          <t>Föryngringsavverkning</t>
        </is>
      </c>
      <c r="D2805" s="1" t="n">
        <v>44789</v>
      </c>
      <c r="E2805" s="1" t="n">
        <v>46313</v>
      </c>
      <c r="F2805" t="inlineStr">
        <is>
          <t>SÖDERMANLANDS LÄN</t>
        </is>
      </c>
      <c r="G2805" t="inlineStr">
        <is>
          <t>ESKILSTUNA</t>
        </is>
      </c>
      <c r="I2805" t="n">
        <v>5.5</v>
      </c>
      <c r="J2805" t="n">
        <v>0</v>
      </c>
      <c r="K2805" t="n">
        <v>0</v>
      </c>
      <c r="L2805" t="n">
        <v>0</v>
      </c>
      <c r="M2805" t="n">
        <v>0</v>
      </c>
      <c r="N2805" t="n">
        <v>0</v>
      </c>
      <c r="O2805" t="n">
        <v>0</v>
      </c>
      <c r="P2805" t="n">
        <v>0</v>
      </c>
      <c r="Q2805" t="n">
        <v>0</v>
      </c>
      <c r="R2805" t="n">
        <v>0</v>
      </c>
      <c r="S2805" t="n">
        <v>0</v>
      </c>
      <c r="T2805" t="n">
        <v>0</v>
      </c>
      <c r="U2805" t="n">
        <v>0</v>
      </c>
      <c r="V2805" s="2" t="inlineStr"/>
    </row>
    <row r="2806" ht="15" customHeight="1">
      <c r="A2806" t="inlineStr">
        <is>
          <t>A 34596-2023</t>
        </is>
      </c>
      <c r="B2806" t="inlineStr">
        <is>
          <t>avverkningsanmälan</t>
        </is>
      </c>
      <c r="C2806" t="inlineStr">
        <is>
          <t>Föryngringsavverkning</t>
        </is>
      </c>
      <c r="D2806" s="1" t="n">
        <v>45140</v>
      </c>
      <c r="E2806" s="1" t="n">
        <v>46313</v>
      </c>
      <c r="F2806" t="inlineStr">
        <is>
          <t>SÖDERMANLANDS LÄN</t>
        </is>
      </c>
      <c r="G2806" t="inlineStr">
        <is>
          <t>GNESTA</t>
        </is>
      </c>
      <c r="I2806" t="n">
        <v>0.9</v>
      </c>
      <c r="J2806" t="n">
        <v>0</v>
      </c>
      <c r="K2806" t="n">
        <v>0</v>
      </c>
      <c r="L2806" t="n">
        <v>0</v>
      </c>
      <c r="M2806" t="n">
        <v>0</v>
      </c>
      <c r="N2806" t="n">
        <v>0</v>
      </c>
      <c r="O2806" t="n">
        <v>0</v>
      </c>
      <c r="P2806" t="n">
        <v>0</v>
      </c>
      <c r="Q2806" t="n">
        <v>0</v>
      </c>
      <c r="R2806" t="n">
        <v>0</v>
      </c>
      <c r="S2806" t="n">
        <v>0</v>
      </c>
      <c r="T2806" t="n">
        <v>0</v>
      </c>
      <c r="U2806" t="n">
        <v>0</v>
      </c>
      <c r="V2806" s="2" t="inlineStr"/>
    </row>
    <row r="2807" ht="15" customHeight="1">
      <c r="A2807" t="inlineStr">
        <is>
          <t>A 34612-2023</t>
        </is>
      </c>
      <c r="B2807" t="inlineStr">
        <is>
          <t>avverkningsanmälan</t>
        </is>
      </c>
      <c r="C2807" t="inlineStr">
        <is>
          <t>Föryngringsavverkning</t>
        </is>
      </c>
      <c r="D2807" s="1" t="n">
        <v>45140</v>
      </c>
      <c r="E2807" s="1" t="n">
        <v>46313</v>
      </c>
      <c r="F2807" t="inlineStr">
        <is>
          <t>SÖDERMANLANDS LÄN</t>
        </is>
      </c>
      <c r="G2807" t="inlineStr">
        <is>
          <t>FLEN</t>
        </is>
      </c>
      <c r="H2807" t="inlineStr">
        <is>
          <t>Kyrkan</t>
        </is>
      </c>
      <c r="I2807" t="n">
        <v>0.5</v>
      </c>
      <c r="J2807" t="n">
        <v>0</v>
      </c>
      <c r="K2807" t="n">
        <v>0</v>
      </c>
      <c r="L2807" t="n">
        <v>0</v>
      </c>
      <c r="M2807" t="n">
        <v>0</v>
      </c>
      <c r="N2807" t="n">
        <v>0</v>
      </c>
      <c r="O2807" t="n">
        <v>0</v>
      </c>
      <c r="P2807" t="n">
        <v>0</v>
      </c>
      <c r="Q2807" t="n">
        <v>0</v>
      </c>
      <c r="R2807" t="n">
        <v>0</v>
      </c>
      <c r="S2807" t="n">
        <v>0</v>
      </c>
      <c r="T2807" t="n">
        <v>0</v>
      </c>
      <c r="U2807" t="n">
        <v>0</v>
      </c>
      <c r="V2807" s="2" t="inlineStr"/>
    </row>
    <row r="2808" ht="15" customHeight="1">
      <c r="A2808" t="inlineStr">
        <is>
          <t>A 33020-2026</t>
        </is>
      </c>
      <c r="B2808" t="inlineStr">
        <is>
          <t>avverkningsanmälan</t>
        </is>
      </c>
      <c r="C2808" t="inlineStr">
        <is>
          <t>Föryngringsavverkning</t>
        </is>
      </c>
      <c r="D2808" s="1" t="n">
        <v>46244</v>
      </c>
      <c r="E2808" s="1" t="n">
        <v>46313</v>
      </c>
      <c r="F2808" t="inlineStr">
        <is>
          <t>SÖDERMANLANDS LÄN</t>
        </is>
      </c>
      <c r="G2808" t="inlineStr">
        <is>
          <t>NYKÖPING</t>
        </is>
      </c>
      <c r="H2808" t="inlineStr">
        <is>
          <t>Sveaskog</t>
        </is>
      </c>
      <c r="I2808" t="n">
        <v>0.7</v>
      </c>
      <c r="J2808" t="n">
        <v>0</v>
      </c>
      <c r="K2808" t="n">
        <v>0</v>
      </c>
      <c r="L2808" t="n">
        <v>0</v>
      </c>
      <c r="M2808" t="n">
        <v>0</v>
      </c>
      <c r="N2808" t="n">
        <v>0</v>
      </c>
      <c r="O2808" t="n">
        <v>0</v>
      </c>
      <c r="P2808" t="n">
        <v>0</v>
      </c>
      <c r="Q2808" t="n">
        <v>0</v>
      </c>
      <c r="R2808" t="n">
        <v>0</v>
      </c>
      <c r="S2808" t="n">
        <v>0</v>
      </c>
      <c r="T2808" t="n">
        <v>0</v>
      </c>
      <c r="U2808" t="n">
        <v>0</v>
      </c>
      <c r="V2808" s="2" t="inlineStr"/>
    </row>
    <row r="2809" ht="15" customHeight="1">
      <c r="A2809" t="inlineStr">
        <is>
          <t>A 1930-2022</t>
        </is>
      </c>
      <c r="B2809" t="inlineStr">
        <is>
          <t>avverkningsanmälan</t>
        </is>
      </c>
      <c r="C2809" t="inlineStr">
        <is>
          <t>Föryngringsavverkning</t>
        </is>
      </c>
      <c r="D2809" s="1" t="n">
        <v>44575</v>
      </c>
      <c r="E2809" s="1" t="n">
        <v>46313</v>
      </c>
      <c r="F2809" t="inlineStr">
        <is>
          <t>SÖDERMANLANDS LÄN</t>
        </is>
      </c>
      <c r="G2809" t="inlineStr">
        <is>
          <t>NYKÖPING</t>
        </is>
      </c>
      <c r="I2809" t="n">
        <v>4.5</v>
      </c>
      <c r="J2809" t="n">
        <v>0</v>
      </c>
      <c r="K2809" t="n">
        <v>0</v>
      </c>
      <c r="L2809" t="n">
        <v>0</v>
      </c>
      <c r="M2809" t="n">
        <v>0</v>
      </c>
      <c r="N2809" t="n">
        <v>0</v>
      </c>
      <c r="O2809" t="n">
        <v>0</v>
      </c>
      <c r="P2809" t="n">
        <v>0</v>
      </c>
      <c r="Q2809" t="n">
        <v>0</v>
      </c>
      <c r="R2809" t="n">
        <v>0</v>
      </c>
      <c r="S2809" t="n">
        <v>0</v>
      </c>
      <c r="T2809" t="n">
        <v>0</v>
      </c>
      <c r="U2809" t="n">
        <v>0</v>
      </c>
      <c r="V2809" s="2" t="inlineStr"/>
    </row>
    <row r="2810" ht="15" customHeight="1">
      <c r="A2810" t="inlineStr">
        <is>
          <t>A 41260-2023</t>
        </is>
      </c>
      <c r="B2810" t="inlineStr">
        <is>
          <t>avverkningsanmälan</t>
        </is>
      </c>
      <c r="C2810" t="inlineStr">
        <is>
          <t>Föryngringsavverkning</t>
        </is>
      </c>
      <c r="D2810" s="1" t="n">
        <v>45174</v>
      </c>
      <c r="E2810" s="1" t="n">
        <v>46313</v>
      </c>
      <c r="F2810" t="inlineStr">
        <is>
          <t>SÖDERMANLANDS LÄN</t>
        </is>
      </c>
      <c r="G2810" t="inlineStr">
        <is>
          <t>GNESTA</t>
        </is>
      </c>
      <c r="I2810" t="n">
        <v>5.9</v>
      </c>
      <c r="J2810" t="n">
        <v>0</v>
      </c>
      <c r="K2810" t="n">
        <v>0</v>
      </c>
      <c r="L2810" t="n">
        <v>0</v>
      </c>
      <c r="M2810" t="n">
        <v>0</v>
      </c>
      <c r="N2810" t="n">
        <v>0</v>
      </c>
      <c r="O2810" t="n">
        <v>0</v>
      </c>
      <c r="P2810" t="n">
        <v>0</v>
      </c>
      <c r="Q2810" t="n">
        <v>0</v>
      </c>
      <c r="R2810" t="n">
        <v>0</v>
      </c>
      <c r="S2810" t="n">
        <v>0</v>
      </c>
      <c r="T2810" t="n">
        <v>0</v>
      </c>
      <c r="U2810" t="n">
        <v>0</v>
      </c>
      <c r="V2810" s="2" t="inlineStr"/>
    </row>
    <row r="2811" ht="15" customHeight="1">
      <c r="A2811" t="inlineStr">
        <is>
          <t>A 39891-2022</t>
        </is>
      </c>
      <c r="B2811" t="inlineStr">
        <is>
          <t>avverkningsanmälan</t>
        </is>
      </c>
      <c r="C2811" t="inlineStr">
        <is>
          <t>Föryngringsavverkning</t>
        </is>
      </c>
      <c r="D2811" s="1" t="n">
        <v>44819</v>
      </c>
      <c r="E2811" s="1" t="n">
        <v>46313</v>
      </c>
      <c r="F2811" t="inlineStr">
        <is>
          <t>SÖDERMANLANDS LÄN</t>
        </is>
      </c>
      <c r="G2811" t="inlineStr">
        <is>
          <t>FLEN</t>
        </is>
      </c>
      <c r="I2811" t="n">
        <v>1.6</v>
      </c>
      <c r="J2811" t="n">
        <v>0</v>
      </c>
      <c r="K2811" t="n">
        <v>0</v>
      </c>
      <c r="L2811" t="n">
        <v>0</v>
      </c>
      <c r="M2811" t="n">
        <v>0</v>
      </c>
      <c r="N2811" t="n">
        <v>0</v>
      </c>
      <c r="O2811" t="n">
        <v>0</v>
      </c>
      <c r="P2811" t="n">
        <v>0</v>
      </c>
      <c r="Q2811" t="n">
        <v>0</v>
      </c>
      <c r="R2811" t="n">
        <v>0</v>
      </c>
      <c r="S2811" t="n">
        <v>0</v>
      </c>
      <c r="T2811" t="n">
        <v>0</v>
      </c>
      <c r="U2811" t="n">
        <v>0</v>
      </c>
      <c r="V2811" s="2" t="inlineStr"/>
    </row>
    <row r="2812" ht="15" customHeight="1">
      <c r="A2812" t="inlineStr">
        <is>
          <t>A 53406-2023</t>
        </is>
      </c>
      <c r="B2812" t="inlineStr">
        <is>
          <t>avverkningsanmälan</t>
        </is>
      </c>
      <c r="C2812" t="inlineStr">
        <is>
          <t>Föryngringsavverkning</t>
        </is>
      </c>
      <c r="D2812" s="1" t="n">
        <v>45229</v>
      </c>
      <c r="E2812" s="1" t="n">
        <v>46313</v>
      </c>
      <c r="F2812" t="inlineStr">
        <is>
          <t>SÖDERMANLANDS LÄN</t>
        </is>
      </c>
      <c r="G2812" t="inlineStr">
        <is>
          <t>ESKILSTUNA</t>
        </is>
      </c>
      <c r="H2812" t="inlineStr">
        <is>
          <t>Allmännings- och besparingsskogar</t>
        </is>
      </c>
      <c r="I2812" t="n">
        <v>1.7</v>
      </c>
      <c r="J2812" t="n">
        <v>0</v>
      </c>
      <c r="K2812" t="n">
        <v>0</v>
      </c>
      <c r="L2812" t="n">
        <v>0</v>
      </c>
      <c r="M2812" t="n">
        <v>0</v>
      </c>
      <c r="N2812" t="n">
        <v>0</v>
      </c>
      <c r="O2812" t="n">
        <v>0</v>
      </c>
      <c r="P2812" t="n">
        <v>0</v>
      </c>
      <c r="Q2812" t="n">
        <v>0</v>
      </c>
      <c r="R2812" t="n">
        <v>0</v>
      </c>
      <c r="S2812" t="n">
        <v>0</v>
      </c>
      <c r="T2812" t="n">
        <v>0</v>
      </c>
      <c r="U2812" t="n">
        <v>0</v>
      </c>
      <c r="V2812" s="2" t="inlineStr"/>
    </row>
    <row r="2813" ht="15" customHeight="1">
      <c r="A2813" t="inlineStr">
        <is>
          <t>A 33669-2023</t>
        </is>
      </c>
      <c r="B2813" t="inlineStr">
        <is>
          <t>avverkningsanmälan</t>
        </is>
      </c>
      <c r="C2813" t="inlineStr">
        <is>
          <t>Föryngringsavverkning</t>
        </is>
      </c>
      <c r="D2813" s="1" t="n">
        <v>45132</v>
      </c>
      <c r="E2813" s="1" t="n">
        <v>46313</v>
      </c>
      <c r="F2813" t="inlineStr">
        <is>
          <t>SÖDERMANLANDS LÄN</t>
        </is>
      </c>
      <c r="G2813" t="inlineStr">
        <is>
          <t>NYKÖPING</t>
        </is>
      </c>
      <c r="H2813" t="inlineStr">
        <is>
          <t>Holmen skog AB</t>
        </is>
      </c>
      <c r="I2813" t="n">
        <v>5.9</v>
      </c>
      <c r="J2813" t="n">
        <v>0</v>
      </c>
      <c r="K2813" t="n">
        <v>0</v>
      </c>
      <c r="L2813" t="n">
        <v>0</v>
      </c>
      <c r="M2813" t="n">
        <v>0</v>
      </c>
      <c r="N2813" t="n">
        <v>0</v>
      </c>
      <c r="O2813" t="n">
        <v>0</v>
      </c>
      <c r="P2813" t="n">
        <v>0</v>
      </c>
      <c r="Q2813" t="n">
        <v>0</v>
      </c>
      <c r="R2813" t="n">
        <v>0</v>
      </c>
      <c r="S2813" t="n">
        <v>0</v>
      </c>
      <c r="T2813" t="n">
        <v>0</v>
      </c>
      <c r="U2813" t="n">
        <v>0</v>
      </c>
      <c r="V2813" s="2" t="inlineStr"/>
    </row>
    <row r="2814" ht="15" customHeight="1">
      <c r="A2814" t="inlineStr">
        <is>
          <t>A 1322-2024</t>
        </is>
      </c>
      <c r="B2814" t="inlineStr">
        <is>
          <t>avverkningsanmälan</t>
        </is>
      </c>
      <c r="C2814" t="inlineStr">
        <is>
          <t>Föryngringsavverkning</t>
        </is>
      </c>
      <c r="D2814" s="1" t="n">
        <v>45303</v>
      </c>
      <c r="E2814" s="1" t="n">
        <v>46313</v>
      </c>
      <c r="F2814" t="inlineStr">
        <is>
          <t>SÖDERMANLANDS LÄN</t>
        </is>
      </c>
      <c r="G2814" t="inlineStr">
        <is>
          <t>ESKILSTUNA</t>
        </is>
      </c>
      <c r="I2814" t="n">
        <v>2</v>
      </c>
      <c r="J2814" t="n">
        <v>0</v>
      </c>
      <c r="K2814" t="n">
        <v>0</v>
      </c>
      <c r="L2814" t="n">
        <v>0</v>
      </c>
      <c r="M2814" t="n">
        <v>0</v>
      </c>
      <c r="N2814" t="n">
        <v>0</v>
      </c>
      <c r="O2814" t="n">
        <v>0</v>
      </c>
      <c r="P2814" t="n">
        <v>0</v>
      </c>
      <c r="Q2814" t="n">
        <v>0</v>
      </c>
      <c r="R2814" t="n">
        <v>0</v>
      </c>
      <c r="S2814" t="n">
        <v>0</v>
      </c>
      <c r="T2814" t="n">
        <v>0</v>
      </c>
      <c r="U2814" t="n">
        <v>0</v>
      </c>
      <c r="V2814" s="2" t="inlineStr"/>
    </row>
    <row r="2815" ht="15" customHeight="1">
      <c r="A2815" t="inlineStr">
        <is>
          <t>A 39133-2026</t>
        </is>
      </c>
      <c r="B2815" t="inlineStr">
        <is>
          <t>avverkningsanmälan</t>
        </is>
      </c>
      <c r="C2815" t="inlineStr">
        <is>
          <t>Föryngringsavverkning</t>
        </is>
      </c>
      <c r="D2815" s="1" t="n">
        <v>46286</v>
      </c>
      <c r="E2815" s="1" t="n">
        <v>46313</v>
      </c>
      <c r="F2815" t="inlineStr">
        <is>
          <t>SÖDERMANLANDS LÄN</t>
        </is>
      </c>
      <c r="G2815" t="inlineStr">
        <is>
          <t>FLEN</t>
        </is>
      </c>
      <c r="I2815" t="n">
        <v>1.2</v>
      </c>
      <c r="J2815" t="n">
        <v>0</v>
      </c>
      <c r="K2815" t="n">
        <v>0</v>
      </c>
      <c r="L2815" t="n">
        <v>0</v>
      </c>
      <c r="M2815" t="n">
        <v>0</v>
      </c>
      <c r="N2815" t="n">
        <v>0</v>
      </c>
      <c r="O2815" t="n">
        <v>0</v>
      </c>
      <c r="P2815" t="n">
        <v>0</v>
      </c>
      <c r="Q2815" t="n">
        <v>0</v>
      </c>
      <c r="R2815" t="n">
        <v>0</v>
      </c>
      <c r="S2815" t="n">
        <v>0</v>
      </c>
      <c r="T2815" t="n">
        <v>0</v>
      </c>
      <c r="U2815" t="n">
        <v>0</v>
      </c>
      <c r="V2815" s="2" t="inlineStr"/>
    </row>
    <row r="2816" ht="15" customHeight="1">
      <c r="A2816" t="inlineStr">
        <is>
          <t>A 39153-2026</t>
        </is>
      </c>
      <c r="B2816" t="inlineStr">
        <is>
          <t>avverkningsanmälan</t>
        </is>
      </c>
      <c r="C2816" t="inlineStr">
        <is>
          <t>Föryngringsavverkning</t>
        </is>
      </c>
      <c r="D2816" s="1" t="n">
        <v>46287</v>
      </c>
      <c r="E2816" s="1" t="n">
        <v>46313</v>
      </c>
      <c r="F2816" t="inlineStr">
        <is>
          <t>SÖDERMANLANDS LÄN</t>
        </is>
      </c>
      <c r="G2816" t="inlineStr">
        <is>
          <t>ESKILSTUNA</t>
        </is>
      </c>
      <c r="I2816" t="n">
        <v>7.2</v>
      </c>
      <c r="J2816" t="n">
        <v>0</v>
      </c>
      <c r="K2816" t="n">
        <v>0</v>
      </c>
      <c r="L2816" t="n">
        <v>0</v>
      </c>
      <c r="M2816" t="n">
        <v>0</v>
      </c>
      <c r="N2816" t="n">
        <v>0</v>
      </c>
      <c r="O2816" t="n">
        <v>0</v>
      </c>
      <c r="P2816" t="n">
        <v>0</v>
      </c>
      <c r="Q2816" t="n">
        <v>0</v>
      </c>
      <c r="R2816" t="n">
        <v>0</v>
      </c>
      <c r="S2816" t="n">
        <v>0</v>
      </c>
      <c r="T2816" t="n">
        <v>0</v>
      </c>
      <c r="U2816" t="n">
        <v>0</v>
      </c>
      <c r="V2816" s="2" t="inlineStr"/>
    </row>
    <row r="2817" ht="15" customHeight="1">
      <c r="A2817" t="inlineStr">
        <is>
          <t>A 61866-2022</t>
        </is>
      </c>
      <c r="B2817" t="inlineStr">
        <is>
          <t>avverkningsanmälan</t>
        </is>
      </c>
      <c r="C2817" t="inlineStr">
        <is>
          <t>Föryngringsavverkning</t>
        </is>
      </c>
      <c r="D2817" s="1" t="n">
        <v>44917</v>
      </c>
      <c r="E2817" s="1" t="n">
        <v>46313</v>
      </c>
      <c r="F2817" t="inlineStr">
        <is>
          <t>SÖDERMANLANDS LÄN</t>
        </is>
      </c>
      <c r="G2817" t="inlineStr">
        <is>
          <t>ESKILSTUNA</t>
        </is>
      </c>
      <c r="I2817" t="n">
        <v>3.6</v>
      </c>
      <c r="J2817" t="n">
        <v>0</v>
      </c>
      <c r="K2817" t="n">
        <v>0</v>
      </c>
      <c r="L2817" t="n">
        <v>0</v>
      </c>
      <c r="M2817" t="n">
        <v>0</v>
      </c>
      <c r="N2817" t="n">
        <v>0</v>
      </c>
      <c r="O2817" t="n">
        <v>0</v>
      </c>
      <c r="P2817" t="n">
        <v>0</v>
      </c>
      <c r="Q2817" t="n">
        <v>0</v>
      </c>
      <c r="R2817" t="n">
        <v>0</v>
      </c>
      <c r="S2817" t="n">
        <v>0</v>
      </c>
      <c r="T2817" t="n">
        <v>0</v>
      </c>
      <c r="U2817" t="n">
        <v>0</v>
      </c>
      <c r="V2817" s="2" t="inlineStr"/>
    </row>
    <row r="2818" ht="15" customHeight="1">
      <c r="A2818" t="inlineStr">
        <is>
          <t>A 58991-2022</t>
        </is>
      </c>
      <c r="B2818" t="inlineStr">
        <is>
          <t>avverkningsanmälan</t>
        </is>
      </c>
      <c r="C2818" t="inlineStr">
        <is>
          <t>Föryngringsavverkning</t>
        </is>
      </c>
      <c r="D2818" s="1" t="n">
        <v>44903</v>
      </c>
      <c r="E2818" s="1" t="n">
        <v>46313</v>
      </c>
      <c r="F2818" t="inlineStr">
        <is>
          <t>SÖDERMANLANDS LÄN</t>
        </is>
      </c>
      <c r="G2818" t="inlineStr">
        <is>
          <t>ESKILSTUNA</t>
        </is>
      </c>
      <c r="I2818" t="n">
        <v>1.6</v>
      </c>
      <c r="J2818" t="n">
        <v>0</v>
      </c>
      <c r="K2818" t="n">
        <v>0</v>
      </c>
      <c r="L2818" t="n">
        <v>0</v>
      </c>
      <c r="M2818" t="n">
        <v>0</v>
      </c>
      <c r="N2818" t="n">
        <v>0</v>
      </c>
      <c r="O2818" t="n">
        <v>0</v>
      </c>
      <c r="P2818" t="n">
        <v>0</v>
      </c>
      <c r="Q2818" t="n">
        <v>0</v>
      </c>
      <c r="R2818" t="n">
        <v>0</v>
      </c>
      <c r="S2818" t="n">
        <v>0</v>
      </c>
      <c r="T2818" t="n">
        <v>0</v>
      </c>
      <c r="U2818" t="n">
        <v>0</v>
      </c>
      <c r="V2818" s="2" t="inlineStr"/>
    </row>
    <row r="2819" ht="15" customHeight="1">
      <c r="A2819" t="inlineStr">
        <is>
          <t>A 9232-2023</t>
        </is>
      </c>
      <c r="B2819" t="inlineStr">
        <is>
          <t>avverkningsanmälan</t>
        </is>
      </c>
      <c r="C2819" t="inlineStr">
        <is>
          <t>Föryngringsavverkning</t>
        </is>
      </c>
      <c r="D2819" s="1" t="n">
        <v>44980</v>
      </c>
      <c r="E2819" s="1" t="n">
        <v>46313</v>
      </c>
      <c r="F2819" t="inlineStr">
        <is>
          <t>SÖDERMANLANDS LÄN</t>
        </is>
      </c>
      <c r="G2819" t="inlineStr">
        <is>
          <t>STRÄNGNÄS</t>
        </is>
      </c>
      <c r="I2819" t="n">
        <v>2</v>
      </c>
      <c r="J2819" t="n">
        <v>0</v>
      </c>
      <c r="K2819" t="n">
        <v>0</v>
      </c>
      <c r="L2819" t="n">
        <v>0</v>
      </c>
      <c r="M2819" t="n">
        <v>0</v>
      </c>
      <c r="N2819" t="n">
        <v>0</v>
      </c>
      <c r="O2819" t="n">
        <v>0</v>
      </c>
      <c r="P2819" t="n">
        <v>0</v>
      </c>
      <c r="Q2819" t="n">
        <v>0</v>
      </c>
      <c r="R2819" t="n">
        <v>0</v>
      </c>
      <c r="S2819" t="n">
        <v>0</v>
      </c>
      <c r="T2819" t="n">
        <v>0</v>
      </c>
      <c r="U2819" t="n">
        <v>0</v>
      </c>
      <c r="V2819" s="2" t="inlineStr"/>
    </row>
    <row r="2820" ht="15" customHeight="1">
      <c r="A2820" t="inlineStr">
        <is>
          <t>A 866-2023</t>
        </is>
      </c>
      <c r="B2820" t="inlineStr">
        <is>
          <t>avverkningsanmälan</t>
        </is>
      </c>
      <c r="C2820" t="inlineStr">
        <is>
          <t>Föryngringsavverkning</t>
        </is>
      </c>
      <c r="D2820" s="1" t="n">
        <v>44931</v>
      </c>
      <c r="E2820" s="1" t="n">
        <v>46313</v>
      </c>
      <c r="F2820" t="inlineStr">
        <is>
          <t>SÖDERMANLANDS LÄN</t>
        </is>
      </c>
      <c r="G2820" t="inlineStr">
        <is>
          <t>STRÄNGNÄS</t>
        </is>
      </c>
      <c r="I2820" t="n">
        <v>3.1</v>
      </c>
      <c r="J2820" t="n">
        <v>0</v>
      </c>
      <c r="K2820" t="n">
        <v>0</v>
      </c>
      <c r="L2820" t="n">
        <v>0</v>
      </c>
      <c r="M2820" t="n">
        <v>0</v>
      </c>
      <c r="N2820" t="n">
        <v>0</v>
      </c>
      <c r="O2820" t="n">
        <v>0</v>
      </c>
      <c r="P2820" t="n">
        <v>0</v>
      </c>
      <c r="Q2820" t="n">
        <v>0</v>
      </c>
      <c r="R2820" t="n">
        <v>0</v>
      </c>
      <c r="S2820" t="n">
        <v>0</v>
      </c>
      <c r="T2820" t="n">
        <v>0</v>
      </c>
      <c r="U2820" t="n">
        <v>0</v>
      </c>
      <c r="V2820" s="2" t="inlineStr"/>
    </row>
    <row r="2821" ht="15" customHeight="1">
      <c r="A2821" t="inlineStr">
        <is>
          <t>A 2513-2022</t>
        </is>
      </c>
      <c r="B2821" t="inlineStr">
        <is>
          <t>avverkningsanmälan</t>
        </is>
      </c>
      <c r="C2821" t="inlineStr">
        <is>
          <t>Föryngringsavverkning</t>
        </is>
      </c>
      <c r="D2821" s="1" t="n">
        <v>44579</v>
      </c>
      <c r="E2821" s="1" t="n">
        <v>46313</v>
      </c>
      <c r="F2821" t="inlineStr">
        <is>
          <t>SÖDERMANLANDS LÄN</t>
        </is>
      </c>
      <c r="G2821" t="inlineStr">
        <is>
          <t>NYKÖPING</t>
        </is>
      </c>
      <c r="I2821" t="n">
        <v>0.7</v>
      </c>
      <c r="J2821" t="n">
        <v>0</v>
      </c>
      <c r="K2821" t="n">
        <v>0</v>
      </c>
      <c r="L2821" t="n">
        <v>0</v>
      </c>
      <c r="M2821" t="n">
        <v>0</v>
      </c>
      <c r="N2821" t="n">
        <v>0</v>
      </c>
      <c r="O2821" t="n">
        <v>0</v>
      </c>
      <c r="P2821" t="n">
        <v>0</v>
      </c>
      <c r="Q2821" t="n">
        <v>0</v>
      </c>
      <c r="R2821" t="n">
        <v>0</v>
      </c>
      <c r="S2821" t="n">
        <v>0</v>
      </c>
      <c r="T2821" t="n">
        <v>0</v>
      </c>
      <c r="U2821" t="n">
        <v>0</v>
      </c>
      <c r="V2821" s="2" t="inlineStr"/>
    </row>
    <row r="2822" ht="15" customHeight="1">
      <c r="A2822" t="inlineStr">
        <is>
          <t>A 58092-2023</t>
        </is>
      </c>
      <c r="B2822" t="inlineStr">
        <is>
          <t>avverkningsanmälan</t>
        </is>
      </c>
      <c r="C2822" t="inlineStr">
        <is>
          <t>Avverkning för att bevara och utveckla /försöksver</t>
        </is>
      </c>
      <c r="D2822" s="1" t="n">
        <v>45248</v>
      </c>
      <c r="E2822" s="1" t="n">
        <v>46313</v>
      </c>
      <c r="F2822" t="inlineStr">
        <is>
          <t>SÖDERMANLANDS LÄN</t>
        </is>
      </c>
      <c r="G2822" t="inlineStr">
        <is>
          <t>STRÄNGNÄS</t>
        </is>
      </c>
      <c r="I2822" t="n">
        <v>28.5</v>
      </c>
      <c r="J2822" t="n">
        <v>0</v>
      </c>
      <c r="K2822" t="n">
        <v>0</v>
      </c>
      <c r="L2822" t="n">
        <v>0</v>
      </c>
      <c r="M2822" t="n">
        <v>0</v>
      </c>
      <c r="N2822" t="n">
        <v>0</v>
      </c>
      <c r="O2822" t="n">
        <v>0</v>
      </c>
      <c r="P2822" t="n">
        <v>0</v>
      </c>
      <c r="Q2822" t="n">
        <v>0</v>
      </c>
      <c r="R2822" t="n">
        <v>0</v>
      </c>
      <c r="S2822" t="n">
        <v>0</v>
      </c>
      <c r="T2822" t="n">
        <v>0</v>
      </c>
      <c r="U2822" t="n">
        <v>0</v>
      </c>
      <c r="V2822" s="2" t="inlineStr"/>
    </row>
    <row r="2823" ht="15" customHeight="1">
      <c r="A2823" t="inlineStr">
        <is>
          <t>A 52258-2023</t>
        </is>
      </c>
      <c r="B2823" t="inlineStr">
        <is>
          <t>avverkningsanmälan</t>
        </is>
      </c>
      <c r="C2823" t="inlineStr">
        <is>
          <t>Föryngringsavverkning</t>
        </is>
      </c>
      <c r="D2823" s="1" t="n">
        <v>45224</v>
      </c>
      <c r="E2823" s="1" t="n">
        <v>46313</v>
      </c>
      <c r="F2823" t="inlineStr">
        <is>
          <t>SÖDERMANLANDS LÄN</t>
        </is>
      </c>
      <c r="G2823" t="inlineStr">
        <is>
          <t>NYKÖPING</t>
        </is>
      </c>
      <c r="I2823" t="n">
        <v>0.9</v>
      </c>
      <c r="J2823" t="n">
        <v>0</v>
      </c>
      <c r="K2823" t="n">
        <v>0</v>
      </c>
      <c r="L2823" t="n">
        <v>0</v>
      </c>
      <c r="M2823" t="n">
        <v>0</v>
      </c>
      <c r="N2823" t="n">
        <v>0</v>
      </c>
      <c r="O2823" t="n">
        <v>0</v>
      </c>
      <c r="P2823" t="n">
        <v>0</v>
      </c>
      <c r="Q2823" t="n">
        <v>0</v>
      </c>
      <c r="R2823" t="n">
        <v>0</v>
      </c>
      <c r="S2823" t="n">
        <v>0</v>
      </c>
      <c r="T2823" t="n">
        <v>0</v>
      </c>
      <c r="U2823" t="n">
        <v>0</v>
      </c>
      <c r="V2823" s="2" t="inlineStr"/>
    </row>
    <row r="2824" ht="15" customHeight="1">
      <c r="A2824" t="inlineStr">
        <is>
          <t>A 44381-2024</t>
        </is>
      </c>
      <c r="B2824" t="inlineStr">
        <is>
          <t>avverkningsanmälan</t>
        </is>
      </c>
      <c r="C2824" t="inlineStr">
        <is>
          <t>Föryngringsavverkning</t>
        </is>
      </c>
      <c r="D2824" s="1" t="n">
        <v>45573</v>
      </c>
      <c r="E2824" s="1" t="n">
        <v>46313</v>
      </c>
      <c r="F2824" t="inlineStr">
        <is>
          <t>SÖDERMANLANDS LÄN</t>
        </is>
      </c>
      <c r="G2824" t="inlineStr">
        <is>
          <t>GNESTA</t>
        </is>
      </c>
      <c r="I2824" t="n">
        <v>6.3</v>
      </c>
      <c r="J2824" t="n">
        <v>0</v>
      </c>
      <c r="K2824" t="n">
        <v>0</v>
      </c>
      <c r="L2824" t="n">
        <v>0</v>
      </c>
      <c r="M2824" t="n">
        <v>0</v>
      </c>
      <c r="N2824" t="n">
        <v>0</v>
      </c>
      <c r="O2824" t="n">
        <v>0</v>
      </c>
      <c r="P2824" t="n">
        <v>0</v>
      </c>
      <c r="Q2824" t="n">
        <v>0</v>
      </c>
      <c r="R2824" t="n">
        <v>0</v>
      </c>
      <c r="S2824" t="n">
        <v>0</v>
      </c>
      <c r="T2824" t="n">
        <v>0</v>
      </c>
      <c r="U2824" t="n">
        <v>0</v>
      </c>
      <c r="V2824" s="2" t="inlineStr"/>
    </row>
    <row r="2825" ht="15" customHeight="1">
      <c r="A2825" t="inlineStr">
        <is>
          <t>A 54598-2022</t>
        </is>
      </c>
      <c r="B2825" t="inlineStr">
        <is>
          <t>avverkningsanmälan</t>
        </is>
      </c>
      <c r="C2825" t="inlineStr">
        <is>
          <t>Föryngringsavverkning</t>
        </is>
      </c>
      <c r="D2825" s="1" t="n">
        <v>44881</v>
      </c>
      <c r="E2825" s="1" t="n">
        <v>46313</v>
      </c>
      <c r="F2825" t="inlineStr">
        <is>
          <t>SÖDERMANLANDS LÄN</t>
        </is>
      </c>
      <c r="G2825" t="inlineStr">
        <is>
          <t>STRÄNGNÄS</t>
        </is>
      </c>
      <c r="I2825" t="n">
        <v>5.4</v>
      </c>
      <c r="J2825" t="n">
        <v>0</v>
      </c>
      <c r="K2825" t="n">
        <v>0</v>
      </c>
      <c r="L2825" t="n">
        <v>0</v>
      </c>
      <c r="M2825" t="n">
        <v>0</v>
      </c>
      <c r="N2825" t="n">
        <v>0</v>
      </c>
      <c r="O2825" t="n">
        <v>0</v>
      </c>
      <c r="P2825" t="n">
        <v>0</v>
      </c>
      <c r="Q2825" t="n">
        <v>0</v>
      </c>
      <c r="R2825" t="n">
        <v>0</v>
      </c>
      <c r="S2825" t="n">
        <v>0</v>
      </c>
      <c r="T2825" t="n">
        <v>0</v>
      </c>
      <c r="U2825" t="n">
        <v>0</v>
      </c>
      <c r="V2825" s="2" t="inlineStr"/>
    </row>
    <row r="2826" ht="15" customHeight="1">
      <c r="A2826" t="inlineStr">
        <is>
          <t>A 21257-2023</t>
        </is>
      </c>
      <c r="B2826" t="inlineStr">
        <is>
          <t>avverkningsanmälan</t>
        </is>
      </c>
      <c r="C2826" t="inlineStr">
        <is>
          <t>Föryngringsavverkning</t>
        </is>
      </c>
      <c r="D2826" s="1" t="n">
        <v>45062</v>
      </c>
      <c r="E2826" s="1" t="n">
        <v>46313</v>
      </c>
      <c r="F2826" t="inlineStr">
        <is>
          <t>SÖDERMANLANDS LÄN</t>
        </is>
      </c>
      <c r="G2826" t="inlineStr">
        <is>
          <t>NYKÖPING</t>
        </is>
      </c>
      <c r="I2826" t="n">
        <v>0.7</v>
      </c>
      <c r="J2826" t="n">
        <v>0</v>
      </c>
      <c r="K2826" t="n">
        <v>0</v>
      </c>
      <c r="L2826" t="n">
        <v>0</v>
      </c>
      <c r="M2826" t="n">
        <v>0</v>
      </c>
      <c r="N2826" t="n">
        <v>0</v>
      </c>
      <c r="O2826" t="n">
        <v>0</v>
      </c>
      <c r="P2826" t="n">
        <v>0</v>
      </c>
      <c r="Q2826" t="n">
        <v>0</v>
      </c>
      <c r="R2826" t="n">
        <v>0</v>
      </c>
      <c r="S2826" t="n">
        <v>0</v>
      </c>
      <c r="T2826" t="n">
        <v>0</v>
      </c>
      <c r="U2826" t="n">
        <v>0</v>
      </c>
      <c r="V2826" s="2" t="inlineStr"/>
    </row>
    <row r="2827" ht="15" customHeight="1">
      <c r="A2827" t="inlineStr">
        <is>
          <t>A 32906-2026</t>
        </is>
      </c>
      <c r="B2827" t="inlineStr">
        <is>
          <t>avverkningsanmälan</t>
        </is>
      </c>
      <c r="C2827" t="inlineStr">
        <is>
          <t>Föryngringsavverkning</t>
        </is>
      </c>
      <c r="D2827" s="1" t="n">
        <v>46244</v>
      </c>
      <c r="E2827" s="1" t="n">
        <v>46313</v>
      </c>
      <c r="F2827" t="inlineStr">
        <is>
          <t>SÖDERMANLANDS LÄN</t>
        </is>
      </c>
      <c r="G2827" t="inlineStr">
        <is>
          <t>KATRINEHOLM</t>
        </is>
      </c>
      <c r="I2827" t="n">
        <v>2.8</v>
      </c>
      <c r="J2827" t="n">
        <v>0</v>
      </c>
      <c r="K2827" t="n">
        <v>0</v>
      </c>
      <c r="L2827" t="n">
        <v>0</v>
      </c>
      <c r="M2827" t="n">
        <v>0</v>
      </c>
      <c r="N2827" t="n">
        <v>0</v>
      </c>
      <c r="O2827" t="n">
        <v>0</v>
      </c>
      <c r="P2827" t="n">
        <v>0</v>
      </c>
      <c r="Q2827" t="n">
        <v>0</v>
      </c>
      <c r="R2827" t="n">
        <v>0</v>
      </c>
      <c r="S2827" t="n">
        <v>0</v>
      </c>
      <c r="T2827" t="n">
        <v>0</v>
      </c>
      <c r="U2827" t="n">
        <v>0</v>
      </c>
      <c r="V2827" s="2" t="inlineStr"/>
    </row>
    <row r="2828" ht="15" customHeight="1">
      <c r="A2828" t="inlineStr">
        <is>
          <t>A 5795-2022</t>
        </is>
      </c>
      <c r="B2828" t="inlineStr">
        <is>
          <t>avverkningsanmälan</t>
        </is>
      </c>
      <c r="C2828" t="inlineStr">
        <is>
          <t>Föryngringsavverkning</t>
        </is>
      </c>
      <c r="D2828" s="1" t="n">
        <v>44596</v>
      </c>
      <c r="E2828" s="1" t="n">
        <v>46313</v>
      </c>
      <c r="F2828" t="inlineStr">
        <is>
          <t>SÖDERMANLANDS LÄN</t>
        </is>
      </c>
      <c r="G2828" t="inlineStr">
        <is>
          <t>KATRINEHOLM</t>
        </is>
      </c>
      <c r="I2828" t="n">
        <v>8.1</v>
      </c>
      <c r="J2828" t="n">
        <v>0</v>
      </c>
      <c r="K2828" t="n">
        <v>0</v>
      </c>
      <c r="L2828" t="n">
        <v>0</v>
      </c>
      <c r="M2828" t="n">
        <v>0</v>
      </c>
      <c r="N2828" t="n">
        <v>0</v>
      </c>
      <c r="O2828" t="n">
        <v>0</v>
      </c>
      <c r="P2828" t="n">
        <v>0</v>
      </c>
      <c r="Q2828" t="n">
        <v>0</v>
      </c>
      <c r="R2828" t="n">
        <v>0</v>
      </c>
      <c r="S2828" t="n">
        <v>0</v>
      </c>
      <c r="T2828" t="n">
        <v>0</v>
      </c>
      <c r="U2828" t="n">
        <v>0</v>
      </c>
      <c r="V2828" s="2" t="inlineStr"/>
    </row>
    <row r="2829" ht="15" customHeight="1">
      <c r="A2829" t="inlineStr">
        <is>
          <t>A 64770-2023</t>
        </is>
      </c>
      <c r="B2829" t="inlineStr">
        <is>
          <t>avverkningsanmälan</t>
        </is>
      </c>
      <c r="C2829" t="inlineStr">
        <is>
          <t>Föryngringsavverkning</t>
        </is>
      </c>
      <c r="D2829" s="1" t="n">
        <v>45281</v>
      </c>
      <c r="E2829" s="1" t="n">
        <v>46313</v>
      </c>
      <c r="F2829" t="inlineStr">
        <is>
          <t>SÖDERMANLANDS LÄN</t>
        </is>
      </c>
      <c r="G2829" t="inlineStr">
        <is>
          <t>VINGÅKER</t>
        </is>
      </c>
      <c r="I2829" t="n">
        <v>0.9</v>
      </c>
      <c r="J2829" t="n">
        <v>0</v>
      </c>
      <c r="K2829" t="n">
        <v>0</v>
      </c>
      <c r="L2829" t="n">
        <v>0</v>
      </c>
      <c r="M2829" t="n">
        <v>0</v>
      </c>
      <c r="N2829" t="n">
        <v>0</v>
      </c>
      <c r="O2829" t="n">
        <v>0</v>
      </c>
      <c r="P2829" t="n">
        <v>0</v>
      </c>
      <c r="Q2829" t="n">
        <v>0</v>
      </c>
      <c r="R2829" t="n">
        <v>0</v>
      </c>
      <c r="S2829" t="n">
        <v>0</v>
      </c>
      <c r="T2829" t="n">
        <v>0</v>
      </c>
      <c r="U2829" t="n">
        <v>0</v>
      </c>
      <c r="V2829" s="2" t="inlineStr"/>
    </row>
    <row r="2830" ht="15" customHeight="1">
      <c r="A2830" t="inlineStr">
        <is>
          <t>A 55590-2023</t>
        </is>
      </c>
      <c r="B2830" t="inlineStr">
        <is>
          <t>avverkningsanmälan</t>
        </is>
      </c>
      <c r="C2830" t="inlineStr">
        <is>
          <t>Föryngringsavverkning</t>
        </is>
      </c>
      <c r="D2830" s="1" t="n">
        <v>45238</v>
      </c>
      <c r="E2830" s="1" t="n">
        <v>46313</v>
      </c>
      <c r="F2830" t="inlineStr">
        <is>
          <t>SÖDERMANLANDS LÄN</t>
        </is>
      </c>
      <c r="G2830" t="inlineStr">
        <is>
          <t>KATRINEHOLM</t>
        </is>
      </c>
      <c r="I2830" t="n">
        <v>4.5</v>
      </c>
      <c r="J2830" t="n">
        <v>0</v>
      </c>
      <c r="K2830" t="n">
        <v>0</v>
      </c>
      <c r="L2830" t="n">
        <v>0</v>
      </c>
      <c r="M2830" t="n">
        <v>0</v>
      </c>
      <c r="N2830" t="n">
        <v>0</v>
      </c>
      <c r="O2830" t="n">
        <v>0</v>
      </c>
      <c r="P2830" t="n">
        <v>0</v>
      </c>
      <c r="Q2830" t="n">
        <v>0</v>
      </c>
      <c r="R2830" t="n">
        <v>0</v>
      </c>
      <c r="S2830" t="n">
        <v>0</v>
      </c>
      <c r="T2830" t="n">
        <v>0</v>
      </c>
      <c r="U2830" t="n">
        <v>0</v>
      </c>
      <c r="V2830" s="2" t="inlineStr"/>
    </row>
    <row r="2831" ht="15" customHeight="1">
      <c r="A2831" t="inlineStr">
        <is>
          <t>A 39112-2026</t>
        </is>
      </c>
      <c r="B2831" t="inlineStr">
        <is>
          <t>avverkningsanmälan</t>
        </is>
      </c>
      <c r="C2831" t="inlineStr">
        <is>
          <t>Föryngringsavverkning</t>
        </is>
      </c>
      <c r="D2831" s="1" t="n">
        <v>46287</v>
      </c>
      <c r="E2831" s="1" t="n">
        <v>46313</v>
      </c>
      <c r="F2831" t="inlineStr">
        <is>
          <t>SÖDERMANLANDS LÄN</t>
        </is>
      </c>
      <c r="G2831" t="inlineStr">
        <is>
          <t>KATRINEHOLM</t>
        </is>
      </c>
      <c r="I2831" t="n">
        <v>16.4</v>
      </c>
      <c r="J2831" t="n">
        <v>0</v>
      </c>
      <c r="K2831" t="n">
        <v>0</v>
      </c>
      <c r="L2831" t="n">
        <v>0</v>
      </c>
      <c r="M2831" t="n">
        <v>0</v>
      </c>
      <c r="N2831" t="n">
        <v>0</v>
      </c>
      <c r="O2831" t="n">
        <v>0</v>
      </c>
      <c r="P2831" t="n">
        <v>0</v>
      </c>
      <c r="Q2831" t="n">
        <v>0</v>
      </c>
      <c r="R2831" t="n">
        <v>0</v>
      </c>
      <c r="S2831" t="n">
        <v>0</v>
      </c>
      <c r="T2831" t="n">
        <v>0</v>
      </c>
      <c r="U2831" t="n">
        <v>0</v>
      </c>
      <c r="V2831" s="2" t="inlineStr"/>
    </row>
    <row r="2832" ht="15" customHeight="1">
      <c r="A2832" t="inlineStr">
        <is>
          <t>A 32969-2026</t>
        </is>
      </c>
      <c r="B2832" t="inlineStr">
        <is>
          <t>avverkningsanmälan</t>
        </is>
      </c>
      <c r="C2832" t="inlineStr">
        <is>
          <t>Föryngringsavverkning</t>
        </is>
      </c>
      <c r="D2832" s="1" t="n">
        <v>46244</v>
      </c>
      <c r="E2832" s="1" t="n">
        <v>46313</v>
      </c>
      <c r="F2832" t="inlineStr">
        <is>
          <t>SÖDERMANLANDS LÄN</t>
        </is>
      </c>
      <c r="G2832" t="inlineStr">
        <is>
          <t>ESKILSTUNA</t>
        </is>
      </c>
      <c r="H2832" t="inlineStr">
        <is>
          <t>Kommuner</t>
        </is>
      </c>
      <c r="I2832" t="n">
        <v>2</v>
      </c>
      <c r="J2832" t="n">
        <v>0</v>
      </c>
      <c r="K2832" t="n">
        <v>0</v>
      </c>
      <c r="L2832" t="n">
        <v>0</v>
      </c>
      <c r="M2832" t="n">
        <v>0</v>
      </c>
      <c r="N2832" t="n">
        <v>0</v>
      </c>
      <c r="O2832" t="n">
        <v>0</v>
      </c>
      <c r="P2832" t="n">
        <v>0</v>
      </c>
      <c r="Q2832" t="n">
        <v>0</v>
      </c>
      <c r="R2832" t="n">
        <v>0</v>
      </c>
      <c r="S2832" t="n">
        <v>0</v>
      </c>
      <c r="T2832" t="n">
        <v>0</v>
      </c>
      <c r="U2832" t="n">
        <v>0</v>
      </c>
      <c r="V2832" s="2" t="inlineStr"/>
    </row>
    <row r="2833" ht="15" customHeight="1">
      <c r="A2833" t="inlineStr">
        <is>
          <t>A 31083-2022</t>
        </is>
      </c>
      <c r="B2833" t="inlineStr">
        <is>
          <t>avverkningsanmälan</t>
        </is>
      </c>
      <c r="C2833" t="inlineStr">
        <is>
          <t>Föryngringsavverkning</t>
        </is>
      </c>
      <c r="D2833" s="1" t="n">
        <v>44769</v>
      </c>
      <c r="E2833" s="1" t="n">
        <v>46313</v>
      </c>
      <c r="F2833" t="inlineStr">
        <is>
          <t>SÖDERMANLANDS LÄN</t>
        </is>
      </c>
      <c r="G2833" t="inlineStr">
        <is>
          <t>FLEN</t>
        </is>
      </c>
      <c r="I2833" t="n">
        <v>7.1</v>
      </c>
      <c r="J2833" t="n">
        <v>0</v>
      </c>
      <c r="K2833" t="n">
        <v>0</v>
      </c>
      <c r="L2833" t="n">
        <v>0</v>
      </c>
      <c r="M2833" t="n">
        <v>0</v>
      </c>
      <c r="N2833" t="n">
        <v>0</v>
      </c>
      <c r="O2833" t="n">
        <v>0</v>
      </c>
      <c r="P2833" t="n">
        <v>0</v>
      </c>
      <c r="Q2833" t="n">
        <v>0</v>
      </c>
      <c r="R2833" t="n">
        <v>0</v>
      </c>
      <c r="S2833" t="n">
        <v>0</v>
      </c>
      <c r="T2833" t="n">
        <v>0</v>
      </c>
      <c r="U2833" t="n">
        <v>0</v>
      </c>
      <c r="V2833" s="2" t="inlineStr"/>
    </row>
    <row r="2834" ht="15" customHeight="1">
      <c r="A2834" t="inlineStr">
        <is>
          <t>A 5320-2025</t>
        </is>
      </c>
      <c r="B2834" t="inlineStr">
        <is>
          <t>avverkningsanmälan</t>
        </is>
      </c>
      <c r="C2834" t="inlineStr">
        <is>
          <t>Föryngringsavverkning</t>
        </is>
      </c>
      <c r="D2834" s="1" t="n">
        <v>45692</v>
      </c>
      <c r="E2834" s="1" t="n">
        <v>46313</v>
      </c>
      <c r="F2834" t="inlineStr">
        <is>
          <t>SÖDERMANLANDS LÄN</t>
        </is>
      </c>
      <c r="G2834" t="inlineStr">
        <is>
          <t>KATRINEHOLM</t>
        </is>
      </c>
      <c r="H2834" t="inlineStr">
        <is>
          <t>Kommuner</t>
        </is>
      </c>
      <c r="I2834" t="n">
        <v>0.9</v>
      </c>
      <c r="J2834" t="n">
        <v>0</v>
      </c>
      <c r="K2834" t="n">
        <v>0</v>
      </c>
      <c r="L2834" t="n">
        <v>0</v>
      </c>
      <c r="M2834" t="n">
        <v>0</v>
      </c>
      <c r="N2834" t="n">
        <v>0</v>
      </c>
      <c r="O2834" t="n">
        <v>0</v>
      </c>
      <c r="P2834" t="n">
        <v>0</v>
      </c>
      <c r="Q2834" t="n">
        <v>0</v>
      </c>
      <c r="R2834" t="n">
        <v>0</v>
      </c>
      <c r="S2834" t="n">
        <v>0</v>
      </c>
      <c r="T2834" t="n">
        <v>0</v>
      </c>
      <c r="U2834" t="n">
        <v>0</v>
      </c>
      <c r="V2834" s="2" t="inlineStr"/>
    </row>
    <row r="2835" ht="15" customHeight="1">
      <c r="A2835" t="inlineStr">
        <is>
          <t>A 55812-2022</t>
        </is>
      </c>
      <c r="B2835" t="inlineStr">
        <is>
          <t>avverkningsanmälan</t>
        </is>
      </c>
      <c r="C2835" t="inlineStr">
        <is>
          <t>Föryngringsavverkning</t>
        </is>
      </c>
      <c r="D2835" s="1" t="n">
        <v>44886</v>
      </c>
      <c r="E2835" s="1" t="n">
        <v>46313</v>
      </c>
      <c r="F2835" t="inlineStr">
        <is>
          <t>SÖDERMANLANDS LÄN</t>
        </is>
      </c>
      <c r="G2835" t="inlineStr">
        <is>
          <t>ESKILSTUNA</t>
        </is>
      </c>
      <c r="I2835" t="n">
        <v>7</v>
      </c>
      <c r="J2835" t="n">
        <v>0</v>
      </c>
      <c r="K2835" t="n">
        <v>0</v>
      </c>
      <c r="L2835" t="n">
        <v>0</v>
      </c>
      <c r="M2835" t="n">
        <v>0</v>
      </c>
      <c r="N2835" t="n">
        <v>0</v>
      </c>
      <c r="O2835" t="n">
        <v>0</v>
      </c>
      <c r="P2835" t="n">
        <v>0</v>
      </c>
      <c r="Q2835" t="n">
        <v>0</v>
      </c>
      <c r="R2835" t="n">
        <v>0</v>
      </c>
      <c r="S2835" t="n">
        <v>0</v>
      </c>
      <c r="T2835" t="n">
        <v>0</v>
      </c>
      <c r="U2835" t="n">
        <v>0</v>
      </c>
      <c r="V2835" s="2" t="inlineStr"/>
    </row>
    <row r="2836" ht="15" customHeight="1">
      <c r="A2836" t="inlineStr">
        <is>
          <t>A 49914-2023</t>
        </is>
      </c>
      <c r="B2836" t="inlineStr">
        <is>
          <t>avverkningsanmälan</t>
        </is>
      </c>
      <c r="C2836" t="inlineStr">
        <is>
          <t>Föryngringsavverkning</t>
        </is>
      </c>
      <c r="D2836" s="1" t="n">
        <v>45214</v>
      </c>
      <c r="E2836" s="1" t="n">
        <v>46313</v>
      </c>
      <c r="F2836" t="inlineStr">
        <is>
          <t>SÖDERMANLANDS LÄN</t>
        </is>
      </c>
      <c r="G2836" t="inlineStr">
        <is>
          <t>KATRINEHOLM</t>
        </is>
      </c>
      <c r="I2836" t="n">
        <v>1.4</v>
      </c>
      <c r="J2836" t="n">
        <v>0</v>
      </c>
      <c r="K2836" t="n">
        <v>0</v>
      </c>
      <c r="L2836" t="n">
        <v>0</v>
      </c>
      <c r="M2836" t="n">
        <v>0</v>
      </c>
      <c r="N2836" t="n">
        <v>0</v>
      </c>
      <c r="O2836" t="n">
        <v>0</v>
      </c>
      <c r="P2836" t="n">
        <v>0</v>
      </c>
      <c r="Q2836" t="n">
        <v>0</v>
      </c>
      <c r="R2836" t="n">
        <v>0</v>
      </c>
      <c r="S2836" t="n">
        <v>0</v>
      </c>
      <c r="T2836" t="n">
        <v>0</v>
      </c>
      <c r="U2836" t="n">
        <v>0</v>
      </c>
      <c r="V2836" s="2" t="inlineStr"/>
    </row>
    <row r="2837" ht="15" customHeight="1">
      <c r="A2837" t="inlineStr">
        <is>
          <t>A 32407-2023</t>
        </is>
      </c>
      <c r="B2837" t="inlineStr">
        <is>
          <t>avverkningsanmälan</t>
        </is>
      </c>
      <c r="C2837" t="inlineStr">
        <is>
          <t>Föryngringsavverkning</t>
        </is>
      </c>
      <c r="D2837" s="1" t="n">
        <v>45110</v>
      </c>
      <c r="E2837" s="1" t="n">
        <v>46313</v>
      </c>
      <c r="F2837" t="inlineStr">
        <is>
          <t>SÖDERMANLANDS LÄN</t>
        </is>
      </c>
      <c r="G2837" t="inlineStr">
        <is>
          <t>FLEN</t>
        </is>
      </c>
      <c r="I2837" t="n">
        <v>0.7</v>
      </c>
      <c r="J2837" t="n">
        <v>0</v>
      </c>
      <c r="K2837" t="n">
        <v>0</v>
      </c>
      <c r="L2837" t="n">
        <v>0</v>
      </c>
      <c r="M2837" t="n">
        <v>0</v>
      </c>
      <c r="N2837" t="n">
        <v>0</v>
      </c>
      <c r="O2837" t="n">
        <v>0</v>
      </c>
      <c r="P2837" t="n">
        <v>0</v>
      </c>
      <c r="Q2837" t="n">
        <v>0</v>
      </c>
      <c r="R2837" t="n">
        <v>0</v>
      </c>
      <c r="S2837" t="n">
        <v>0</v>
      </c>
      <c r="T2837" t="n">
        <v>0</v>
      </c>
      <c r="U2837" t="n">
        <v>0</v>
      </c>
      <c r="V2837" s="2" t="inlineStr"/>
    </row>
    <row r="2838" ht="15" customHeight="1">
      <c r="A2838" t="inlineStr">
        <is>
          <t>A 58926-2023</t>
        </is>
      </c>
      <c r="B2838" t="inlineStr">
        <is>
          <t>avverkningsanmälan</t>
        </is>
      </c>
      <c r="C2838" t="inlineStr">
        <is>
          <t>Föryngringsavverkning</t>
        </is>
      </c>
      <c r="D2838" s="1" t="n">
        <v>45250</v>
      </c>
      <c r="E2838" s="1" t="n">
        <v>46313</v>
      </c>
      <c r="F2838" t="inlineStr">
        <is>
          <t>SÖDERMANLANDS LÄN</t>
        </is>
      </c>
      <c r="G2838" t="inlineStr">
        <is>
          <t>FLEN</t>
        </is>
      </c>
      <c r="I2838" t="n">
        <v>1.7</v>
      </c>
      <c r="J2838" t="n">
        <v>0</v>
      </c>
      <c r="K2838" t="n">
        <v>0</v>
      </c>
      <c r="L2838" t="n">
        <v>0</v>
      </c>
      <c r="M2838" t="n">
        <v>0</v>
      </c>
      <c r="N2838" t="n">
        <v>0</v>
      </c>
      <c r="O2838" t="n">
        <v>0</v>
      </c>
      <c r="P2838" t="n">
        <v>0</v>
      </c>
      <c r="Q2838" t="n">
        <v>0</v>
      </c>
      <c r="R2838" t="n">
        <v>0</v>
      </c>
      <c r="S2838" t="n">
        <v>0</v>
      </c>
      <c r="T2838" t="n">
        <v>0</v>
      </c>
      <c r="U2838" t="n">
        <v>0</v>
      </c>
      <c r="V2838" s="2" t="inlineStr"/>
    </row>
    <row r="2839" ht="15" customHeight="1">
      <c r="A2839" t="inlineStr">
        <is>
          <t>A 39040-2026</t>
        </is>
      </c>
      <c r="B2839" t="inlineStr">
        <is>
          <t>avverkningsanmälan</t>
        </is>
      </c>
      <c r="C2839" t="inlineStr">
        <is>
          <t>Föryngringsavverkning</t>
        </is>
      </c>
      <c r="D2839" s="1" t="n">
        <v>46287</v>
      </c>
      <c r="E2839" s="1" t="n">
        <v>46313</v>
      </c>
      <c r="F2839" t="inlineStr">
        <is>
          <t>SÖDERMANLANDS LÄN</t>
        </is>
      </c>
      <c r="G2839" t="inlineStr">
        <is>
          <t>NYKÖPING</t>
        </is>
      </c>
      <c r="I2839" t="n">
        <v>1.3</v>
      </c>
      <c r="J2839" t="n">
        <v>0</v>
      </c>
      <c r="K2839" t="n">
        <v>0</v>
      </c>
      <c r="L2839" t="n">
        <v>0</v>
      </c>
      <c r="M2839" t="n">
        <v>0</v>
      </c>
      <c r="N2839" t="n">
        <v>0</v>
      </c>
      <c r="O2839" t="n">
        <v>0</v>
      </c>
      <c r="P2839" t="n">
        <v>0</v>
      </c>
      <c r="Q2839" t="n">
        <v>0</v>
      </c>
      <c r="R2839" t="n">
        <v>0</v>
      </c>
      <c r="S2839" t="n">
        <v>0</v>
      </c>
      <c r="T2839" t="n">
        <v>0</v>
      </c>
      <c r="U2839" t="n">
        <v>0</v>
      </c>
      <c r="V2839" s="2" t="inlineStr"/>
    </row>
    <row r="2840" ht="15" customHeight="1">
      <c r="A2840" t="inlineStr">
        <is>
          <t>A 44637-2023</t>
        </is>
      </c>
      <c r="B2840" t="inlineStr">
        <is>
          <t>avverkningsanmälan</t>
        </is>
      </c>
      <c r="C2840" t="inlineStr">
        <is>
          <t>Föryngringsavverkning</t>
        </is>
      </c>
      <c r="D2840" s="1" t="n">
        <v>45189</v>
      </c>
      <c r="E2840" s="1" t="n">
        <v>46313</v>
      </c>
      <c r="F2840" t="inlineStr">
        <is>
          <t>SÖDERMANLANDS LÄN</t>
        </is>
      </c>
      <c r="G2840" t="inlineStr">
        <is>
          <t>KATRINEHOLM</t>
        </is>
      </c>
      <c r="I2840" t="n">
        <v>5.1</v>
      </c>
      <c r="J2840" t="n">
        <v>0</v>
      </c>
      <c r="K2840" t="n">
        <v>0</v>
      </c>
      <c r="L2840" t="n">
        <v>0</v>
      </c>
      <c r="M2840" t="n">
        <v>0</v>
      </c>
      <c r="N2840" t="n">
        <v>0</v>
      </c>
      <c r="O2840" t="n">
        <v>0</v>
      </c>
      <c r="P2840" t="n">
        <v>0</v>
      </c>
      <c r="Q2840" t="n">
        <v>0</v>
      </c>
      <c r="R2840" t="n">
        <v>0</v>
      </c>
      <c r="S2840" t="n">
        <v>0</v>
      </c>
      <c r="T2840" t="n">
        <v>0</v>
      </c>
      <c r="U2840" t="n">
        <v>0</v>
      </c>
      <c r="V2840" s="2" t="inlineStr"/>
    </row>
    <row r="2841" ht="15" customHeight="1">
      <c r="A2841" t="inlineStr">
        <is>
          <t>A 1558-2024</t>
        </is>
      </c>
      <c r="B2841" t="inlineStr">
        <is>
          <t>avverkningsanmälan</t>
        </is>
      </c>
      <c r="C2841" t="inlineStr">
        <is>
          <t>Avverkning för annat ändamål</t>
        </is>
      </c>
      <c r="D2841" s="1" t="n">
        <v>45306</v>
      </c>
      <c r="E2841" s="1" t="n">
        <v>46313</v>
      </c>
      <c r="F2841" t="inlineStr">
        <is>
          <t>SÖDERMANLANDS LÄN</t>
        </is>
      </c>
      <c r="G2841" t="inlineStr">
        <is>
          <t>NYKÖPING</t>
        </is>
      </c>
      <c r="I2841" t="n">
        <v>2.1</v>
      </c>
      <c r="J2841" t="n">
        <v>0</v>
      </c>
      <c r="K2841" t="n">
        <v>0</v>
      </c>
      <c r="L2841" t="n">
        <v>0</v>
      </c>
      <c r="M2841" t="n">
        <v>0</v>
      </c>
      <c r="N2841" t="n">
        <v>0</v>
      </c>
      <c r="O2841" t="n">
        <v>0</v>
      </c>
      <c r="P2841" t="n">
        <v>0</v>
      </c>
      <c r="Q2841" t="n">
        <v>0</v>
      </c>
      <c r="R2841" t="n">
        <v>0</v>
      </c>
      <c r="S2841" t="n">
        <v>0</v>
      </c>
      <c r="T2841" t="n">
        <v>0</v>
      </c>
      <c r="U2841" t="n">
        <v>0</v>
      </c>
      <c r="V2841" s="2" t="inlineStr"/>
    </row>
    <row r="2842" ht="15" customHeight="1">
      <c r="A2842" t="inlineStr">
        <is>
          <t>A 20921-2023</t>
        </is>
      </c>
      <c r="B2842" t="inlineStr">
        <is>
          <t>avverkningsanmälan</t>
        </is>
      </c>
      <c r="C2842" t="inlineStr">
        <is>
          <t>Föryngringsavverkning</t>
        </is>
      </c>
      <c r="D2842" s="1" t="n">
        <v>45061</v>
      </c>
      <c r="E2842" s="1" t="n">
        <v>46313</v>
      </c>
      <c r="F2842" t="inlineStr">
        <is>
          <t>SÖDERMANLANDS LÄN</t>
        </is>
      </c>
      <c r="G2842" t="inlineStr">
        <is>
          <t>KATRINEHOLM</t>
        </is>
      </c>
      <c r="I2842" t="n">
        <v>8.9</v>
      </c>
      <c r="J2842" t="n">
        <v>0</v>
      </c>
      <c r="K2842" t="n">
        <v>0</v>
      </c>
      <c r="L2842" t="n">
        <v>0</v>
      </c>
      <c r="M2842" t="n">
        <v>0</v>
      </c>
      <c r="N2842" t="n">
        <v>0</v>
      </c>
      <c r="O2842" t="n">
        <v>0</v>
      </c>
      <c r="P2842" t="n">
        <v>0</v>
      </c>
      <c r="Q2842" t="n">
        <v>0</v>
      </c>
      <c r="R2842" t="n">
        <v>0</v>
      </c>
      <c r="S2842" t="n">
        <v>0</v>
      </c>
      <c r="T2842" t="n">
        <v>0</v>
      </c>
      <c r="U2842" t="n">
        <v>0</v>
      </c>
      <c r="V2842" s="2" t="inlineStr"/>
    </row>
    <row r="2843" ht="15" customHeight="1">
      <c r="A2843" t="inlineStr">
        <is>
          <t>A 1549-2022</t>
        </is>
      </c>
      <c r="B2843" t="inlineStr">
        <is>
          <t>avverkningsanmälan</t>
        </is>
      </c>
      <c r="C2843" t="inlineStr">
        <is>
          <t>Föryngringsavverkning</t>
        </is>
      </c>
      <c r="D2843" s="1" t="n">
        <v>44573</v>
      </c>
      <c r="E2843" s="1" t="n">
        <v>46313</v>
      </c>
      <c r="F2843" t="inlineStr">
        <is>
          <t>SÖDERMANLANDS LÄN</t>
        </is>
      </c>
      <c r="G2843" t="inlineStr">
        <is>
          <t>GNESTA</t>
        </is>
      </c>
      <c r="I2843" t="n">
        <v>32.6</v>
      </c>
      <c r="J2843" t="n">
        <v>0</v>
      </c>
      <c r="K2843" t="n">
        <v>0</v>
      </c>
      <c r="L2843" t="n">
        <v>0</v>
      </c>
      <c r="M2843" t="n">
        <v>0</v>
      </c>
      <c r="N2843" t="n">
        <v>0</v>
      </c>
      <c r="O2843" t="n">
        <v>0</v>
      </c>
      <c r="P2843" t="n">
        <v>0</v>
      </c>
      <c r="Q2843" t="n">
        <v>0</v>
      </c>
      <c r="R2843" t="n">
        <v>0</v>
      </c>
      <c r="S2843" t="n">
        <v>0</v>
      </c>
      <c r="T2843" t="n">
        <v>0</v>
      </c>
      <c r="U2843" t="n">
        <v>0</v>
      </c>
      <c r="V2843" s="2" t="inlineStr"/>
    </row>
    <row r="2844" ht="15" customHeight="1">
      <c r="A2844" t="inlineStr">
        <is>
          <t>A 44050-2023</t>
        </is>
      </c>
      <c r="B2844" t="inlineStr">
        <is>
          <t>avverkningsanmälan</t>
        </is>
      </c>
      <c r="C2844" t="inlineStr">
        <is>
          <t>Föryngringsavverkning</t>
        </is>
      </c>
      <c r="D2844" s="1" t="n">
        <v>45188</v>
      </c>
      <c r="E2844" s="1" t="n">
        <v>46313</v>
      </c>
      <c r="F2844" t="inlineStr">
        <is>
          <t>SÖDERMANLANDS LÄN</t>
        </is>
      </c>
      <c r="G2844" t="inlineStr">
        <is>
          <t>GNESTA</t>
        </is>
      </c>
      <c r="H2844" t="inlineStr">
        <is>
          <t>Holmen skog AB</t>
        </is>
      </c>
      <c r="I2844" t="n">
        <v>1.3</v>
      </c>
      <c r="J2844" t="n">
        <v>0</v>
      </c>
      <c r="K2844" t="n">
        <v>0</v>
      </c>
      <c r="L2844" t="n">
        <v>0</v>
      </c>
      <c r="M2844" t="n">
        <v>0</v>
      </c>
      <c r="N2844" t="n">
        <v>0</v>
      </c>
      <c r="O2844" t="n">
        <v>0</v>
      </c>
      <c r="P2844" t="n">
        <v>0</v>
      </c>
      <c r="Q2844" t="n">
        <v>0</v>
      </c>
      <c r="R2844" t="n">
        <v>0</v>
      </c>
      <c r="S2844" t="n">
        <v>0</v>
      </c>
      <c r="T2844" t="n">
        <v>0</v>
      </c>
      <c r="U2844" t="n">
        <v>0</v>
      </c>
      <c r="V2844" s="2" t="inlineStr"/>
    </row>
    <row r="2845" ht="15" customHeight="1">
      <c r="A2845" t="inlineStr">
        <is>
          <t>A 35257-2022</t>
        </is>
      </c>
      <c r="B2845" t="inlineStr">
        <is>
          <t>avverkningsanmälan</t>
        </is>
      </c>
      <c r="C2845" t="inlineStr">
        <is>
          <t>Föryngringsavverkning</t>
        </is>
      </c>
      <c r="D2845" s="1" t="n">
        <v>44798</v>
      </c>
      <c r="E2845" s="1" t="n">
        <v>46313</v>
      </c>
      <c r="F2845" t="inlineStr">
        <is>
          <t>SÖDERMANLANDS LÄN</t>
        </is>
      </c>
      <c r="G2845" t="inlineStr">
        <is>
          <t>VINGÅKER</t>
        </is>
      </c>
      <c r="I2845" t="n">
        <v>1.5</v>
      </c>
      <c r="J2845" t="n">
        <v>0</v>
      </c>
      <c r="K2845" t="n">
        <v>0</v>
      </c>
      <c r="L2845" t="n">
        <v>0</v>
      </c>
      <c r="M2845" t="n">
        <v>0</v>
      </c>
      <c r="N2845" t="n">
        <v>0</v>
      </c>
      <c r="O2845" t="n">
        <v>0</v>
      </c>
      <c r="P2845" t="n">
        <v>0</v>
      </c>
      <c r="Q2845" t="n">
        <v>0</v>
      </c>
      <c r="R2845" t="n">
        <v>0</v>
      </c>
      <c r="S2845" t="n">
        <v>0</v>
      </c>
      <c r="T2845" t="n">
        <v>0</v>
      </c>
      <c r="U2845" t="n">
        <v>0</v>
      </c>
      <c r="V2845" s="2" t="inlineStr"/>
    </row>
    <row r="2846" ht="15" customHeight="1">
      <c r="A2846" t="inlineStr">
        <is>
          <t>A 39144-2026</t>
        </is>
      </c>
      <c r="B2846" t="inlineStr">
        <is>
          <t>avverkningsanmälan</t>
        </is>
      </c>
      <c r="C2846" t="inlineStr">
        <is>
          <t>Föryngringsavverkning</t>
        </is>
      </c>
      <c r="D2846" s="1" t="n">
        <v>46287</v>
      </c>
      <c r="E2846" s="1" t="n">
        <v>46313</v>
      </c>
      <c r="F2846" t="inlineStr">
        <is>
          <t>SÖDERMANLANDS LÄN</t>
        </is>
      </c>
      <c r="G2846" t="inlineStr">
        <is>
          <t>ESKILSTUNA</t>
        </is>
      </c>
      <c r="I2846" t="n">
        <v>3.4</v>
      </c>
      <c r="J2846" t="n">
        <v>0</v>
      </c>
      <c r="K2846" t="n">
        <v>0</v>
      </c>
      <c r="L2846" t="n">
        <v>0</v>
      </c>
      <c r="M2846" t="n">
        <v>0</v>
      </c>
      <c r="N2846" t="n">
        <v>0</v>
      </c>
      <c r="O2846" t="n">
        <v>0</v>
      </c>
      <c r="P2846" t="n">
        <v>0</v>
      </c>
      <c r="Q2846" t="n">
        <v>0</v>
      </c>
      <c r="R2846" t="n">
        <v>0</v>
      </c>
      <c r="S2846" t="n">
        <v>0</v>
      </c>
      <c r="T2846" t="n">
        <v>0</v>
      </c>
      <c r="U2846" t="n">
        <v>0</v>
      </c>
      <c r="V2846" s="2" t="inlineStr"/>
    </row>
    <row r="2847" ht="15" customHeight="1">
      <c r="A2847" t="inlineStr">
        <is>
          <t>A 60210-2022</t>
        </is>
      </c>
      <c r="B2847" t="inlineStr">
        <is>
          <t>avverkningsanmälan</t>
        </is>
      </c>
      <c r="C2847" t="inlineStr">
        <is>
          <t>Föryngringsavverkning</t>
        </is>
      </c>
      <c r="D2847" s="1" t="n">
        <v>44910</v>
      </c>
      <c r="E2847" s="1" t="n">
        <v>46313</v>
      </c>
      <c r="F2847" t="inlineStr">
        <is>
          <t>SÖDERMANLANDS LÄN</t>
        </is>
      </c>
      <c r="G2847" t="inlineStr">
        <is>
          <t>NYKÖPING</t>
        </is>
      </c>
      <c r="I2847" t="n">
        <v>2.5</v>
      </c>
      <c r="J2847" t="n">
        <v>0</v>
      </c>
      <c r="K2847" t="n">
        <v>0</v>
      </c>
      <c r="L2847" t="n">
        <v>0</v>
      </c>
      <c r="M2847" t="n">
        <v>0</v>
      </c>
      <c r="N2847" t="n">
        <v>0</v>
      </c>
      <c r="O2847" t="n">
        <v>0</v>
      </c>
      <c r="P2847" t="n">
        <v>0</v>
      </c>
      <c r="Q2847" t="n">
        <v>0</v>
      </c>
      <c r="R2847" t="n">
        <v>0</v>
      </c>
      <c r="S2847" t="n">
        <v>0</v>
      </c>
      <c r="T2847" t="n">
        <v>0</v>
      </c>
      <c r="U2847" t="n">
        <v>0</v>
      </c>
      <c r="V2847" s="2" t="inlineStr"/>
    </row>
    <row r="2848" ht="15" customHeight="1">
      <c r="A2848" t="inlineStr">
        <is>
          <t>A 33000-2026</t>
        </is>
      </c>
      <c r="B2848" t="inlineStr">
        <is>
          <t>avverkningsanmälan</t>
        </is>
      </c>
      <c r="C2848" t="inlineStr">
        <is>
          <t>Föryngringsavverkning</t>
        </is>
      </c>
      <c r="D2848" s="1" t="n">
        <v>46244</v>
      </c>
      <c r="E2848" s="1" t="n">
        <v>46313</v>
      </c>
      <c r="F2848" t="inlineStr">
        <is>
          <t>SÖDERMANLANDS LÄN</t>
        </is>
      </c>
      <c r="G2848" t="inlineStr">
        <is>
          <t>FLEN</t>
        </is>
      </c>
      <c r="I2848" t="n">
        <v>1.5</v>
      </c>
      <c r="J2848" t="n">
        <v>0</v>
      </c>
      <c r="K2848" t="n">
        <v>0</v>
      </c>
      <c r="L2848" t="n">
        <v>0</v>
      </c>
      <c r="M2848" t="n">
        <v>0</v>
      </c>
      <c r="N2848" t="n">
        <v>0</v>
      </c>
      <c r="O2848" t="n">
        <v>0</v>
      </c>
      <c r="P2848" t="n">
        <v>0</v>
      </c>
      <c r="Q2848" t="n">
        <v>0</v>
      </c>
      <c r="R2848" t="n">
        <v>0</v>
      </c>
      <c r="S2848" t="n">
        <v>0</v>
      </c>
      <c r="T2848" t="n">
        <v>0</v>
      </c>
      <c r="U2848" t="n">
        <v>0</v>
      </c>
      <c r="V2848" s="2" t="inlineStr"/>
    </row>
    <row r="2849" ht="15" customHeight="1">
      <c r="A2849" t="inlineStr">
        <is>
          <t>A 26138-2024</t>
        </is>
      </c>
      <c r="B2849" t="inlineStr">
        <is>
          <t>avverkningsanmälan</t>
        </is>
      </c>
      <c r="C2849" t="inlineStr">
        <is>
          <t>Föryngringsavverkning</t>
        </is>
      </c>
      <c r="D2849" s="1" t="n">
        <v>45468</v>
      </c>
      <c r="E2849" s="1" t="n">
        <v>46313</v>
      </c>
      <c r="F2849" t="inlineStr">
        <is>
          <t>SÖDERMANLANDS LÄN</t>
        </is>
      </c>
      <c r="G2849" t="inlineStr">
        <is>
          <t>GNESTA</t>
        </is>
      </c>
      <c r="I2849" t="n">
        <v>1.7</v>
      </c>
      <c r="J2849" t="n">
        <v>0</v>
      </c>
      <c r="K2849" t="n">
        <v>0</v>
      </c>
      <c r="L2849" t="n">
        <v>0</v>
      </c>
      <c r="M2849" t="n">
        <v>0</v>
      </c>
      <c r="N2849" t="n">
        <v>0</v>
      </c>
      <c r="O2849" t="n">
        <v>0</v>
      </c>
      <c r="P2849" t="n">
        <v>0</v>
      </c>
      <c r="Q2849" t="n">
        <v>0</v>
      </c>
      <c r="R2849" t="n">
        <v>0</v>
      </c>
      <c r="S2849" t="n">
        <v>0</v>
      </c>
      <c r="T2849" t="n">
        <v>0</v>
      </c>
      <c r="U2849" t="n">
        <v>0</v>
      </c>
      <c r="V2849" s="2" t="inlineStr"/>
    </row>
    <row r="2850" ht="15" customHeight="1">
      <c r="A2850" t="inlineStr">
        <is>
          <t>A 26141-2024</t>
        </is>
      </c>
      <c r="B2850" t="inlineStr">
        <is>
          <t>avverkningsanmälan</t>
        </is>
      </c>
      <c r="C2850" t="inlineStr">
        <is>
          <t>Föryngringsavverkning</t>
        </is>
      </c>
      <c r="D2850" s="1" t="n">
        <v>45468</v>
      </c>
      <c r="E2850" s="1" t="n">
        <v>46313</v>
      </c>
      <c r="F2850" t="inlineStr">
        <is>
          <t>SÖDERMANLANDS LÄN</t>
        </is>
      </c>
      <c r="G2850" t="inlineStr">
        <is>
          <t>GNESTA</t>
        </is>
      </c>
      <c r="I2850" t="n">
        <v>0.7</v>
      </c>
      <c r="J2850" t="n">
        <v>0</v>
      </c>
      <c r="K2850" t="n">
        <v>0</v>
      </c>
      <c r="L2850" t="n">
        <v>0</v>
      </c>
      <c r="M2850" t="n">
        <v>0</v>
      </c>
      <c r="N2850" t="n">
        <v>0</v>
      </c>
      <c r="O2850" t="n">
        <v>0</v>
      </c>
      <c r="P2850" t="n">
        <v>0</v>
      </c>
      <c r="Q2850" t="n">
        <v>0</v>
      </c>
      <c r="R2850" t="n">
        <v>0</v>
      </c>
      <c r="S2850" t="n">
        <v>0</v>
      </c>
      <c r="T2850" t="n">
        <v>0</v>
      </c>
      <c r="U2850" t="n">
        <v>0</v>
      </c>
      <c r="V2850" s="2" t="inlineStr"/>
    </row>
    <row r="2851" ht="15" customHeight="1">
      <c r="A2851" t="inlineStr">
        <is>
          <t>A 6446-2022</t>
        </is>
      </c>
      <c r="B2851" t="inlineStr">
        <is>
          <t>avverkningsanmälan</t>
        </is>
      </c>
      <c r="C2851" t="inlineStr">
        <is>
          <t>Föryngringsavverkning</t>
        </is>
      </c>
      <c r="D2851" s="1" t="n">
        <v>44600</v>
      </c>
      <c r="E2851" s="1" t="n">
        <v>46313</v>
      </c>
      <c r="F2851" t="inlineStr">
        <is>
          <t>SÖDERMANLANDS LÄN</t>
        </is>
      </c>
      <c r="G2851" t="inlineStr">
        <is>
          <t>KATRINEHOLM</t>
        </is>
      </c>
      <c r="I2851" t="n">
        <v>1.5</v>
      </c>
      <c r="J2851" t="n">
        <v>0</v>
      </c>
      <c r="K2851" t="n">
        <v>0</v>
      </c>
      <c r="L2851" t="n">
        <v>0</v>
      </c>
      <c r="M2851" t="n">
        <v>0</v>
      </c>
      <c r="N2851" t="n">
        <v>0</v>
      </c>
      <c r="O2851" t="n">
        <v>0</v>
      </c>
      <c r="P2851" t="n">
        <v>0</v>
      </c>
      <c r="Q2851" t="n">
        <v>0</v>
      </c>
      <c r="R2851" t="n">
        <v>0</v>
      </c>
      <c r="S2851" t="n">
        <v>0</v>
      </c>
      <c r="T2851" t="n">
        <v>0</v>
      </c>
      <c r="U2851" t="n">
        <v>0</v>
      </c>
      <c r="V2851" s="2" t="inlineStr"/>
    </row>
    <row r="2852" ht="15" customHeight="1">
      <c r="A2852" t="inlineStr">
        <is>
          <t>A 59471-2022</t>
        </is>
      </c>
      <c r="B2852" t="inlineStr">
        <is>
          <t>avverkningsanmälan</t>
        </is>
      </c>
      <c r="C2852" t="inlineStr">
        <is>
          <t>Föryngringsavverkning</t>
        </is>
      </c>
      <c r="D2852" s="1" t="n">
        <v>44907</v>
      </c>
      <c r="E2852" s="1" t="n">
        <v>46313</v>
      </c>
      <c r="F2852" t="inlineStr">
        <is>
          <t>SÖDERMANLANDS LÄN</t>
        </is>
      </c>
      <c r="G2852" t="inlineStr">
        <is>
          <t>GNESTA</t>
        </is>
      </c>
      <c r="I2852" t="n">
        <v>1.2</v>
      </c>
      <c r="J2852" t="n">
        <v>0</v>
      </c>
      <c r="K2852" t="n">
        <v>0</v>
      </c>
      <c r="L2852" t="n">
        <v>0</v>
      </c>
      <c r="M2852" t="n">
        <v>0</v>
      </c>
      <c r="N2852" t="n">
        <v>0</v>
      </c>
      <c r="O2852" t="n">
        <v>0</v>
      </c>
      <c r="P2852" t="n">
        <v>0</v>
      </c>
      <c r="Q2852" t="n">
        <v>0</v>
      </c>
      <c r="R2852" t="n">
        <v>0</v>
      </c>
      <c r="S2852" t="n">
        <v>0</v>
      </c>
      <c r="T2852" t="n">
        <v>0</v>
      </c>
      <c r="U2852" t="n">
        <v>0</v>
      </c>
      <c r="V2852" s="2" t="inlineStr"/>
    </row>
    <row r="2853" ht="15" customHeight="1">
      <c r="A2853" t="inlineStr">
        <is>
          <t>A 4724-2023</t>
        </is>
      </c>
      <c r="B2853" t="inlineStr">
        <is>
          <t>avverkningsanmälan</t>
        </is>
      </c>
      <c r="C2853" t="inlineStr">
        <is>
          <t>Föryngringsavverkning</t>
        </is>
      </c>
      <c r="D2853" s="1" t="n">
        <v>44957</v>
      </c>
      <c r="E2853" s="1" t="n">
        <v>46313</v>
      </c>
      <c r="F2853" t="inlineStr">
        <is>
          <t>SÖDERMANLANDS LÄN</t>
        </is>
      </c>
      <c r="G2853" t="inlineStr">
        <is>
          <t>KATRINEHOLM</t>
        </is>
      </c>
      <c r="H2853" t="inlineStr">
        <is>
          <t>Holmen skog AB</t>
        </is>
      </c>
      <c r="I2853" t="n">
        <v>1.7</v>
      </c>
      <c r="J2853" t="n">
        <v>0</v>
      </c>
      <c r="K2853" t="n">
        <v>0</v>
      </c>
      <c r="L2853" t="n">
        <v>0</v>
      </c>
      <c r="M2853" t="n">
        <v>0</v>
      </c>
      <c r="N2853" t="n">
        <v>0</v>
      </c>
      <c r="O2853" t="n">
        <v>0</v>
      </c>
      <c r="P2853" t="n">
        <v>0</v>
      </c>
      <c r="Q2853" t="n">
        <v>0</v>
      </c>
      <c r="R2853" t="n">
        <v>0</v>
      </c>
      <c r="S2853" t="n">
        <v>0</v>
      </c>
      <c r="T2853" t="n">
        <v>0</v>
      </c>
      <c r="U2853" t="n">
        <v>0</v>
      </c>
      <c r="V2853" s="2" t="inlineStr"/>
    </row>
    <row r="2854" ht="15" customHeight="1">
      <c r="A2854" t="inlineStr">
        <is>
          <t>A 61431-2024</t>
        </is>
      </c>
      <c r="B2854" t="inlineStr">
        <is>
          <t>avverkningsanmälan</t>
        </is>
      </c>
      <c r="C2854" t="inlineStr">
        <is>
          <t>Föryngringsavverkning</t>
        </is>
      </c>
      <c r="D2854" s="1" t="n">
        <v>45646</v>
      </c>
      <c r="E2854" s="1" t="n">
        <v>46313</v>
      </c>
      <c r="F2854" t="inlineStr">
        <is>
          <t>SÖDERMANLANDS LÄN</t>
        </is>
      </c>
      <c r="G2854" t="inlineStr">
        <is>
          <t>KATRINEHOLM</t>
        </is>
      </c>
      <c r="I2854" t="n">
        <v>0.8</v>
      </c>
      <c r="J2854" t="n">
        <v>0</v>
      </c>
      <c r="K2854" t="n">
        <v>0</v>
      </c>
      <c r="L2854" t="n">
        <v>0</v>
      </c>
      <c r="M2854" t="n">
        <v>0</v>
      </c>
      <c r="N2854" t="n">
        <v>0</v>
      </c>
      <c r="O2854" t="n">
        <v>0</v>
      </c>
      <c r="P2854" t="n">
        <v>0</v>
      </c>
      <c r="Q2854" t="n">
        <v>0</v>
      </c>
      <c r="R2854" t="n">
        <v>0</v>
      </c>
      <c r="S2854" t="n">
        <v>0</v>
      </c>
      <c r="T2854" t="n">
        <v>0</v>
      </c>
      <c r="U2854" t="n">
        <v>0</v>
      </c>
      <c r="V2854" s="2" t="inlineStr"/>
    </row>
    <row r="2855" ht="15" customHeight="1">
      <c r="A2855" t="inlineStr">
        <is>
          <t>A 33095-2026</t>
        </is>
      </c>
      <c r="B2855" t="inlineStr">
        <is>
          <t>avverkningsanmälan</t>
        </is>
      </c>
      <c r="C2855" t="inlineStr">
        <is>
          <t>Föryngringsavverkning</t>
        </is>
      </c>
      <c r="D2855" s="1" t="n">
        <v>46245</v>
      </c>
      <c r="E2855" s="1" t="n">
        <v>46313</v>
      </c>
      <c r="F2855" t="inlineStr">
        <is>
          <t>SÖDERMANLANDS LÄN</t>
        </is>
      </c>
      <c r="G2855" t="inlineStr">
        <is>
          <t>NYKÖPING</t>
        </is>
      </c>
      <c r="H2855" t="inlineStr">
        <is>
          <t>Holmen skog AB</t>
        </is>
      </c>
      <c r="I2855" t="n">
        <v>0.9</v>
      </c>
      <c r="J2855" t="n">
        <v>0</v>
      </c>
      <c r="K2855" t="n">
        <v>0</v>
      </c>
      <c r="L2855" t="n">
        <v>0</v>
      </c>
      <c r="M2855" t="n">
        <v>0</v>
      </c>
      <c r="N2855" t="n">
        <v>0</v>
      </c>
      <c r="O2855" t="n">
        <v>0</v>
      </c>
      <c r="P2855" t="n">
        <v>0</v>
      </c>
      <c r="Q2855" t="n">
        <v>0</v>
      </c>
      <c r="R2855" t="n">
        <v>0</v>
      </c>
      <c r="S2855" t="n">
        <v>0</v>
      </c>
      <c r="T2855" t="n">
        <v>0</v>
      </c>
      <c r="U2855" t="n">
        <v>0</v>
      </c>
      <c r="V2855" s="2" t="inlineStr"/>
    </row>
    <row r="2856" ht="15" customHeight="1">
      <c r="A2856" t="inlineStr">
        <is>
          <t>A 33125-2026</t>
        </is>
      </c>
      <c r="B2856" t="inlineStr">
        <is>
          <t>avverkningsanmälan</t>
        </is>
      </c>
      <c r="C2856" t="inlineStr">
        <is>
          <t>Föryngringsavverkning</t>
        </is>
      </c>
      <c r="D2856" s="1" t="n">
        <v>46245</v>
      </c>
      <c r="E2856" s="1" t="n">
        <v>46313</v>
      </c>
      <c r="F2856" t="inlineStr">
        <is>
          <t>SÖDERMANLANDS LÄN</t>
        </is>
      </c>
      <c r="G2856" t="inlineStr">
        <is>
          <t>ESKILSTUNA</t>
        </is>
      </c>
      <c r="I2856" t="n">
        <v>0.3</v>
      </c>
      <c r="J2856" t="n">
        <v>0</v>
      </c>
      <c r="K2856" t="n">
        <v>0</v>
      </c>
      <c r="L2856" t="n">
        <v>0</v>
      </c>
      <c r="M2856" t="n">
        <v>0</v>
      </c>
      <c r="N2856" t="n">
        <v>0</v>
      </c>
      <c r="O2856" t="n">
        <v>0</v>
      </c>
      <c r="P2856" t="n">
        <v>0</v>
      </c>
      <c r="Q2856" t="n">
        <v>0</v>
      </c>
      <c r="R2856" t="n">
        <v>0</v>
      </c>
      <c r="S2856" t="n">
        <v>0</v>
      </c>
      <c r="T2856" t="n">
        <v>0</v>
      </c>
      <c r="U2856" t="n">
        <v>0</v>
      </c>
      <c r="V2856" s="2" t="inlineStr"/>
    </row>
    <row r="2857" ht="15" customHeight="1">
      <c r="A2857" t="inlineStr">
        <is>
          <t>A 33278-2026</t>
        </is>
      </c>
      <c r="B2857" t="inlineStr">
        <is>
          <t>avverkningsanmälan</t>
        </is>
      </c>
      <c r="C2857" t="inlineStr">
        <is>
          <t>Föryngringsavverkning</t>
        </is>
      </c>
      <c r="D2857" s="1" t="n">
        <v>46246</v>
      </c>
      <c r="E2857" s="1" t="n">
        <v>46313</v>
      </c>
      <c r="F2857" t="inlineStr">
        <is>
          <t>SÖDERMANLANDS LÄN</t>
        </is>
      </c>
      <c r="G2857" t="inlineStr">
        <is>
          <t>ESKILSTUNA</t>
        </is>
      </c>
      <c r="I2857" t="n">
        <v>1.4</v>
      </c>
      <c r="J2857" t="n">
        <v>0</v>
      </c>
      <c r="K2857" t="n">
        <v>0</v>
      </c>
      <c r="L2857" t="n">
        <v>0</v>
      </c>
      <c r="M2857" t="n">
        <v>0</v>
      </c>
      <c r="N2857" t="n">
        <v>0</v>
      </c>
      <c r="O2857" t="n">
        <v>0</v>
      </c>
      <c r="P2857" t="n">
        <v>0</v>
      </c>
      <c r="Q2857" t="n">
        <v>0</v>
      </c>
      <c r="R2857" t="n">
        <v>0</v>
      </c>
      <c r="S2857" t="n">
        <v>0</v>
      </c>
      <c r="T2857" t="n">
        <v>0</v>
      </c>
      <c r="U2857" t="n">
        <v>0</v>
      </c>
      <c r="V2857" s="2" t="inlineStr"/>
    </row>
    <row r="2858" ht="15" customHeight="1">
      <c r="A2858" t="inlineStr">
        <is>
          <t>A 56914-2022</t>
        </is>
      </c>
      <c r="B2858" t="inlineStr">
        <is>
          <t>avverkningsanmälan</t>
        </is>
      </c>
      <c r="C2858" t="inlineStr">
        <is>
          <t>Föryngringsavverkning</t>
        </is>
      </c>
      <c r="D2858" s="1" t="n">
        <v>44894</v>
      </c>
      <c r="E2858" s="1" t="n">
        <v>46313</v>
      </c>
      <c r="F2858" t="inlineStr">
        <is>
          <t>SÖDERMANLANDS LÄN</t>
        </is>
      </c>
      <c r="G2858" t="inlineStr">
        <is>
          <t>STRÄNGNÄS</t>
        </is>
      </c>
      <c r="I2858" t="n">
        <v>13.2</v>
      </c>
      <c r="J2858" t="n">
        <v>0</v>
      </c>
      <c r="K2858" t="n">
        <v>0</v>
      </c>
      <c r="L2858" t="n">
        <v>0</v>
      </c>
      <c r="M2858" t="n">
        <v>0</v>
      </c>
      <c r="N2858" t="n">
        <v>0</v>
      </c>
      <c r="O2858" t="n">
        <v>0</v>
      </c>
      <c r="P2858" t="n">
        <v>0</v>
      </c>
      <c r="Q2858" t="n">
        <v>0</v>
      </c>
      <c r="R2858" t="n">
        <v>0</v>
      </c>
      <c r="S2858" t="n">
        <v>0</v>
      </c>
      <c r="T2858" t="n">
        <v>0</v>
      </c>
      <c r="U2858" t="n">
        <v>0</v>
      </c>
      <c r="V2858" s="2" t="inlineStr"/>
    </row>
    <row r="2859" ht="15" customHeight="1">
      <c r="A2859" t="inlineStr">
        <is>
          <t>A 51410-2022</t>
        </is>
      </c>
      <c r="B2859" t="inlineStr">
        <is>
          <t>avverkningsanmälan</t>
        </is>
      </c>
      <c r="C2859" t="inlineStr">
        <is>
          <t>Föryngringsavverkning</t>
        </is>
      </c>
      <c r="D2859" s="1" t="n">
        <v>44869</v>
      </c>
      <c r="E2859" s="1" t="n">
        <v>46313</v>
      </c>
      <c r="F2859" t="inlineStr">
        <is>
          <t>SÖDERMANLANDS LÄN</t>
        </is>
      </c>
      <c r="G2859" t="inlineStr">
        <is>
          <t>NYKÖPING</t>
        </is>
      </c>
      <c r="H2859" t="inlineStr">
        <is>
          <t>Holmen skog AB</t>
        </is>
      </c>
      <c r="I2859" t="n">
        <v>0.5</v>
      </c>
      <c r="J2859" t="n">
        <v>0</v>
      </c>
      <c r="K2859" t="n">
        <v>0</v>
      </c>
      <c r="L2859" t="n">
        <v>0</v>
      </c>
      <c r="M2859" t="n">
        <v>0</v>
      </c>
      <c r="N2859" t="n">
        <v>0</v>
      </c>
      <c r="O2859" t="n">
        <v>0</v>
      </c>
      <c r="P2859" t="n">
        <v>0</v>
      </c>
      <c r="Q2859" t="n">
        <v>0</v>
      </c>
      <c r="R2859" t="n">
        <v>0</v>
      </c>
      <c r="S2859" t="n">
        <v>0</v>
      </c>
      <c r="T2859" t="n">
        <v>0</v>
      </c>
      <c r="U2859" t="n">
        <v>0</v>
      </c>
      <c r="V2859" s="2" t="inlineStr"/>
    </row>
    <row r="2860" ht="15" customHeight="1">
      <c r="A2860" t="inlineStr">
        <is>
          <t>A 24097-2022</t>
        </is>
      </c>
      <c r="B2860" t="inlineStr">
        <is>
          <t>avverkningsanmälan</t>
        </is>
      </c>
      <c r="C2860" t="inlineStr">
        <is>
          <t>Föryngringsavverkning</t>
        </is>
      </c>
      <c r="D2860" s="1" t="n">
        <v>44725</v>
      </c>
      <c r="E2860" s="1" t="n">
        <v>46313</v>
      </c>
      <c r="F2860" t="inlineStr">
        <is>
          <t>SÖDERMANLANDS LÄN</t>
        </is>
      </c>
      <c r="G2860" t="inlineStr">
        <is>
          <t>KATRINEHOLM</t>
        </is>
      </c>
      <c r="I2860" t="n">
        <v>6.5</v>
      </c>
      <c r="J2860" t="n">
        <v>0</v>
      </c>
      <c r="K2860" t="n">
        <v>0</v>
      </c>
      <c r="L2860" t="n">
        <v>0</v>
      </c>
      <c r="M2860" t="n">
        <v>0</v>
      </c>
      <c r="N2860" t="n">
        <v>0</v>
      </c>
      <c r="O2860" t="n">
        <v>0</v>
      </c>
      <c r="P2860" t="n">
        <v>0</v>
      </c>
      <c r="Q2860" t="n">
        <v>0</v>
      </c>
      <c r="R2860" t="n">
        <v>0</v>
      </c>
      <c r="S2860" t="n">
        <v>0</v>
      </c>
      <c r="T2860" t="n">
        <v>0</v>
      </c>
      <c r="U2860" t="n">
        <v>0</v>
      </c>
      <c r="V2860" s="2" t="inlineStr"/>
    </row>
    <row r="2861" ht="15" customHeight="1">
      <c r="A2861" t="inlineStr">
        <is>
          <t>A 38135-2023</t>
        </is>
      </c>
      <c r="B2861" t="inlineStr">
        <is>
          <t>avverkningsanmälan</t>
        </is>
      </c>
      <c r="C2861" t="inlineStr">
        <is>
          <t>Föryngringsavverkning</t>
        </is>
      </c>
      <c r="D2861" s="1" t="n">
        <v>45161</v>
      </c>
      <c r="E2861" s="1" t="n">
        <v>46313</v>
      </c>
      <c r="F2861" t="inlineStr">
        <is>
          <t>SÖDERMANLANDS LÄN</t>
        </is>
      </c>
      <c r="G2861" t="inlineStr">
        <is>
          <t>FLEN</t>
        </is>
      </c>
      <c r="I2861" t="n">
        <v>0.7</v>
      </c>
      <c r="J2861" t="n">
        <v>0</v>
      </c>
      <c r="K2861" t="n">
        <v>0</v>
      </c>
      <c r="L2861" t="n">
        <v>0</v>
      </c>
      <c r="M2861" t="n">
        <v>0</v>
      </c>
      <c r="N2861" t="n">
        <v>0</v>
      </c>
      <c r="O2861" t="n">
        <v>0</v>
      </c>
      <c r="P2861" t="n">
        <v>0</v>
      </c>
      <c r="Q2861" t="n">
        <v>0</v>
      </c>
      <c r="R2861" t="n">
        <v>0</v>
      </c>
      <c r="S2861" t="n">
        <v>0</v>
      </c>
      <c r="T2861" t="n">
        <v>0</v>
      </c>
      <c r="U2861" t="n">
        <v>0</v>
      </c>
      <c r="V2861" s="2" t="inlineStr"/>
    </row>
    <row r="2862" ht="15" customHeight="1">
      <c r="A2862" t="inlineStr">
        <is>
          <t>A 5582-2023</t>
        </is>
      </c>
      <c r="B2862" t="inlineStr">
        <is>
          <t>avverkningsanmälan</t>
        </is>
      </c>
      <c r="C2862" t="inlineStr">
        <is>
          <t>Föryngringsavverkning</t>
        </is>
      </c>
      <c r="D2862" s="1" t="n">
        <v>44960</v>
      </c>
      <c r="E2862" s="1" t="n">
        <v>46313</v>
      </c>
      <c r="F2862" t="inlineStr">
        <is>
          <t>SÖDERMANLANDS LÄN</t>
        </is>
      </c>
      <c r="G2862" t="inlineStr">
        <is>
          <t>FLEN</t>
        </is>
      </c>
      <c r="I2862" t="n">
        <v>1.7</v>
      </c>
      <c r="J2862" t="n">
        <v>0</v>
      </c>
      <c r="K2862" t="n">
        <v>0</v>
      </c>
      <c r="L2862" t="n">
        <v>0</v>
      </c>
      <c r="M2862" t="n">
        <v>0</v>
      </c>
      <c r="N2862" t="n">
        <v>0</v>
      </c>
      <c r="O2862" t="n">
        <v>0</v>
      </c>
      <c r="P2862" t="n">
        <v>0</v>
      </c>
      <c r="Q2862" t="n">
        <v>0</v>
      </c>
      <c r="R2862" t="n">
        <v>0</v>
      </c>
      <c r="S2862" t="n">
        <v>0</v>
      </c>
      <c r="T2862" t="n">
        <v>0</v>
      </c>
      <c r="U2862" t="n">
        <v>0</v>
      </c>
      <c r="V2862" s="2" t="inlineStr"/>
    </row>
    <row r="2863" ht="15" customHeight="1">
      <c r="A2863" t="inlineStr">
        <is>
          <t>A 61008-2023</t>
        </is>
      </c>
      <c r="B2863" t="inlineStr">
        <is>
          <t>avverkningsanmälan</t>
        </is>
      </c>
      <c r="C2863" t="inlineStr">
        <is>
          <t>Föryngringsavverkning</t>
        </is>
      </c>
      <c r="D2863" s="1" t="n">
        <v>45261</v>
      </c>
      <c r="E2863" s="1" t="n">
        <v>46313</v>
      </c>
      <c r="F2863" t="inlineStr">
        <is>
          <t>SÖDERMANLANDS LÄN</t>
        </is>
      </c>
      <c r="G2863" t="inlineStr">
        <is>
          <t>NYKÖPING</t>
        </is>
      </c>
      <c r="H2863" t="inlineStr">
        <is>
          <t>Holmen skog AB</t>
        </is>
      </c>
      <c r="I2863" t="n">
        <v>1</v>
      </c>
      <c r="J2863" t="n">
        <v>0</v>
      </c>
      <c r="K2863" t="n">
        <v>0</v>
      </c>
      <c r="L2863" t="n">
        <v>0</v>
      </c>
      <c r="M2863" t="n">
        <v>0</v>
      </c>
      <c r="N2863" t="n">
        <v>0</v>
      </c>
      <c r="O2863" t="n">
        <v>0</v>
      </c>
      <c r="P2863" t="n">
        <v>0</v>
      </c>
      <c r="Q2863" t="n">
        <v>0</v>
      </c>
      <c r="R2863" t="n">
        <v>0</v>
      </c>
      <c r="S2863" t="n">
        <v>0</v>
      </c>
      <c r="T2863" t="n">
        <v>0</v>
      </c>
      <c r="U2863" t="n">
        <v>0</v>
      </c>
      <c r="V2863" s="2" t="inlineStr"/>
    </row>
    <row r="2864" ht="15" customHeight="1">
      <c r="A2864" t="inlineStr">
        <is>
          <t>A 33343-2023</t>
        </is>
      </c>
      <c r="B2864" t="inlineStr">
        <is>
          <t>avverkningsanmälan</t>
        </is>
      </c>
      <c r="C2864" t="inlineStr">
        <is>
          <t>Föryngringsavverkning</t>
        </is>
      </c>
      <c r="D2864" s="1" t="n">
        <v>45128</v>
      </c>
      <c r="E2864" s="1" t="n">
        <v>46313</v>
      </c>
      <c r="F2864" t="inlineStr">
        <is>
          <t>SÖDERMANLANDS LÄN</t>
        </is>
      </c>
      <c r="G2864" t="inlineStr">
        <is>
          <t>STRÄNGNÄS</t>
        </is>
      </c>
      <c r="I2864" t="n">
        <v>4.3</v>
      </c>
      <c r="J2864" t="n">
        <v>0</v>
      </c>
      <c r="K2864" t="n">
        <v>0</v>
      </c>
      <c r="L2864" t="n">
        <v>0</v>
      </c>
      <c r="M2864" t="n">
        <v>0</v>
      </c>
      <c r="N2864" t="n">
        <v>0</v>
      </c>
      <c r="O2864" t="n">
        <v>0</v>
      </c>
      <c r="P2864" t="n">
        <v>0</v>
      </c>
      <c r="Q2864" t="n">
        <v>0</v>
      </c>
      <c r="R2864" t="n">
        <v>0</v>
      </c>
      <c r="S2864" t="n">
        <v>0</v>
      </c>
      <c r="T2864" t="n">
        <v>0</v>
      </c>
      <c r="U2864" t="n">
        <v>0</v>
      </c>
      <c r="V2864" s="2" t="inlineStr"/>
    </row>
    <row r="2865" ht="15" customHeight="1">
      <c r="A2865" t="inlineStr">
        <is>
          <t>A 15169-2023</t>
        </is>
      </c>
      <c r="B2865" t="inlineStr">
        <is>
          <t>avverkningsanmälan</t>
        </is>
      </c>
      <c r="C2865" t="inlineStr">
        <is>
          <t>Föryngringsavverkning</t>
        </is>
      </c>
      <c r="D2865" s="1" t="n">
        <v>45016</v>
      </c>
      <c r="E2865" s="1" t="n">
        <v>46313</v>
      </c>
      <c r="F2865" t="inlineStr">
        <is>
          <t>SÖDERMANLANDS LÄN</t>
        </is>
      </c>
      <c r="G2865" t="inlineStr">
        <is>
          <t>TROSA</t>
        </is>
      </c>
      <c r="H2865" t="inlineStr">
        <is>
          <t>Holmen skog AB</t>
        </is>
      </c>
      <c r="I2865" t="n">
        <v>0.6</v>
      </c>
      <c r="J2865" t="n">
        <v>0</v>
      </c>
      <c r="K2865" t="n">
        <v>0</v>
      </c>
      <c r="L2865" t="n">
        <v>0</v>
      </c>
      <c r="M2865" t="n">
        <v>0</v>
      </c>
      <c r="N2865" t="n">
        <v>0</v>
      </c>
      <c r="O2865" t="n">
        <v>0</v>
      </c>
      <c r="P2865" t="n">
        <v>0</v>
      </c>
      <c r="Q2865" t="n">
        <v>0</v>
      </c>
      <c r="R2865" t="n">
        <v>0</v>
      </c>
      <c r="S2865" t="n">
        <v>0</v>
      </c>
      <c r="T2865" t="n">
        <v>0</v>
      </c>
      <c r="U2865" t="n">
        <v>0</v>
      </c>
      <c r="V2865" s="2" t="inlineStr"/>
    </row>
    <row r="2866" ht="15" customHeight="1">
      <c r="A2866" t="inlineStr">
        <is>
          <t>A 53393-2023</t>
        </is>
      </c>
      <c r="B2866" t="inlineStr">
        <is>
          <t>avverkningsanmälan</t>
        </is>
      </c>
      <c r="C2866" t="inlineStr">
        <is>
          <t>Föryngringsavverkning</t>
        </is>
      </c>
      <c r="D2866" s="1" t="n">
        <v>45229</v>
      </c>
      <c r="E2866" s="1" t="n">
        <v>46313</v>
      </c>
      <c r="F2866" t="inlineStr">
        <is>
          <t>SÖDERMANLANDS LÄN</t>
        </is>
      </c>
      <c r="G2866" t="inlineStr">
        <is>
          <t>KATRINEHOLM</t>
        </is>
      </c>
      <c r="H2866" t="inlineStr">
        <is>
          <t>Kyrkan</t>
        </is>
      </c>
      <c r="I2866" t="n">
        <v>5.6</v>
      </c>
      <c r="J2866" t="n">
        <v>0</v>
      </c>
      <c r="K2866" t="n">
        <v>0</v>
      </c>
      <c r="L2866" t="n">
        <v>0</v>
      </c>
      <c r="M2866" t="n">
        <v>0</v>
      </c>
      <c r="N2866" t="n">
        <v>0</v>
      </c>
      <c r="O2866" t="n">
        <v>0</v>
      </c>
      <c r="P2866" t="n">
        <v>0</v>
      </c>
      <c r="Q2866" t="n">
        <v>0</v>
      </c>
      <c r="R2866" t="n">
        <v>0</v>
      </c>
      <c r="S2866" t="n">
        <v>0</v>
      </c>
      <c r="T2866" t="n">
        <v>0</v>
      </c>
      <c r="U2866" t="n">
        <v>0</v>
      </c>
      <c r="V2866" s="2" t="inlineStr"/>
    </row>
    <row r="2867" ht="15" customHeight="1">
      <c r="A2867" t="inlineStr">
        <is>
          <t>A 57046-2023</t>
        </is>
      </c>
      <c r="B2867" t="inlineStr">
        <is>
          <t>avverkningsanmälan</t>
        </is>
      </c>
      <c r="C2867" t="inlineStr">
        <is>
          <t>Föryngringsavverkning</t>
        </is>
      </c>
      <c r="D2867" s="1" t="n">
        <v>45244</v>
      </c>
      <c r="E2867" s="1" t="n">
        <v>46313</v>
      </c>
      <c r="F2867" t="inlineStr">
        <is>
          <t>SÖDERMANLANDS LÄN</t>
        </is>
      </c>
      <c r="G2867" t="inlineStr">
        <is>
          <t>FLEN</t>
        </is>
      </c>
      <c r="H2867" t="inlineStr">
        <is>
          <t>Övriga statliga verk och myndigheter</t>
        </is>
      </c>
      <c r="I2867" t="n">
        <v>0.9</v>
      </c>
      <c r="J2867" t="n">
        <v>0</v>
      </c>
      <c r="K2867" t="n">
        <v>0</v>
      </c>
      <c r="L2867" t="n">
        <v>0</v>
      </c>
      <c r="M2867" t="n">
        <v>0</v>
      </c>
      <c r="N2867" t="n">
        <v>0</v>
      </c>
      <c r="O2867" t="n">
        <v>0</v>
      </c>
      <c r="P2867" t="n">
        <v>0</v>
      </c>
      <c r="Q2867" t="n">
        <v>0</v>
      </c>
      <c r="R2867" t="n">
        <v>0</v>
      </c>
      <c r="S2867" t="n">
        <v>0</v>
      </c>
      <c r="T2867" t="n">
        <v>0</v>
      </c>
      <c r="U2867" t="n">
        <v>0</v>
      </c>
      <c r="V2867" s="2" t="inlineStr"/>
    </row>
    <row r="2868" ht="15" customHeight="1">
      <c r="A2868" t="inlineStr">
        <is>
          <t>A 60948-2024</t>
        </is>
      </c>
      <c r="B2868" t="inlineStr">
        <is>
          <t>avverkningsanmälan</t>
        </is>
      </c>
      <c r="C2868" t="inlineStr">
        <is>
          <t>Föryngringsavverkning</t>
        </is>
      </c>
      <c r="D2868" s="1" t="n">
        <v>45645</v>
      </c>
      <c r="E2868" s="1" t="n">
        <v>46313</v>
      </c>
      <c r="F2868" t="inlineStr">
        <is>
          <t>SÖDERMANLANDS LÄN</t>
        </is>
      </c>
      <c r="G2868" t="inlineStr">
        <is>
          <t>GNESTA</t>
        </is>
      </c>
      <c r="H2868" t="inlineStr">
        <is>
          <t>Holmen skog AB</t>
        </is>
      </c>
      <c r="I2868" t="n">
        <v>3.3</v>
      </c>
      <c r="J2868" t="n">
        <v>0</v>
      </c>
      <c r="K2868" t="n">
        <v>0</v>
      </c>
      <c r="L2868" t="n">
        <v>0</v>
      </c>
      <c r="M2868" t="n">
        <v>0</v>
      </c>
      <c r="N2868" t="n">
        <v>0</v>
      </c>
      <c r="O2868" t="n">
        <v>0</v>
      </c>
      <c r="P2868" t="n">
        <v>0</v>
      </c>
      <c r="Q2868" t="n">
        <v>0</v>
      </c>
      <c r="R2868" t="n">
        <v>0</v>
      </c>
      <c r="S2868" t="n">
        <v>0</v>
      </c>
      <c r="T2868" t="n">
        <v>0</v>
      </c>
      <c r="U2868" t="n">
        <v>0</v>
      </c>
      <c r="V2868" s="2" t="inlineStr"/>
    </row>
    <row r="2869" ht="15" customHeight="1">
      <c r="A2869" t="inlineStr">
        <is>
          <t>A 39207-2026</t>
        </is>
      </c>
      <c r="B2869" t="inlineStr">
        <is>
          <t>avverkningsanmälan</t>
        </is>
      </c>
      <c r="C2869" t="inlineStr">
        <is>
          <t>Föryngringsavverkning</t>
        </is>
      </c>
      <c r="D2869" s="1" t="n">
        <v>46287</v>
      </c>
      <c r="E2869" s="1" t="n">
        <v>46313</v>
      </c>
      <c r="F2869" t="inlineStr">
        <is>
          <t>SÖDERMANLANDS LÄN</t>
        </is>
      </c>
      <c r="G2869" t="inlineStr">
        <is>
          <t>KATRINEHOLM</t>
        </is>
      </c>
      <c r="I2869" t="n">
        <v>10.6</v>
      </c>
      <c r="J2869" t="n">
        <v>0</v>
      </c>
      <c r="K2869" t="n">
        <v>0</v>
      </c>
      <c r="L2869" t="n">
        <v>0</v>
      </c>
      <c r="M2869" t="n">
        <v>0</v>
      </c>
      <c r="N2869" t="n">
        <v>0</v>
      </c>
      <c r="O2869" t="n">
        <v>0</v>
      </c>
      <c r="P2869" t="n">
        <v>0</v>
      </c>
      <c r="Q2869" t="n">
        <v>0</v>
      </c>
      <c r="R2869" t="n">
        <v>0</v>
      </c>
      <c r="S2869" t="n">
        <v>0</v>
      </c>
      <c r="T2869" t="n">
        <v>0</v>
      </c>
      <c r="U2869" t="n">
        <v>0</v>
      </c>
      <c r="V2869" s="2" t="inlineStr"/>
    </row>
    <row r="2870" ht="15" customHeight="1">
      <c r="A2870" t="inlineStr">
        <is>
          <t>A 979-2022</t>
        </is>
      </c>
      <c r="B2870" t="inlineStr">
        <is>
          <t>avverkningsanmälan</t>
        </is>
      </c>
      <c r="C2870" t="inlineStr">
        <is>
          <t>Föryngringsavverkning</t>
        </is>
      </c>
      <c r="D2870" s="1" t="n">
        <v>44571</v>
      </c>
      <c r="E2870" s="1" t="n">
        <v>46313</v>
      </c>
      <c r="F2870" t="inlineStr">
        <is>
          <t>SÖDERMANLANDS LÄN</t>
        </is>
      </c>
      <c r="G2870" t="inlineStr">
        <is>
          <t>ESKILSTUNA</t>
        </is>
      </c>
      <c r="I2870" t="n">
        <v>1.6</v>
      </c>
      <c r="J2870" t="n">
        <v>0</v>
      </c>
      <c r="K2870" t="n">
        <v>0</v>
      </c>
      <c r="L2870" t="n">
        <v>0</v>
      </c>
      <c r="M2870" t="n">
        <v>0</v>
      </c>
      <c r="N2870" t="n">
        <v>0</v>
      </c>
      <c r="O2870" t="n">
        <v>0</v>
      </c>
      <c r="P2870" t="n">
        <v>0</v>
      </c>
      <c r="Q2870" t="n">
        <v>0</v>
      </c>
      <c r="R2870" t="n">
        <v>0</v>
      </c>
      <c r="S2870" t="n">
        <v>0</v>
      </c>
      <c r="T2870" t="n">
        <v>0</v>
      </c>
      <c r="U2870" t="n">
        <v>0</v>
      </c>
      <c r="V2870" s="2" t="inlineStr"/>
    </row>
    <row r="2871" ht="15" customHeight="1">
      <c r="A2871" t="inlineStr">
        <is>
          <t>A 40744-2022</t>
        </is>
      </c>
      <c r="B2871" t="inlineStr">
        <is>
          <t>avverkningsanmälan</t>
        </is>
      </c>
      <c r="C2871" t="inlineStr">
        <is>
          <t>Föryngringsavverkning</t>
        </is>
      </c>
      <c r="D2871" s="1" t="n">
        <v>44824</v>
      </c>
      <c r="E2871" s="1" t="n">
        <v>46313</v>
      </c>
      <c r="F2871" t="inlineStr">
        <is>
          <t>SÖDERMANLANDS LÄN</t>
        </is>
      </c>
      <c r="G2871" t="inlineStr">
        <is>
          <t>KATRINEHOLM</t>
        </is>
      </c>
      <c r="I2871" t="n">
        <v>3.7</v>
      </c>
      <c r="J2871" t="n">
        <v>0</v>
      </c>
      <c r="K2871" t="n">
        <v>0</v>
      </c>
      <c r="L2871" t="n">
        <v>0</v>
      </c>
      <c r="M2871" t="n">
        <v>0</v>
      </c>
      <c r="N2871" t="n">
        <v>0</v>
      </c>
      <c r="O2871" t="n">
        <v>0</v>
      </c>
      <c r="P2871" t="n">
        <v>0</v>
      </c>
      <c r="Q2871" t="n">
        <v>0</v>
      </c>
      <c r="R2871" t="n">
        <v>0</v>
      </c>
      <c r="S2871" t="n">
        <v>0</v>
      </c>
      <c r="T2871" t="n">
        <v>0</v>
      </c>
      <c r="U2871" t="n">
        <v>0</v>
      </c>
      <c r="V2871" s="2" t="inlineStr"/>
    </row>
    <row r="2872" ht="15" customHeight="1">
      <c r="A2872" t="inlineStr">
        <is>
          <t>A 1330-2024</t>
        </is>
      </c>
      <c r="B2872" t="inlineStr">
        <is>
          <t>avverkningsanmälan</t>
        </is>
      </c>
      <c r="C2872" t="inlineStr">
        <is>
          <t>Avverkning för att bevara och utveckla /försöksver</t>
        </is>
      </c>
      <c r="D2872" s="1" t="n">
        <v>45303</v>
      </c>
      <c r="E2872" s="1" t="n">
        <v>46313</v>
      </c>
      <c r="F2872" t="inlineStr">
        <is>
          <t>SÖDERMANLANDS LÄN</t>
        </is>
      </c>
      <c r="G2872" t="inlineStr">
        <is>
          <t>ESKILSTUNA</t>
        </is>
      </c>
      <c r="I2872" t="n">
        <v>0.8</v>
      </c>
      <c r="J2872" t="n">
        <v>0</v>
      </c>
      <c r="K2872" t="n">
        <v>0</v>
      </c>
      <c r="L2872" t="n">
        <v>0</v>
      </c>
      <c r="M2872" t="n">
        <v>0</v>
      </c>
      <c r="N2872" t="n">
        <v>0</v>
      </c>
      <c r="O2872" t="n">
        <v>0</v>
      </c>
      <c r="P2872" t="n">
        <v>0</v>
      </c>
      <c r="Q2872" t="n">
        <v>0</v>
      </c>
      <c r="R2872" t="n">
        <v>0</v>
      </c>
      <c r="S2872" t="n">
        <v>0</v>
      </c>
      <c r="T2872" t="n">
        <v>0</v>
      </c>
      <c r="U2872" t="n">
        <v>0</v>
      </c>
      <c r="V2872" s="2" t="inlineStr"/>
    </row>
    <row r="2873" ht="15" customHeight="1">
      <c r="A2873" t="inlineStr">
        <is>
          <t>A 1334-2024</t>
        </is>
      </c>
      <c r="B2873" t="inlineStr">
        <is>
          <t>avverkningsanmälan</t>
        </is>
      </c>
      <c r="C2873" t="inlineStr">
        <is>
          <t>Avverkning för att bevara och utveckla /försöksver</t>
        </is>
      </c>
      <c r="D2873" s="1" t="n">
        <v>45303</v>
      </c>
      <c r="E2873" s="1" t="n">
        <v>46313</v>
      </c>
      <c r="F2873" t="inlineStr">
        <is>
          <t>SÖDERMANLANDS LÄN</t>
        </is>
      </c>
      <c r="G2873" t="inlineStr">
        <is>
          <t>ESKILSTUNA</t>
        </is>
      </c>
      <c r="I2873" t="n">
        <v>0.7</v>
      </c>
      <c r="J2873" t="n">
        <v>0</v>
      </c>
      <c r="K2873" t="n">
        <v>0</v>
      </c>
      <c r="L2873" t="n">
        <v>0</v>
      </c>
      <c r="M2873" t="n">
        <v>0</v>
      </c>
      <c r="N2873" t="n">
        <v>0</v>
      </c>
      <c r="O2873" t="n">
        <v>0</v>
      </c>
      <c r="P2873" t="n">
        <v>0</v>
      </c>
      <c r="Q2873" t="n">
        <v>0</v>
      </c>
      <c r="R2873" t="n">
        <v>0</v>
      </c>
      <c r="S2873" t="n">
        <v>0</v>
      </c>
      <c r="T2873" t="n">
        <v>0</v>
      </c>
      <c r="U2873" t="n">
        <v>0</v>
      </c>
      <c r="V2873" s="2" t="inlineStr"/>
    </row>
    <row r="2874" ht="15" customHeight="1">
      <c r="A2874" t="inlineStr">
        <is>
          <t>A 1344-2024</t>
        </is>
      </c>
      <c r="B2874" t="inlineStr">
        <is>
          <t>avverkningsanmälan</t>
        </is>
      </c>
      <c r="C2874" t="inlineStr">
        <is>
          <t>Föryngringsavverkning</t>
        </is>
      </c>
      <c r="D2874" s="1" t="n">
        <v>45303</v>
      </c>
      <c r="E2874" s="1" t="n">
        <v>46313</v>
      </c>
      <c r="F2874" t="inlineStr">
        <is>
          <t>SÖDERMANLANDS LÄN</t>
        </is>
      </c>
      <c r="G2874" t="inlineStr">
        <is>
          <t>ESKILSTUNA</t>
        </is>
      </c>
      <c r="I2874" t="n">
        <v>0.8</v>
      </c>
      <c r="J2874" t="n">
        <v>0</v>
      </c>
      <c r="K2874" t="n">
        <v>0</v>
      </c>
      <c r="L2874" t="n">
        <v>0</v>
      </c>
      <c r="M2874" t="n">
        <v>0</v>
      </c>
      <c r="N2874" t="n">
        <v>0</v>
      </c>
      <c r="O2874" t="n">
        <v>0</v>
      </c>
      <c r="P2874" t="n">
        <v>0</v>
      </c>
      <c r="Q2874" t="n">
        <v>0</v>
      </c>
      <c r="R2874" t="n">
        <v>0</v>
      </c>
      <c r="S2874" t="n">
        <v>0</v>
      </c>
      <c r="T2874" t="n">
        <v>0</v>
      </c>
      <c r="U2874" t="n">
        <v>0</v>
      </c>
      <c r="V2874" s="2" t="inlineStr"/>
    </row>
    <row r="2875" ht="15" customHeight="1">
      <c r="A2875" t="inlineStr">
        <is>
          <t>A 25542-2023</t>
        </is>
      </c>
      <c r="B2875" t="inlineStr">
        <is>
          <t>avverkningsanmälan</t>
        </is>
      </c>
      <c r="C2875" t="inlineStr">
        <is>
          <t>Föryngringsavverkning</t>
        </is>
      </c>
      <c r="D2875" s="1" t="n">
        <v>45089</v>
      </c>
      <c r="E2875" s="1" t="n">
        <v>46313</v>
      </c>
      <c r="F2875" t="inlineStr">
        <is>
          <t>SÖDERMANLANDS LÄN</t>
        </is>
      </c>
      <c r="G2875" t="inlineStr">
        <is>
          <t>STRÄNGNÄS</t>
        </is>
      </c>
      <c r="I2875" t="n">
        <v>3.3</v>
      </c>
      <c r="J2875" t="n">
        <v>0</v>
      </c>
      <c r="K2875" t="n">
        <v>0</v>
      </c>
      <c r="L2875" t="n">
        <v>0</v>
      </c>
      <c r="M2875" t="n">
        <v>0</v>
      </c>
      <c r="N2875" t="n">
        <v>0</v>
      </c>
      <c r="O2875" t="n">
        <v>0</v>
      </c>
      <c r="P2875" t="n">
        <v>0</v>
      </c>
      <c r="Q2875" t="n">
        <v>0</v>
      </c>
      <c r="R2875" t="n">
        <v>0</v>
      </c>
      <c r="S2875" t="n">
        <v>0</v>
      </c>
      <c r="T2875" t="n">
        <v>0</v>
      </c>
      <c r="U2875" t="n">
        <v>0</v>
      </c>
      <c r="V2875" s="2" t="inlineStr"/>
    </row>
    <row r="2876" ht="15" customHeight="1">
      <c r="A2876" t="inlineStr">
        <is>
          <t>A 1804-2023</t>
        </is>
      </c>
      <c r="B2876" t="inlineStr">
        <is>
          <t>avverkningsanmälan</t>
        </is>
      </c>
      <c r="C2876" t="inlineStr">
        <is>
          <t>Föryngringsavverkning</t>
        </is>
      </c>
      <c r="D2876" s="1" t="n">
        <v>44938</v>
      </c>
      <c r="E2876" s="1" t="n">
        <v>46313</v>
      </c>
      <c r="F2876" t="inlineStr">
        <is>
          <t>SÖDERMANLANDS LÄN</t>
        </is>
      </c>
      <c r="G2876" t="inlineStr">
        <is>
          <t>NYKÖPING</t>
        </is>
      </c>
      <c r="I2876" t="n">
        <v>1.1</v>
      </c>
      <c r="J2876" t="n">
        <v>0</v>
      </c>
      <c r="K2876" t="n">
        <v>0</v>
      </c>
      <c r="L2876" t="n">
        <v>0</v>
      </c>
      <c r="M2876" t="n">
        <v>0</v>
      </c>
      <c r="N2876" t="n">
        <v>0</v>
      </c>
      <c r="O2876" t="n">
        <v>0</v>
      </c>
      <c r="P2876" t="n">
        <v>0</v>
      </c>
      <c r="Q2876" t="n">
        <v>0</v>
      </c>
      <c r="R2876" t="n">
        <v>0</v>
      </c>
      <c r="S2876" t="n">
        <v>0</v>
      </c>
      <c r="T2876" t="n">
        <v>0</v>
      </c>
      <c r="U2876" t="n">
        <v>0</v>
      </c>
      <c r="V2876" s="2" t="inlineStr"/>
    </row>
    <row r="2877" ht="15" customHeight="1">
      <c r="A2877" t="inlineStr">
        <is>
          <t>A 15392-2023</t>
        </is>
      </c>
      <c r="B2877" t="inlineStr">
        <is>
          <t>avverkningsanmälan</t>
        </is>
      </c>
      <c r="C2877" t="inlineStr">
        <is>
          <t>Föryngringsavverkning</t>
        </is>
      </c>
      <c r="D2877" s="1" t="n">
        <v>45016</v>
      </c>
      <c r="E2877" s="1" t="n">
        <v>46313</v>
      </c>
      <c r="F2877" t="inlineStr">
        <is>
          <t>SÖDERMANLANDS LÄN</t>
        </is>
      </c>
      <c r="G2877" t="inlineStr">
        <is>
          <t>KATRINEHOLM</t>
        </is>
      </c>
      <c r="H2877" t="inlineStr">
        <is>
          <t>Övriga Aktiebolag</t>
        </is>
      </c>
      <c r="I2877" t="n">
        <v>2.7</v>
      </c>
      <c r="J2877" t="n">
        <v>0</v>
      </c>
      <c r="K2877" t="n">
        <v>0</v>
      </c>
      <c r="L2877" t="n">
        <v>0</v>
      </c>
      <c r="M2877" t="n">
        <v>0</v>
      </c>
      <c r="N2877" t="n">
        <v>0</v>
      </c>
      <c r="O2877" t="n">
        <v>0</v>
      </c>
      <c r="P2877" t="n">
        <v>0</v>
      </c>
      <c r="Q2877" t="n">
        <v>0</v>
      </c>
      <c r="R2877" t="n">
        <v>0</v>
      </c>
      <c r="S2877" t="n">
        <v>0</v>
      </c>
      <c r="T2877" t="n">
        <v>0</v>
      </c>
      <c r="U2877" t="n">
        <v>0</v>
      </c>
      <c r="V2877" s="2" t="inlineStr"/>
    </row>
    <row r="2878" ht="15" customHeight="1">
      <c r="A2878" t="inlineStr">
        <is>
          <t>A 4645-2024</t>
        </is>
      </c>
      <c r="B2878" t="inlineStr">
        <is>
          <t>avverkningsanmälan</t>
        </is>
      </c>
      <c r="C2878" t="inlineStr">
        <is>
          <t>Föryngringsavverkning</t>
        </is>
      </c>
      <c r="D2878" s="1" t="n">
        <v>45328</v>
      </c>
      <c r="E2878" s="1" t="n">
        <v>46313</v>
      </c>
      <c r="F2878" t="inlineStr">
        <is>
          <t>SÖDERMANLANDS LÄN</t>
        </is>
      </c>
      <c r="G2878" t="inlineStr">
        <is>
          <t>KATRINEHOLM</t>
        </is>
      </c>
      <c r="I2878" t="n">
        <v>2.3</v>
      </c>
      <c r="J2878" t="n">
        <v>0</v>
      </c>
      <c r="K2878" t="n">
        <v>0</v>
      </c>
      <c r="L2878" t="n">
        <v>0</v>
      </c>
      <c r="M2878" t="n">
        <v>0</v>
      </c>
      <c r="N2878" t="n">
        <v>0</v>
      </c>
      <c r="O2878" t="n">
        <v>0</v>
      </c>
      <c r="P2878" t="n">
        <v>0</v>
      </c>
      <c r="Q2878" t="n">
        <v>0</v>
      </c>
      <c r="R2878" t="n">
        <v>0</v>
      </c>
      <c r="S2878" t="n">
        <v>0</v>
      </c>
      <c r="T2878" t="n">
        <v>0</v>
      </c>
      <c r="U2878" t="n">
        <v>0</v>
      </c>
      <c r="V2878" s="2" t="inlineStr"/>
    </row>
    <row r="2879" ht="15" customHeight="1">
      <c r="A2879" t="inlineStr">
        <is>
          <t>A 4657-2024</t>
        </is>
      </c>
      <c r="B2879" t="inlineStr">
        <is>
          <t>avverkningsanmälan</t>
        </is>
      </c>
      <c r="C2879" t="inlineStr">
        <is>
          <t>Föryngringsavverkning</t>
        </is>
      </c>
      <c r="D2879" s="1" t="n">
        <v>45328</v>
      </c>
      <c r="E2879" s="1" t="n">
        <v>46313</v>
      </c>
      <c r="F2879" t="inlineStr">
        <is>
          <t>SÖDERMANLANDS LÄN</t>
        </is>
      </c>
      <c r="G2879" t="inlineStr">
        <is>
          <t>FLEN</t>
        </is>
      </c>
      <c r="I2879" t="n">
        <v>0.7</v>
      </c>
      <c r="J2879" t="n">
        <v>0</v>
      </c>
      <c r="K2879" t="n">
        <v>0</v>
      </c>
      <c r="L2879" t="n">
        <v>0</v>
      </c>
      <c r="M2879" t="n">
        <v>0</v>
      </c>
      <c r="N2879" t="n">
        <v>0</v>
      </c>
      <c r="O2879" t="n">
        <v>0</v>
      </c>
      <c r="P2879" t="n">
        <v>0</v>
      </c>
      <c r="Q2879" t="n">
        <v>0</v>
      </c>
      <c r="R2879" t="n">
        <v>0</v>
      </c>
      <c r="S2879" t="n">
        <v>0</v>
      </c>
      <c r="T2879" t="n">
        <v>0</v>
      </c>
      <c r="U2879" t="n">
        <v>0</v>
      </c>
      <c r="V2879" s="2" t="inlineStr"/>
    </row>
    <row r="2880" ht="15" customHeight="1">
      <c r="A2880" t="inlineStr">
        <is>
          <t>A 28508-2023</t>
        </is>
      </c>
      <c r="B2880" t="inlineStr">
        <is>
          <t>avverkningsanmälan</t>
        </is>
      </c>
      <c r="C2880" t="inlineStr">
        <is>
          <t>Föryngringsavverkning</t>
        </is>
      </c>
      <c r="D2880" s="1" t="n">
        <v>45103</v>
      </c>
      <c r="E2880" s="1" t="n">
        <v>46313</v>
      </c>
      <c r="F2880" t="inlineStr">
        <is>
          <t>SÖDERMANLANDS LÄN</t>
        </is>
      </c>
      <c r="G2880" t="inlineStr">
        <is>
          <t>KATRINEHOLM</t>
        </is>
      </c>
      <c r="H2880" t="inlineStr">
        <is>
          <t>Kyrkan</t>
        </is>
      </c>
      <c r="I2880" t="n">
        <v>20.5</v>
      </c>
      <c r="J2880" t="n">
        <v>0</v>
      </c>
      <c r="K2880" t="n">
        <v>0</v>
      </c>
      <c r="L2880" t="n">
        <v>0</v>
      </c>
      <c r="M2880" t="n">
        <v>0</v>
      </c>
      <c r="N2880" t="n">
        <v>0</v>
      </c>
      <c r="O2880" t="n">
        <v>0</v>
      </c>
      <c r="P2880" t="n">
        <v>0</v>
      </c>
      <c r="Q2880" t="n">
        <v>0</v>
      </c>
      <c r="R2880" t="n">
        <v>0</v>
      </c>
      <c r="S2880" t="n">
        <v>0</v>
      </c>
      <c r="T2880" t="n">
        <v>0</v>
      </c>
      <c r="U2880" t="n">
        <v>0</v>
      </c>
      <c r="V2880" s="2" t="inlineStr"/>
    </row>
    <row r="2881" ht="15" customHeight="1">
      <c r="A2881" t="inlineStr">
        <is>
          <t>A 18487-2025</t>
        </is>
      </c>
      <c r="B2881" t="inlineStr">
        <is>
          <t>avverkningsanmälan</t>
        </is>
      </c>
      <c r="C2881" t="inlineStr">
        <is>
          <t>Föryngringsavverkning</t>
        </is>
      </c>
      <c r="D2881" s="1" t="n">
        <v>45763</v>
      </c>
      <c r="E2881" s="1" t="n">
        <v>46313</v>
      </c>
      <c r="F2881" t="inlineStr">
        <is>
          <t>SÖDERMANLANDS LÄN</t>
        </is>
      </c>
      <c r="G2881" t="inlineStr">
        <is>
          <t>ESKILSTUNA</t>
        </is>
      </c>
      <c r="I2881" t="n">
        <v>15.6</v>
      </c>
      <c r="J2881" t="n">
        <v>0</v>
      </c>
      <c r="K2881" t="n">
        <v>0</v>
      </c>
      <c r="L2881" t="n">
        <v>0</v>
      </c>
      <c r="M2881" t="n">
        <v>0</v>
      </c>
      <c r="N2881" t="n">
        <v>0</v>
      </c>
      <c r="O2881" t="n">
        <v>0</v>
      </c>
      <c r="P2881" t="n">
        <v>0</v>
      </c>
      <c r="Q2881" t="n">
        <v>0</v>
      </c>
      <c r="R2881" t="n">
        <v>0</v>
      </c>
      <c r="S2881" t="n">
        <v>0</v>
      </c>
      <c r="T2881" t="n">
        <v>0</v>
      </c>
      <c r="U2881" t="n">
        <v>0</v>
      </c>
      <c r="V2881" s="2" t="inlineStr"/>
    </row>
    <row r="2882" ht="15" customHeight="1">
      <c r="A2882" t="inlineStr">
        <is>
          <t>A 41630-2023</t>
        </is>
      </c>
      <c r="B2882" t="inlineStr">
        <is>
          <t>avverkningsanmälan</t>
        </is>
      </c>
      <c r="C2882" t="inlineStr">
        <is>
          <t>Föryngringsavverkning</t>
        </is>
      </c>
      <c r="D2882" s="1" t="n">
        <v>45175</v>
      </c>
      <c r="E2882" s="1" t="n">
        <v>46313</v>
      </c>
      <c r="F2882" t="inlineStr">
        <is>
          <t>SÖDERMANLANDS LÄN</t>
        </is>
      </c>
      <c r="G2882" t="inlineStr">
        <is>
          <t>FLEN</t>
        </is>
      </c>
      <c r="I2882" t="n">
        <v>1.3</v>
      </c>
      <c r="J2882" t="n">
        <v>0</v>
      </c>
      <c r="K2882" t="n">
        <v>0</v>
      </c>
      <c r="L2882" t="n">
        <v>0</v>
      </c>
      <c r="M2882" t="n">
        <v>0</v>
      </c>
      <c r="N2882" t="n">
        <v>0</v>
      </c>
      <c r="O2882" t="n">
        <v>0</v>
      </c>
      <c r="P2882" t="n">
        <v>0</v>
      </c>
      <c r="Q2882" t="n">
        <v>0</v>
      </c>
      <c r="R2882" t="n">
        <v>0</v>
      </c>
      <c r="S2882" t="n">
        <v>0</v>
      </c>
      <c r="T2882" t="n">
        <v>0</v>
      </c>
      <c r="U2882" t="n">
        <v>0</v>
      </c>
      <c r="V2882" s="2" t="inlineStr"/>
    </row>
    <row r="2883" ht="15" customHeight="1">
      <c r="A2883" t="inlineStr">
        <is>
          <t>A 17654-2023</t>
        </is>
      </c>
      <c r="B2883" t="inlineStr">
        <is>
          <t>avverkningsanmälan</t>
        </is>
      </c>
      <c r="C2883" t="inlineStr">
        <is>
          <t>Föryngringsavverkning</t>
        </is>
      </c>
      <c r="D2883" s="1" t="n">
        <v>45036</v>
      </c>
      <c r="E2883" s="1" t="n">
        <v>46313</v>
      </c>
      <c r="F2883" t="inlineStr">
        <is>
          <t>SÖDERMANLANDS LÄN</t>
        </is>
      </c>
      <c r="G2883" t="inlineStr">
        <is>
          <t>FLEN</t>
        </is>
      </c>
      <c r="I2883" t="n">
        <v>1</v>
      </c>
      <c r="J2883" t="n">
        <v>0</v>
      </c>
      <c r="K2883" t="n">
        <v>0</v>
      </c>
      <c r="L2883" t="n">
        <v>0</v>
      </c>
      <c r="M2883" t="n">
        <v>0</v>
      </c>
      <c r="N2883" t="n">
        <v>0</v>
      </c>
      <c r="O2883" t="n">
        <v>0</v>
      </c>
      <c r="P2883" t="n">
        <v>0</v>
      </c>
      <c r="Q2883" t="n">
        <v>0</v>
      </c>
      <c r="R2883" t="n">
        <v>0</v>
      </c>
      <c r="S2883" t="n">
        <v>0</v>
      </c>
      <c r="T2883" t="n">
        <v>0</v>
      </c>
      <c r="U2883" t="n">
        <v>0</v>
      </c>
      <c r="V2883" s="2" t="inlineStr"/>
    </row>
    <row r="2884" ht="15" customHeight="1">
      <c r="A2884" t="inlineStr">
        <is>
          <t>A 39339-2026</t>
        </is>
      </c>
      <c r="B2884" t="inlineStr">
        <is>
          <t>avverkningsanmälan</t>
        </is>
      </c>
      <c r="C2884" t="inlineStr">
        <is>
          <t>Föryngringsavverkning</t>
        </is>
      </c>
      <c r="D2884" s="1" t="n">
        <v>46288</v>
      </c>
      <c r="E2884" s="1" t="n">
        <v>46313</v>
      </c>
      <c r="F2884" t="inlineStr">
        <is>
          <t>SÖDERMANLANDS LÄN</t>
        </is>
      </c>
      <c r="G2884" t="inlineStr">
        <is>
          <t>STRÄNGNÄS</t>
        </is>
      </c>
      <c r="I2884" t="n">
        <v>2.5</v>
      </c>
      <c r="J2884" t="n">
        <v>0</v>
      </c>
      <c r="K2884" t="n">
        <v>0</v>
      </c>
      <c r="L2884" t="n">
        <v>0</v>
      </c>
      <c r="M2884" t="n">
        <v>0</v>
      </c>
      <c r="N2884" t="n">
        <v>0</v>
      </c>
      <c r="O2884" t="n">
        <v>0</v>
      </c>
      <c r="P2884" t="n">
        <v>0</v>
      </c>
      <c r="Q2884" t="n">
        <v>0</v>
      </c>
      <c r="R2884" t="n">
        <v>0</v>
      </c>
      <c r="S2884" t="n">
        <v>0</v>
      </c>
      <c r="T2884" t="n">
        <v>0</v>
      </c>
      <c r="U2884" t="n">
        <v>0</v>
      </c>
      <c r="V2884" s="2" t="inlineStr"/>
    </row>
    <row r="2885" ht="15" customHeight="1">
      <c r="A2885" t="inlineStr">
        <is>
          <t>A 26535-2022</t>
        </is>
      </c>
      <c r="B2885" t="inlineStr">
        <is>
          <t>avverkningsanmälan</t>
        </is>
      </c>
      <c r="C2885" t="inlineStr">
        <is>
          <t>Föryngringsavverkning</t>
        </is>
      </c>
      <c r="D2885" s="1" t="n">
        <v>44739</v>
      </c>
      <c r="E2885" s="1" t="n">
        <v>46313</v>
      </c>
      <c r="F2885" t="inlineStr">
        <is>
          <t>SÖDERMANLANDS LÄN</t>
        </is>
      </c>
      <c r="G2885" t="inlineStr">
        <is>
          <t>ESKILSTUNA</t>
        </is>
      </c>
      <c r="I2885" t="n">
        <v>2.8</v>
      </c>
      <c r="J2885" t="n">
        <v>0</v>
      </c>
      <c r="K2885" t="n">
        <v>0</v>
      </c>
      <c r="L2885" t="n">
        <v>0</v>
      </c>
      <c r="M2885" t="n">
        <v>0</v>
      </c>
      <c r="N2885" t="n">
        <v>0</v>
      </c>
      <c r="O2885" t="n">
        <v>0</v>
      </c>
      <c r="P2885" t="n">
        <v>0</v>
      </c>
      <c r="Q2885" t="n">
        <v>0</v>
      </c>
      <c r="R2885" t="n">
        <v>0</v>
      </c>
      <c r="S2885" t="n">
        <v>0</v>
      </c>
      <c r="T2885" t="n">
        <v>0</v>
      </c>
      <c r="U2885" t="n">
        <v>0</v>
      </c>
      <c r="V2885" s="2" t="inlineStr"/>
    </row>
    <row r="2886" ht="15" customHeight="1">
      <c r="A2886" t="inlineStr">
        <is>
          <t>A 47889-2023</t>
        </is>
      </c>
      <c r="B2886" t="inlineStr">
        <is>
          <t>avverkningsanmälan</t>
        </is>
      </c>
      <c r="C2886" t="inlineStr">
        <is>
          <t>Föryngringsavverkning</t>
        </is>
      </c>
      <c r="D2886" s="1" t="n">
        <v>45204</v>
      </c>
      <c r="E2886" s="1" t="n">
        <v>46313</v>
      </c>
      <c r="F2886" t="inlineStr">
        <is>
          <t>SÖDERMANLANDS LÄN</t>
        </is>
      </c>
      <c r="G2886" t="inlineStr">
        <is>
          <t>KATRINEHOLM</t>
        </is>
      </c>
      <c r="I2886" t="n">
        <v>2.1</v>
      </c>
      <c r="J2886" t="n">
        <v>0</v>
      </c>
      <c r="K2886" t="n">
        <v>0</v>
      </c>
      <c r="L2886" t="n">
        <v>0</v>
      </c>
      <c r="M2886" t="n">
        <v>0</v>
      </c>
      <c r="N2886" t="n">
        <v>0</v>
      </c>
      <c r="O2886" t="n">
        <v>0</v>
      </c>
      <c r="P2886" t="n">
        <v>0</v>
      </c>
      <c r="Q2886" t="n">
        <v>0</v>
      </c>
      <c r="R2886" t="n">
        <v>0</v>
      </c>
      <c r="S2886" t="n">
        <v>0</v>
      </c>
      <c r="T2886" t="n">
        <v>0</v>
      </c>
      <c r="U2886" t="n">
        <v>0</v>
      </c>
      <c r="V2886" s="2" t="inlineStr"/>
    </row>
    <row r="2887" ht="15" customHeight="1">
      <c r="A2887" t="inlineStr">
        <is>
          <t>A 59439-2022</t>
        </is>
      </c>
      <c r="B2887" t="inlineStr">
        <is>
          <t>avverkningsanmälan</t>
        </is>
      </c>
      <c r="C2887" t="inlineStr">
        <is>
          <t>Föryngringsavverkning</t>
        </is>
      </c>
      <c r="D2887" s="1" t="n">
        <v>44907</v>
      </c>
      <c r="E2887" s="1" t="n">
        <v>46313</v>
      </c>
      <c r="F2887" t="inlineStr">
        <is>
          <t>SÖDERMANLANDS LÄN</t>
        </is>
      </c>
      <c r="G2887" t="inlineStr">
        <is>
          <t>FLEN</t>
        </is>
      </c>
      <c r="I2887" t="n">
        <v>1.3</v>
      </c>
      <c r="J2887" t="n">
        <v>0</v>
      </c>
      <c r="K2887" t="n">
        <v>0</v>
      </c>
      <c r="L2887" t="n">
        <v>0</v>
      </c>
      <c r="M2887" t="n">
        <v>0</v>
      </c>
      <c r="N2887" t="n">
        <v>0</v>
      </c>
      <c r="O2887" t="n">
        <v>0</v>
      </c>
      <c r="P2887" t="n">
        <v>0</v>
      </c>
      <c r="Q2887" t="n">
        <v>0</v>
      </c>
      <c r="R2887" t="n">
        <v>0</v>
      </c>
      <c r="S2887" t="n">
        <v>0</v>
      </c>
      <c r="T2887" t="n">
        <v>0</v>
      </c>
      <c r="U2887" t="n">
        <v>0</v>
      </c>
      <c r="V2887" s="2" t="inlineStr"/>
    </row>
    <row r="2888" ht="15" customHeight="1">
      <c r="A2888" t="inlineStr">
        <is>
          <t>A 14848-2024</t>
        </is>
      </c>
      <c r="B2888" t="inlineStr">
        <is>
          <t>avverkningsanmälan</t>
        </is>
      </c>
      <c r="C2888" t="inlineStr">
        <is>
          <t>Avverkning för att bevara och utveckla /försöksver</t>
        </is>
      </c>
      <c r="D2888" s="1" t="n">
        <v>45398</v>
      </c>
      <c r="E2888" s="1" t="n">
        <v>46313</v>
      </c>
      <c r="F2888" t="inlineStr">
        <is>
          <t>SÖDERMANLANDS LÄN</t>
        </is>
      </c>
      <c r="G2888" t="inlineStr">
        <is>
          <t>NYKÖPING</t>
        </is>
      </c>
      <c r="I2888" t="n">
        <v>0.5</v>
      </c>
      <c r="J2888" t="n">
        <v>0</v>
      </c>
      <c r="K2888" t="n">
        <v>0</v>
      </c>
      <c r="L2888" t="n">
        <v>0</v>
      </c>
      <c r="M2888" t="n">
        <v>0</v>
      </c>
      <c r="N2888" t="n">
        <v>0</v>
      </c>
      <c r="O2888" t="n">
        <v>0</v>
      </c>
      <c r="P2888" t="n">
        <v>0</v>
      </c>
      <c r="Q2888" t="n">
        <v>0</v>
      </c>
      <c r="R2888" t="n">
        <v>0</v>
      </c>
      <c r="S2888" t="n">
        <v>0</v>
      </c>
      <c r="T2888" t="n">
        <v>0</v>
      </c>
      <c r="U2888" t="n">
        <v>0</v>
      </c>
      <c r="V2888" s="2" t="inlineStr"/>
    </row>
    <row r="2889" ht="15" customHeight="1">
      <c r="A2889" t="inlineStr">
        <is>
          <t>A 49153-2024</t>
        </is>
      </c>
      <c r="B2889" t="inlineStr">
        <is>
          <t>avverkningsanmälan</t>
        </is>
      </c>
      <c r="C2889" t="inlineStr">
        <is>
          <t>Föryngringsavverkning</t>
        </is>
      </c>
      <c r="D2889" s="1" t="n">
        <v>45594</v>
      </c>
      <c r="E2889" s="1" t="n">
        <v>46313</v>
      </c>
      <c r="F2889" t="inlineStr">
        <is>
          <t>SÖDERMANLANDS LÄN</t>
        </is>
      </c>
      <c r="G2889" t="inlineStr">
        <is>
          <t>VINGÅKER</t>
        </is>
      </c>
      <c r="I2889" t="n">
        <v>2.2</v>
      </c>
      <c r="J2889" t="n">
        <v>0</v>
      </c>
      <c r="K2889" t="n">
        <v>0</v>
      </c>
      <c r="L2889" t="n">
        <v>0</v>
      </c>
      <c r="M2889" t="n">
        <v>0</v>
      </c>
      <c r="N2889" t="n">
        <v>0</v>
      </c>
      <c r="O2889" t="n">
        <v>0</v>
      </c>
      <c r="P2889" t="n">
        <v>0</v>
      </c>
      <c r="Q2889" t="n">
        <v>0</v>
      </c>
      <c r="R2889" t="n">
        <v>0</v>
      </c>
      <c r="S2889" t="n">
        <v>0</v>
      </c>
      <c r="T2889" t="n">
        <v>0</v>
      </c>
      <c r="U2889" t="n">
        <v>0</v>
      </c>
      <c r="V2889" s="2" t="inlineStr"/>
    </row>
    <row r="2890" ht="15" customHeight="1">
      <c r="A2890" t="inlineStr">
        <is>
          <t>A 2041-2022</t>
        </is>
      </c>
      <c r="B2890" t="inlineStr">
        <is>
          <t>avverkningsanmälan</t>
        </is>
      </c>
      <c r="C2890" t="inlineStr">
        <is>
          <t>Föryngringsavverkning</t>
        </is>
      </c>
      <c r="D2890" s="1" t="n">
        <v>44575</v>
      </c>
      <c r="E2890" s="1" t="n">
        <v>46313</v>
      </c>
      <c r="F2890" t="inlineStr">
        <is>
          <t>SÖDERMANLANDS LÄN</t>
        </is>
      </c>
      <c r="G2890" t="inlineStr">
        <is>
          <t>NYKÖPING</t>
        </is>
      </c>
      <c r="I2890" t="n">
        <v>1.1</v>
      </c>
      <c r="J2890" t="n">
        <v>0</v>
      </c>
      <c r="K2890" t="n">
        <v>0</v>
      </c>
      <c r="L2890" t="n">
        <v>0</v>
      </c>
      <c r="M2890" t="n">
        <v>0</v>
      </c>
      <c r="N2890" t="n">
        <v>0</v>
      </c>
      <c r="O2890" t="n">
        <v>0</v>
      </c>
      <c r="P2890" t="n">
        <v>0</v>
      </c>
      <c r="Q2890" t="n">
        <v>0</v>
      </c>
      <c r="R2890" t="n">
        <v>0</v>
      </c>
      <c r="S2890" t="n">
        <v>0</v>
      </c>
      <c r="T2890" t="n">
        <v>0</v>
      </c>
      <c r="U2890" t="n">
        <v>0</v>
      </c>
      <c r="V2890" s="2" t="inlineStr"/>
    </row>
    <row r="2891" ht="15" customHeight="1">
      <c r="A2891" t="inlineStr">
        <is>
          <t>A 39517-2026</t>
        </is>
      </c>
      <c r="B2891" t="inlineStr">
        <is>
          <t>avverkningsanmälan</t>
        </is>
      </c>
      <c r="C2891" t="inlineStr">
        <is>
          <t>Föryngringsavverkning</t>
        </is>
      </c>
      <c r="D2891" s="1" t="n">
        <v>46289</v>
      </c>
      <c r="E2891" s="1" t="n">
        <v>46313</v>
      </c>
      <c r="F2891" t="inlineStr">
        <is>
          <t>SÖDERMANLANDS LÄN</t>
        </is>
      </c>
      <c r="G2891" t="inlineStr">
        <is>
          <t>GNESTA</t>
        </is>
      </c>
      <c r="I2891" t="n">
        <v>3.3</v>
      </c>
      <c r="J2891" t="n">
        <v>0</v>
      </c>
      <c r="K2891" t="n">
        <v>0</v>
      </c>
      <c r="L2891" t="n">
        <v>0</v>
      </c>
      <c r="M2891" t="n">
        <v>0</v>
      </c>
      <c r="N2891" t="n">
        <v>0</v>
      </c>
      <c r="O2891" t="n">
        <v>0</v>
      </c>
      <c r="P2891" t="n">
        <v>0</v>
      </c>
      <c r="Q2891" t="n">
        <v>0</v>
      </c>
      <c r="R2891" t="n">
        <v>0</v>
      </c>
      <c r="S2891" t="n">
        <v>0</v>
      </c>
      <c r="T2891" t="n">
        <v>0</v>
      </c>
      <c r="U2891" t="n">
        <v>0</v>
      </c>
      <c r="V2891" s="2" t="inlineStr"/>
    </row>
    <row r="2892" ht="15" customHeight="1">
      <c r="A2892" t="inlineStr">
        <is>
          <t>A 10256-2024</t>
        </is>
      </c>
      <c r="B2892" t="inlineStr">
        <is>
          <t>avverkningsanmälan</t>
        </is>
      </c>
      <c r="C2892" t="inlineStr">
        <is>
          <t>Föryngringsavverkning</t>
        </is>
      </c>
      <c r="D2892" s="1" t="n">
        <v>45365</v>
      </c>
      <c r="E2892" s="1" t="n">
        <v>46313</v>
      </c>
      <c r="F2892" t="inlineStr">
        <is>
          <t>SÖDERMANLANDS LÄN</t>
        </is>
      </c>
      <c r="G2892" t="inlineStr">
        <is>
          <t>FLEN</t>
        </is>
      </c>
      <c r="I2892" t="n">
        <v>5.6</v>
      </c>
      <c r="J2892" t="n">
        <v>0</v>
      </c>
      <c r="K2892" t="n">
        <v>0</v>
      </c>
      <c r="L2892" t="n">
        <v>0</v>
      </c>
      <c r="M2892" t="n">
        <v>0</v>
      </c>
      <c r="N2892" t="n">
        <v>0</v>
      </c>
      <c r="O2892" t="n">
        <v>0</v>
      </c>
      <c r="P2892" t="n">
        <v>0</v>
      </c>
      <c r="Q2892" t="n">
        <v>0</v>
      </c>
      <c r="R2892" t="n">
        <v>0</v>
      </c>
      <c r="S2892" t="n">
        <v>0</v>
      </c>
      <c r="T2892" t="n">
        <v>0</v>
      </c>
      <c r="U2892" t="n">
        <v>0</v>
      </c>
      <c r="V2892" s="2" t="inlineStr"/>
    </row>
    <row r="2893" ht="15" customHeight="1">
      <c r="A2893" t="inlineStr">
        <is>
          <t>A 56991-2023</t>
        </is>
      </c>
      <c r="B2893" t="inlineStr">
        <is>
          <t>avverkningsanmälan</t>
        </is>
      </c>
      <c r="C2893" t="inlineStr">
        <is>
          <t>Föryngringsavverkning</t>
        </is>
      </c>
      <c r="D2893" s="1" t="n">
        <v>45244</v>
      </c>
      <c r="E2893" s="1" t="n">
        <v>46313</v>
      </c>
      <c r="F2893" t="inlineStr">
        <is>
          <t>SÖDERMANLANDS LÄN</t>
        </is>
      </c>
      <c r="G2893" t="inlineStr">
        <is>
          <t>FLEN</t>
        </is>
      </c>
      <c r="I2893" t="n">
        <v>3.7</v>
      </c>
      <c r="J2893" t="n">
        <v>0</v>
      </c>
      <c r="K2893" t="n">
        <v>0</v>
      </c>
      <c r="L2893" t="n">
        <v>0</v>
      </c>
      <c r="M2893" t="n">
        <v>0</v>
      </c>
      <c r="N2893" t="n">
        <v>0</v>
      </c>
      <c r="O2893" t="n">
        <v>0</v>
      </c>
      <c r="P2893" t="n">
        <v>0</v>
      </c>
      <c r="Q2893" t="n">
        <v>0</v>
      </c>
      <c r="R2893" t="n">
        <v>0</v>
      </c>
      <c r="S2893" t="n">
        <v>0</v>
      </c>
      <c r="T2893" t="n">
        <v>0</v>
      </c>
      <c r="U2893" t="n">
        <v>0</v>
      </c>
      <c r="V2893" s="2" t="inlineStr"/>
    </row>
    <row r="2894" ht="15" customHeight="1">
      <c r="A2894" t="inlineStr">
        <is>
          <t>A 59380-2023</t>
        </is>
      </c>
      <c r="B2894" t="inlineStr">
        <is>
          <t>avverkningsanmälan</t>
        </is>
      </c>
      <c r="C2894" t="inlineStr">
        <is>
          <t>Föryngringsavverkning</t>
        </is>
      </c>
      <c r="D2894" s="1" t="n">
        <v>45253</v>
      </c>
      <c r="E2894" s="1" t="n">
        <v>46313</v>
      </c>
      <c r="F2894" t="inlineStr">
        <is>
          <t>SÖDERMANLANDS LÄN</t>
        </is>
      </c>
      <c r="G2894" t="inlineStr">
        <is>
          <t>GNESTA</t>
        </is>
      </c>
      <c r="I2894" t="n">
        <v>0.6</v>
      </c>
      <c r="J2894" t="n">
        <v>0</v>
      </c>
      <c r="K2894" t="n">
        <v>0</v>
      </c>
      <c r="L2894" t="n">
        <v>0</v>
      </c>
      <c r="M2894" t="n">
        <v>0</v>
      </c>
      <c r="N2894" t="n">
        <v>0</v>
      </c>
      <c r="O2894" t="n">
        <v>0</v>
      </c>
      <c r="P2894" t="n">
        <v>0</v>
      </c>
      <c r="Q2894" t="n">
        <v>0</v>
      </c>
      <c r="R2894" t="n">
        <v>0</v>
      </c>
      <c r="S2894" t="n">
        <v>0</v>
      </c>
      <c r="T2894" t="n">
        <v>0</v>
      </c>
      <c r="U2894" t="n">
        <v>0</v>
      </c>
      <c r="V2894" s="2" t="inlineStr"/>
    </row>
    <row r="2895" ht="15" customHeight="1">
      <c r="A2895" t="inlineStr">
        <is>
          <t>A 33263-2026</t>
        </is>
      </c>
      <c r="B2895" t="inlineStr">
        <is>
          <t>avverkningsanmälan</t>
        </is>
      </c>
      <c r="C2895" t="inlineStr">
        <is>
          <t>Föryngringsavverkning</t>
        </is>
      </c>
      <c r="D2895" s="1" t="n">
        <v>46246</v>
      </c>
      <c r="E2895" s="1" t="n">
        <v>46313</v>
      </c>
      <c r="F2895" t="inlineStr">
        <is>
          <t>SÖDERMANLANDS LÄN</t>
        </is>
      </c>
      <c r="G2895" t="inlineStr">
        <is>
          <t>GNESTA</t>
        </is>
      </c>
      <c r="H2895" t="inlineStr">
        <is>
          <t>Övriga Aktiebolag</t>
        </is>
      </c>
      <c r="I2895" t="n">
        <v>9.4</v>
      </c>
      <c r="J2895" t="n">
        <v>0</v>
      </c>
      <c r="K2895" t="n">
        <v>0</v>
      </c>
      <c r="L2895" t="n">
        <v>0</v>
      </c>
      <c r="M2895" t="n">
        <v>0</v>
      </c>
      <c r="N2895" t="n">
        <v>0</v>
      </c>
      <c r="O2895" t="n">
        <v>0</v>
      </c>
      <c r="P2895" t="n">
        <v>0</v>
      </c>
      <c r="Q2895" t="n">
        <v>0</v>
      </c>
      <c r="R2895" t="n">
        <v>0</v>
      </c>
      <c r="S2895" t="n">
        <v>0</v>
      </c>
      <c r="T2895" t="n">
        <v>0</v>
      </c>
      <c r="U2895" t="n">
        <v>0</v>
      </c>
      <c r="V2895" s="2" t="inlineStr"/>
    </row>
    <row r="2896" ht="15" customHeight="1">
      <c r="A2896" t="inlineStr">
        <is>
          <t>A 33269-2026</t>
        </is>
      </c>
      <c r="B2896" t="inlineStr">
        <is>
          <t>avverkningsanmälan</t>
        </is>
      </c>
      <c r="C2896" t="inlineStr">
        <is>
          <t>Föryngringsavverkning</t>
        </is>
      </c>
      <c r="D2896" s="1" t="n">
        <v>46246</v>
      </c>
      <c r="E2896" s="1" t="n">
        <v>46313</v>
      </c>
      <c r="F2896" t="inlineStr">
        <is>
          <t>SÖDERMANLANDS LÄN</t>
        </is>
      </c>
      <c r="G2896" t="inlineStr">
        <is>
          <t>GNESTA</t>
        </is>
      </c>
      <c r="H2896" t="inlineStr">
        <is>
          <t>Övriga Aktiebolag</t>
        </is>
      </c>
      <c r="I2896" t="n">
        <v>1.8</v>
      </c>
      <c r="J2896" t="n">
        <v>0</v>
      </c>
      <c r="K2896" t="n">
        <v>0</v>
      </c>
      <c r="L2896" t="n">
        <v>0</v>
      </c>
      <c r="M2896" t="n">
        <v>0</v>
      </c>
      <c r="N2896" t="n">
        <v>0</v>
      </c>
      <c r="O2896" t="n">
        <v>0</v>
      </c>
      <c r="P2896" t="n">
        <v>0</v>
      </c>
      <c r="Q2896" t="n">
        <v>0</v>
      </c>
      <c r="R2896" t="n">
        <v>0</v>
      </c>
      <c r="S2896" t="n">
        <v>0</v>
      </c>
      <c r="T2896" t="n">
        <v>0</v>
      </c>
      <c r="U2896" t="n">
        <v>0</v>
      </c>
      <c r="V2896" s="2" t="inlineStr"/>
    </row>
    <row r="2897" ht="15" customHeight="1">
      <c r="A2897" t="inlineStr">
        <is>
          <t>A 39522-2026</t>
        </is>
      </c>
      <c r="B2897" t="inlineStr">
        <is>
          <t>avverkningsanmälan</t>
        </is>
      </c>
      <c r="C2897" t="inlineStr">
        <is>
          <t>Föryngringsavverkning</t>
        </is>
      </c>
      <c r="D2897" s="1" t="n">
        <v>46289</v>
      </c>
      <c r="E2897" s="1" t="n">
        <v>46313</v>
      </c>
      <c r="F2897" t="inlineStr">
        <is>
          <t>SÖDERMANLANDS LÄN</t>
        </is>
      </c>
      <c r="G2897" t="inlineStr">
        <is>
          <t>GNESTA</t>
        </is>
      </c>
      <c r="I2897" t="n">
        <v>8.199999999999999</v>
      </c>
      <c r="J2897" t="n">
        <v>0</v>
      </c>
      <c r="K2897" t="n">
        <v>0</v>
      </c>
      <c r="L2897" t="n">
        <v>0</v>
      </c>
      <c r="M2897" t="n">
        <v>0</v>
      </c>
      <c r="N2897" t="n">
        <v>0</v>
      </c>
      <c r="O2897" t="n">
        <v>0</v>
      </c>
      <c r="P2897" t="n">
        <v>0</v>
      </c>
      <c r="Q2897" t="n">
        <v>0</v>
      </c>
      <c r="R2897" t="n">
        <v>0</v>
      </c>
      <c r="S2897" t="n">
        <v>0</v>
      </c>
      <c r="T2897" t="n">
        <v>0</v>
      </c>
      <c r="U2897" t="n">
        <v>0</v>
      </c>
      <c r="V2897" s="2" t="inlineStr"/>
    </row>
    <row r="2898" ht="15" customHeight="1">
      <c r="A2898" t="inlineStr">
        <is>
          <t>A 57028-2024</t>
        </is>
      </c>
      <c r="B2898" t="inlineStr">
        <is>
          <t>avverkningsanmälan</t>
        </is>
      </c>
      <c r="C2898" t="inlineStr">
        <is>
          <t>Föryngringsavverkning</t>
        </is>
      </c>
      <c r="D2898" s="1" t="n">
        <v>45628</v>
      </c>
      <c r="E2898" s="1" t="n">
        <v>46313</v>
      </c>
      <c r="F2898" t="inlineStr">
        <is>
          <t>SÖDERMANLANDS LÄN</t>
        </is>
      </c>
      <c r="G2898" t="inlineStr">
        <is>
          <t>NYKÖPING</t>
        </is>
      </c>
      <c r="H2898" t="inlineStr">
        <is>
          <t>Holmen skog AB</t>
        </is>
      </c>
      <c r="I2898" t="n">
        <v>0.6</v>
      </c>
      <c r="J2898" t="n">
        <v>0</v>
      </c>
      <c r="K2898" t="n">
        <v>0</v>
      </c>
      <c r="L2898" t="n">
        <v>0</v>
      </c>
      <c r="M2898" t="n">
        <v>0</v>
      </c>
      <c r="N2898" t="n">
        <v>0</v>
      </c>
      <c r="O2898" t="n">
        <v>0</v>
      </c>
      <c r="P2898" t="n">
        <v>0</v>
      </c>
      <c r="Q2898" t="n">
        <v>0</v>
      </c>
      <c r="R2898" t="n">
        <v>0</v>
      </c>
      <c r="S2898" t="n">
        <v>0</v>
      </c>
      <c r="T2898" t="n">
        <v>0</v>
      </c>
      <c r="U2898" t="n">
        <v>0</v>
      </c>
      <c r="V2898" s="2" t="inlineStr"/>
    </row>
    <row r="2899" ht="15" customHeight="1">
      <c r="A2899" t="inlineStr">
        <is>
          <t>A 12975-2022</t>
        </is>
      </c>
      <c r="B2899" t="inlineStr">
        <is>
          <t>avverkningsanmälan</t>
        </is>
      </c>
      <c r="C2899" t="inlineStr">
        <is>
          <t>Föryngringsavverkning</t>
        </is>
      </c>
      <c r="D2899" s="1" t="n">
        <v>44643</v>
      </c>
      <c r="E2899" s="1" t="n">
        <v>46313</v>
      </c>
      <c r="F2899" t="inlineStr">
        <is>
          <t>SÖDERMANLANDS LÄN</t>
        </is>
      </c>
      <c r="G2899" t="inlineStr">
        <is>
          <t>KATRINEHOLM</t>
        </is>
      </c>
      <c r="I2899" t="n">
        <v>2.4</v>
      </c>
      <c r="J2899" t="n">
        <v>0</v>
      </c>
      <c r="K2899" t="n">
        <v>0</v>
      </c>
      <c r="L2899" t="n">
        <v>0</v>
      </c>
      <c r="M2899" t="n">
        <v>0</v>
      </c>
      <c r="N2899" t="n">
        <v>0</v>
      </c>
      <c r="O2899" t="n">
        <v>0</v>
      </c>
      <c r="P2899" t="n">
        <v>0</v>
      </c>
      <c r="Q2899" t="n">
        <v>0</v>
      </c>
      <c r="R2899" t="n">
        <v>0</v>
      </c>
      <c r="S2899" t="n">
        <v>0</v>
      </c>
      <c r="T2899" t="n">
        <v>0</v>
      </c>
      <c r="U2899" t="n">
        <v>0</v>
      </c>
      <c r="V2899" s="2" t="inlineStr"/>
    </row>
    <row r="2900" ht="15" customHeight="1">
      <c r="A2900" t="inlineStr">
        <is>
          <t>A 21249-2023</t>
        </is>
      </c>
      <c r="B2900" t="inlineStr">
        <is>
          <t>avverkningsanmälan</t>
        </is>
      </c>
      <c r="C2900" t="inlineStr">
        <is>
          <t>Föryngringsavverkning</t>
        </is>
      </c>
      <c r="D2900" s="1" t="n">
        <v>45062</v>
      </c>
      <c r="E2900" s="1" t="n">
        <v>46313</v>
      </c>
      <c r="F2900" t="inlineStr">
        <is>
          <t>SÖDERMANLANDS LÄN</t>
        </is>
      </c>
      <c r="G2900" t="inlineStr">
        <is>
          <t>NYKÖPING</t>
        </is>
      </c>
      <c r="I2900" t="n">
        <v>0.4</v>
      </c>
      <c r="J2900" t="n">
        <v>0</v>
      </c>
      <c r="K2900" t="n">
        <v>0</v>
      </c>
      <c r="L2900" t="n">
        <v>0</v>
      </c>
      <c r="M2900" t="n">
        <v>0</v>
      </c>
      <c r="N2900" t="n">
        <v>0</v>
      </c>
      <c r="O2900" t="n">
        <v>0</v>
      </c>
      <c r="P2900" t="n">
        <v>0</v>
      </c>
      <c r="Q2900" t="n">
        <v>0</v>
      </c>
      <c r="R2900" t="n">
        <v>0</v>
      </c>
      <c r="S2900" t="n">
        <v>0</v>
      </c>
      <c r="T2900" t="n">
        <v>0</v>
      </c>
      <c r="U2900" t="n">
        <v>0</v>
      </c>
      <c r="V2900" s="2" t="inlineStr"/>
    </row>
    <row r="2901" ht="15" customHeight="1">
      <c r="A2901" t="inlineStr">
        <is>
          <t>A 9668-2023</t>
        </is>
      </c>
      <c r="B2901" t="inlineStr">
        <is>
          <t>avverkningsanmälan</t>
        </is>
      </c>
      <c r="C2901" t="inlineStr">
        <is>
          <t>Föryngringsavverkning</t>
        </is>
      </c>
      <c r="D2901" s="1" t="n">
        <v>44984</v>
      </c>
      <c r="E2901" s="1" t="n">
        <v>46313</v>
      </c>
      <c r="F2901" t="inlineStr">
        <is>
          <t>SÖDERMANLANDS LÄN</t>
        </is>
      </c>
      <c r="G2901" t="inlineStr">
        <is>
          <t>KATRINEHOLM</t>
        </is>
      </c>
      <c r="I2901" t="n">
        <v>4.8</v>
      </c>
      <c r="J2901" t="n">
        <v>0</v>
      </c>
      <c r="K2901" t="n">
        <v>0</v>
      </c>
      <c r="L2901" t="n">
        <v>0</v>
      </c>
      <c r="M2901" t="n">
        <v>0</v>
      </c>
      <c r="N2901" t="n">
        <v>0</v>
      </c>
      <c r="O2901" t="n">
        <v>0</v>
      </c>
      <c r="P2901" t="n">
        <v>0</v>
      </c>
      <c r="Q2901" t="n">
        <v>0</v>
      </c>
      <c r="R2901" t="n">
        <v>0</v>
      </c>
      <c r="S2901" t="n">
        <v>0</v>
      </c>
      <c r="T2901" t="n">
        <v>0</v>
      </c>
      <c r="U2901" t="n">
        <v>0</v>
      </c>
      <c r="V2901" s="2" t="inlineStr"/>
    </row>
    <row r="2902" ht="15" customHeight="1">
      <c r="A2902" t="inlineStr">
        <is>
          <t>A 2255-2024</t>
        </is>
      </c>
      <c r="B2902" t="inlineStr">
        <is>
          <t>avverkningsanmälan</t>
        </is>
      </c>
      <c r="C2902" t="inlineStr">
        <is>
          <t>Föryngringsavverkning</t>
        </is>
      </c>
      <c r="D2902" s="1" t="n">
        <v>45310</v>
      </c>
      <c r="E2902" s="1" t="n">
        <v>46313</v>
      </c>
      <c r="F2902" t="inlineStr">
        <is>
          <t>SÖDERMANLANDS LÄN</t>
        </is>
      </c>
      <c r="G2902" t="inlineStr">
        <is>
          <t>NYKÖPING</t>
        </is>
      </c>
      <c r="H2902" t="inlineStr">
        <is>
          <t>Holmen skog AB</t>
        </is>
      </c>
      <c r="I2902" t="n">
        <v>1.1</v>
      </c>
      <c r="J2902" t="n">
        <v>0</v>
      </c>
      <c r="K2902" t="n">
        <v>0</v>
      </c>
      <c r="L2902" t="n">
        <v>0</v>
      </c>
      <c r="M2902" t="n">
        <v>0</v>
      </c>
      <c r="N2902" t="n">
        <v>0</v>
      </c>
      <c r="O2902" t="n">
        <v>0</v>
      </c>
      <c r="P2902" t="n">
        <v>0</v>
      </c>
      <c r="Q2902" t="n">
        <v>0</v>
      </c>
      <c r="R2902" t="n">
        <v>0</v>
      </c>
      <c r="S2902" t="n">
        <v>0</v>
      </c>
      <c r="T2902" t="n">
        <v>0</v>
      </c>
      <c r="U2902" t="n">
        <v>0</v>
      </c>
      <c r="V2902" s="2" t="inlineStr"/>
    </row>
    <row r="2903" ht="15" customHeight="1">
      <c r="A2903" t="inlineStr">
        <is>
          <t>A 31719-2024</t>
        </is>
      </c>
      <c r="B2903" t="inlineStr">
        <is>
          <t>avverkningsanmälan</t>
        </is>
      </c>
      <c r="C2903" t="inlineStr">
        <is>
          <t>Föryngringsavverkning</t>
        </is>
      </c>
      <c r="D2903" s="1" t="n">
        <v>45509</v>
      </c>
      <c r="E2903" s="1" t="n">
        <v>46313</v>
      </c>
      <c r="F2903" t="inlineStr">
        <is>
          <t>SÖDERMANLANDS LÄN</t>
        </is>
      </c>
      <c r="G2903" t="inlineStr">
        <is>
          <t>KATRINEHOLM</t>
        </is>
      </c>
      <c r="H2903" t="inlineStr">
        <is>
          <t>Kyrkan</t>
        </is>
      </c>
      <c r="I2903" t="n">
        <v>11.9</v>
      </c>
      <c r="J2903" t="n">
        <v>0</v>
      </c>
      <c r="K2903" t="n">
        <v>0</v>
      </c>
      <c r="L2903" t="n">
        <v>0</v>
      </c>
      <c r="M2903" t="n">
        <v>0</v>
      </c>
      <c r="N2903" t="n">
        <v>0</v>
      </c>
      <c r="O2903" t="n">
        <v>0</v>
      </c>
      <c r="P2903" t="n">
        <v>0</v>
      </c>
      <c r="Q2903" t="n">
        <v>0</v>
      </c>
      <c r="R2903" t="n">
        <v>0</v>
      </c>
      <c r="S2903" t="n">
        <v>0</v>
      </c>
      <c r="T2903" t="n">
        <v>0</v>
      </c>
      <c r="U2903" t="n">
        <v>0</v>
      </c>
      <c r="V2903" s="2" t="inlineStr"/>
    </row>
    <row r="2904" ht="15" customHeight="1">
      <c r="A2904" t="inlineStr">
        <is>
          <t>A 14370-2022</t>
        </is>
      </c>
      <c r="B2904" t="inlineStr">
        <is>
          <t>avverkningsanmälan</t>
        </is>
      </c>
      <c r="C2904" t="inlineStr">
        <is>
          <t>Föryngringsavverkning</t>
        </is>
      </c>
      <c r="D2904" s="1" t="n">
        <v>44652</v>
      </c>
      <c r="E2904" s="1" t="n">
        <v>46313</v>
      </c>
      <c r="F2904" t="inlineStr">
        <is>
          <t>SÖDERMANLANDS LÄN</t>
        </is>
      </c>
      <c r="G2904" t="inlineStr">
        <is>
          <t>NYKÖPING</t>
        </is>
      </c>
      <c r="I2904" t="n">
        <v>2</v>
      </c>
      <c r="J2904" t="n">
        <v>0</v>
      </c>
      <c r="K2904" t="n">
        <v>0</v>
      </c>
      <c r="L2904" t="n">
        <v>0</v>
      </c>
      <c r="M2904" t="n">
        <v>0</v>
      </c>
      <c r="N2904" t="n">
        <v>0</v>
      </c>
      <c r="O2904" t="n">
        <v>0</v>
      </c>
      <c r="P2904" t="n">
        <v>0</v>
      </c>
      <c r="Q2904" t="n">
        <v>0</v>
      </c>
      <c r="R2904" t="n">
        <v>0</v>
      </c>
      <c r="S2904" t="n">
        <v>0</v>
      </c>
      <c r="T2904" t="n">
        <v>0</v>
      </c>
      <c r="U2904" t="n">
        <v>0</v>
      </c>
      <c r="V2904" s="2" t="inlineStr"/>
    </row>
    <row r="2905" ht="15" customHeight="1">
      <c r="A2905" t="inlineStr">
        <is>
          <t>A 29977-2023</t>
        </is>
      </c>
      <c r="B2905" t="inlineStr">
        <is>
          <t>avverkningsanmälan</t>
        </is>
      </c>
      <c r="C2905" t="inlineStr">
        <is>
          <t>Föryngringsavverkning</t>
        </is>
      </c>
      <c r="D2905" s="1" t="n">
        <v>45108</v>
      </c>
      <c r="E2905" s="1" t="n">
        <v>46313</v>
      </c>
      <c r="F2905" t="inlineStr">
        <is>
          <t>SÖDERMANLANDS LÄN</t>
        </is>
      </c>
      <c r="G2905" t="inlineStr">
        <is>
          <t>KATRINEHOLM</t>
        </is>
      </c>
      <c r="I2905" t="n">
        <v>2.4</v>
      </c>
      <c r="J2905" t="n">
        <v>0</v>
      </c>
      <c r="K2905" t="n">
        <v>0</v>
      </c>
      <c r="L2905" t="n">
        <v>0</v>
      </c>
      <c r="M2905" t="n">
        <v>0</v>
      </c>
      <c r="N2905" t="n">
        <v>0</v>
      </c>
      <c r="O2905" t="n">
        <v>0</v>
      </c>
      <c r="P2905" t="n">
        <v>0</v>
      </c>
      <c r="Q2905" t="n">
        <v>0</v>
      </c>
      <c r="R2905" t="n">
        <v>0</v>
      </c>
      <c r="S2905" t="n">
        <v>0</v>
      </c>
      <c r="T2905" t="n">
        <v>0</v>
      </c>
      <c r="U2905" t="n">
        <v>0</v>
      </c>
      <c r="V2905" s="2" t="inlineStr"/>
    </row>
    <row r="2906" ht="15" customHeight="1">
      <c r="A2906" t="inlineStr">
        <is>
          <t>A 22459-2022</t>
        </is>
      </c>
      <c r="B2906" t="inlineStr">
        <is>
          <t>avverkningsanmälan</t>
        </is>
      </c>
      <c r="C2906" t="inlineStr">
        <is>
          <t>Föryngringsavverkning</t>
        </is>
      </c>
      <c r="D2906" s="1" t="n">
        <v>44713</v>
      </c>
      <c r="E2906" s="1" t="n">
        <v>46313</v>
      </c>
      <c r="F2906" t="inlineStr">
        <is>
          <t>SÖDERMANLANDS LÄN</t>
        </is>
      </c>
      <c r="G2906" t="inlineStr">
        <is>
          <t>STRÄNGNÄS</t>
        </is>
      </c>
      <c r="H2906" t="inlineStr">
        <is>
          <t>Övriga Aktiebolag</t>
        </is>
      </c>
      <c r="I2906" t="n">
        <v>3.8</v>
      </c>
      <c r="J2906" t="n">
        <v>0</v>
      </c>
      <c r="K2906" t="n">
        <v>0</v>
      </c>
      <c r="L2906" t="n">
        <v>0</v>
      </c>
      <c r="M2906" t="n">
        <v>0</v>
      </c>
      <c r="N2906" t="n">
        <v>0</v>
      </c>
      <c r="O2906" t="n">
        <v>0</v>
      </c>
      <c r="P2906" t="n">
        <v>0</v>
      </c>
      <c r="Q2906" t="n">
        <v>0</v>
      </c>
      <c r="R2906" t="n">
        <v>0</v>
      </c>
      <c r="S2906" t="n">
        <v>0</v>
      </c>
      <c r="T2906" t="n">
        <v>0</v>
      </c>
      <c r="U2906" t="n">
        <v>0</v>
      </c>
      <c r="V2906" s="2" t="inlineStr"/>
    </row>
    <row r="2907" ht="15" customHeight="1">
      <c r="A2907" t="inlineStr">
        <is>
          <t>A 33088-2026</t>
        </is>
      </c>
      <c r="B2907" t="inlineStr">
        <is>
          <t>avverkningsanmälan</t>
        </is>
      </c>
      <c r="C2907" t="inlineStr">
        <is>
          <t>Föryngringsavverkning</t>
        </is>
      </c>
      <c r="D2907" s="1" t="n">
        <v>46245</v>
      </c>
      <c r="E2907" s="1" t="n">
        <v>46313</v>
      </c>
      <c r="F2907" t="inlineStr">
        <is>
          <t>SÖDERMANLANDS LÄN</t>
        </is>
      </c>
      <c r="G2907" t="inlineStr">
        <is>
          <t>NYKÖPING</t>
        </is>
      </c>
      <c r="H2907" t="inlineStr">
        <is>
          <t>Holmen skog AB</t>
        </is>
      </c>
      <c r="I2907" t="n">
        <v>2.6</v>
      </c>
      <c r="J2907" t="n">
        <v>0</v>
      </c>
      <c r="K2907" t="n">
        <v>0</v>
      </c>
      <c r="L2907" t="n">
        <v>0</v>
      </c>
      <c r="M2907" t="n">
        <v>0</v>
      </c>
      <c r="N2907" t="n">
        <v>0</v>
      </c>
      <c r="O2907" t="n">
        <v>0</v>
      </c>
      <c r="P2907" t="n">
        <v>0</v>
      </c>
      <c r="Q2907" t="n">
        <v>0</v>
      </c>
      <c r="R2907" t="n">
        <v>0</v>
      </c>
      <c r="S2907" t="n">
        <v>0</v>
      </c>
      <c r="T2907" t="n">
        <v>0</v>
      </c>
      <c r="U2907" t="n">
        <v>0</v>
      </c>
      <c r="V2907" s="2" t="inlineStr"/>
    </row>
    <row r="2908" ht="15" customHeight="1">
      <c r="A2908" t="inlineStr">
        <is>
          <t>A 3571-2023</t>
        </is>
      </c>
      <c r="B2908" t="inlineStr">
        <is>
          <t>avverkningsanmälan</t>
        </is>
      </c>
      <c r="C2908" t="inlineStr">
        <is>
          <t>Föryngringsavverkning</t>
        </is>
      </c>
      <c r="D2908" s="1" t="n">
        <v>44950</v>
      </c>
      <c r="E2908" s="1" t="n">
        <v>46313</v>
      </c>
      <c r="F2908" t="inlineStr">
        <is>
          <t>SÖDERMANLANDS LÄN</t>
        </is>
      </c>
      <c r="G2908" t="inlineStr">
        <is>
          <t>NYKÖPING</t>
        </is>
      </c>
      <c r="I2908" t="n">
        <v>1.8</v>
      </c>
      <c r="J2908" t="n">
        <v>0</v>
      </c>
      <c r="K2908" t="n">
        <v>0</v>
      </c>
      <c r="L2908" t="n">
        <v>0</v>
      </c>
      <c r="M2908" t="n">
        <v>0</v>
      </c>
      <c r="N2908" t="n">
        <v>0</v>
      </c>
      <c r="O2908" t="n">
        <v>0</v>
      </c>
      <c r="P2908" t="n">
        <v>0</v>
      </c>
      <c r="Q2908" t="n">
        <v>0</v>
      </c>
      <c r="R2908" t="n">
        <v>0</v>
      </c>
      <c r="S2908" t="n">
        <v>0</v>
      </c>
      <c r="T2908" t="n">
        <v>0</v>
      </c>
      <c r="U2908" t="n">
        <v>0</v>
      </c>
      <c r="V2908" s="2" t="inlineStr"/>
    </row>
    <row r="2909" ht="15" customHeight="1">
      <c r="A2909" t="inlineStr">
        <is>
          <t>A 8407-2023</t>
        </is>
      </c>
      <c r="B2909" t="inlineStr">
        <is>
          <t>avverkningsanmälan</t>
        </is>
      </c>
      <c r="C2909" t="inlineStr">
        <is>
          <t>Föryngringsavverkning</t>
        </is>
      </c>
      <c r="D2909" s="1" t="n">
        <v>44977</v>
      </c>
      <c r="E2909" s="1" t="n">
        <v>46313</v>
      </c>
      <c r="F2909" t="inlineStr">
        <is>
          <t>SÖDERMANLANDS LÄN</t>
        </is>
      </c>
      <c r="G2909" t="inlineStr">
        <is>
          <t>NYKÖPING</t>
        </is>
      </c>
      <c r="H2909" t="inlineStr">
        <is>
          <t>Övriga Aktiebolag</t>
        </is>
      </c>
      <c r="I2909" t="n">
        <v>0.9</v>
      </c>
      <c r="J2909" t="n">
        <v>0</v>
      </c>
      <c r="K2909" t="n">
        <v>0</v>
      </c>
      <c r="L2909" t="n">
        <v>0</v>
      </c>
      <c r="M2909" t="n">
        <v>0</v>
      </c>
      <c r="N2909" t="n">
        <v>0</v>
      </c>
      <c r="O2909" t="n">
        <v>0</v>
      </c>
      <c r="P2909" t="n">
        <v>0</v>
      </c>
      <c r="Q2909" t="n">
        <v>0</v>
      </c>
      <c r="R2909" t="n">
        <v>0</v>
      </c>
      <c r="S2909" t="n">
        <v>0</v>
      </c>
      <c r="T2909" t="n">
        <v>0</v>
      </c>
      <c r="U2909" t="n">
        <v>0</v>
      </c>
      <c r="V2909" s="2" t="inlineStr"/>
    </row>
    <row r="2910" ht="15" customHeight="1">
      <c r="A2910" t="inlineStr">
        <is>
          <t>A 33087-2026</t>
        </is>
      </c>
      <c r="B2910" t="inlineStr">
        <is>
          <t>avverkningsanmälan</t>
        </is>
      </c>
      <c r="C2910" t="inlineStr">
        <is>
          <t>Föryngringsavverkning</t>
        </is>
      </c>
      <c r="D2910" s="1" t="n">
        <v>46245</v>
      </c>
      <c r="E2910" s="1" t="n">
        <v>46313</v>
      </c>
      <c r="F2910" t="inlineStr">
        <is>
          <t>SÖDERMANLANDS LÄN</t>
        </is>
      </c>
      <c r="G2910" t="inlineStr">
        <is>
          <t>ESKILSTUNA</t>
        </is>
      </c>
      <c r="I2910" t="n">
        <v>1.7</v>
      </c>
      <c r="J2910" t="n">
        <v>0</v>
      </c>
      <c r="K2910" t="n">
        <v>0</v>
      </c>
      <c r="L2910" t="n">
        <v>0</v>
      </c>
      <c r="M2910" t="n">
        <v>0</v>
      </c>
      <c r="N2910" t="n">
        <v>0</v>
      </c>
      <c r="O2910" t="n">
        <v>0</v>
      </c>
      <c r="P2910" t="n">
        <v>0</v>
      </c>
      <c r="Q2910" t="n">
        <v>0</v>
      </c>
      <c r="R2910" t="n">
        <v>0</v>
      </c>
      <c r="S2910" t="n">
        <v>0</v>
      </c>
      <c r="T2910" t="n">
        <v>0</v>
      </c>
      <c r="U2910" t="n">
        <v>0</v>
      </c>
      <c r="V2910" s="2" t="inlineStr"/>
    </row>
    <row r="2911" ht="15" customHeight="1">
      <c r="A2911" t="inlineStr">
        <is>
          <t>A 33091-2026</t>
        </is>
      </c>
      <c r="B2911" t="inlineStr">
        <is>
          <t>avverkningsanmälan</t>
        </is>
      </c>
      <c r="C2911" t="inlineStr">
        <is>
          <t>Föryngringsavverkning</t>
        </is>
      </c>
      <c r="D2911" s="1" t="n">
        <v>46245</v>
      </c>
      <c r="E2911" s="1" t="n">
        <v>46313</v>
      </c>
      <c r="F2911" t="inlineStr">
        <is>
          <t>SÖDERMANLANDS LÄN</t>
        </is>
      </c>
      <c r="G2911" t="inlineStr">
        <is>
          <t>NYKÖPING</t>
        </is>
      </c>
      <c r="H2911" t="inlineStr">
        <is>
          <t>Holmen skog AB</t>
        </is>
      </c>
      <c r="I2911" t="n">
        <v>1.8</v>
      </c>
      <c r="J2911" t="n">
        <v>0</v>
      </c>
      <c r="K2911" t="n">
        <v>0</v>
      </c>
      <c r="L2911" t="n">
        <v>0</v>
      </c>
      <c r="M2911" t="n">
        <v>0</v>
      </c>
      <c r="N2911" t="n">
        <v>0</v>
      </c>
      <c r="O2911" t="n">
        <v>0</v>
      </c>
      <c r="P2911" t="n">
        <v>0</v>
      </c>
      <c r="Q2911" t="n">
        <v>0</v>
      </c>
      <c r="R2911" t="n">
        <v>0</v>
      </c>
      <c r="S2911" t="n">
        <v>0</v>
      </c>
      <c r="T2911" t="n">
        <v>0</v>
      </c>
      <c r="U2911" t="n">
        <v>0</v>
      </c>
      <c r="V2911" s="2" t="inlineStr"/>
    </row>
    <row r="2912" ht="15" customHeight="1">
      <c r="A2912" t="inlineStr">
        <is>
          <t>A 44618-2023</t>
        </is>
      </c>
      <c r="B2912" t="inlineStr">
        <is>
          <t>avverkningsanmälan</t>
        </is>
      </c>
      <c r="C2912" t="inlineStr">
        <is>
          <t>Föryngringsavverkning</t>
        </is>
      </c>
      <c r="D2912" s="1" t="n">
        <v>45189</v>
      </c>
      <c r="E2912" s="1" t="n">
        <v>46313</v>
      </c>
      <c r="F2912" t="inlineStr">
        <is>
          <t>SÖDERMANLANDS LÄN</t>
        </is>
      </c>
      <c r="G2912" t="inlineStr">
        <is>
          <t>STRÄNGNÄS</t>
        </is>
      </c>
      <c r="I2912" t="n">
        <v>4.5</v>
      </c>
      <c r="J2912" t="n">
        <v>0</v>
      </c>
      <c r="K2912" t="n">
        <v>0</v>
      </c>
      <c r="L2912" t="n">
        <v>0</v>
      </c>
      <c r="M2912" t="n">
        <v>0</v>
      </c>
      <c r="N2912" t="n">
        <v>0</v>
      </c>
      <c r="O2912" t="n">
        <v>0</v>
      </c>
      <c r="P2912" t="n">
        <v>0</v>
      </c>
      <c r="Q2912" t="n">
        <v>0</v>
      </c>
      <c r="R2912" t="n">
        <v>0</v>
      </c>
      <c r="S2912" t="n">
        <v>0</v>
      </c>
      <c r="T2912" t="n">
        <v>0</v>
      </c>
      <c r="U2912" t="n">
        <v>0</v>
      </c>
      <c r="V2912" s="2" t="inlineStr"/>
    </row>
    <row r="2913" ht="15" customHeight="1">
      <c r="A2913" t="inlineStr">
        <is>
          <t>A 4669-2023</t>
        </is>
      </c>
      <c r="B2913" t="inlineStr">
        <is>
          <t>avverkningsanmälan</t>
        </is>
      </c>
      <c r="C2913" t="inlineStr">
        <is>
          <t>Föryngringsavverkning</t>
        </is>
      </c>
      <c r="D2913" s="1" t="n">
        <v>44957</v>
      </c>
      <c r="E2913" s="1" t="n">
        <v>46313</v>
      </c>
      <c r="F2913" t="inlineStr">
        <is>
          <t>SÖDERMANLANDS LÄN</t>
        </is>
      </c>
      <c r="G2913" t="inlineStr">
        <is>
          <t>KATRINEHOLM</t>
        </is>
      </c>
      <c r="H2913" t="inlineStr">
        <is>
          <t>Holmen skog AB</t>
        </is>
      </c>
      <c r="I2913" t="n">
        <v>2.2</v>
      </c>
      <c r="J2913" t="n">
        <v>0</v>
      </c>
      <c r="K2913" t="n">
        <v>0</v>
      </c>
      <c r="L2913" t="n">
        <v>0</v>
      </c>
      <c r="M2913" t="n">
        <v>0</v>
      </c>
      <c r="N2913" t="n">
        <v>0</v>
      </c>
      <c r="O2913" t="n">
        <v>0</v>
      </c>
      <c r="P2913" t="n">
        <v>0</v>
      </c>
      <c r="Q2913" t="n">
        <v>0</v>
      </c>
      <c r="R2913" t="n">
        <v>0</v>
      </c>
      <c r="S2913" t="n">
        <v>0</v>
      </c>
      <c r="T2913" t="n">
        <v>0</v>
      </c>
      <c r="U2913" t="n">
        <v>0</v>
      </c>
      <c r="V2913" s="2" t="inlineStr"/>
    </row>
    <row r="2914" ht="15" customHeight="1">
      <c r="A2914" t="inlineStr">
        <is>
          <t>A 40160-2026</t>
        </is>
      </c>
      <c r="B2914" t="inlineStr">
        <is>
          <t>avverkningsanmälan</t>
        </is>
      </c>
      <c r="C2914" t="inlineStr">
        <is>
          <t>Föryngringsavverkning</t>
        </is>
      </c>
      <c r="D2914" s="1" t="n">
        <v>46293</v>
      </c>
      <c r="E2914" s="1" t="n">
        <v>46313</v>
      </c>
      <c r="F2914" t="inlineStr">
        <is>
          <t>SÖDERMANLANDS LÄN</t>
        </is>
      </c>
      <c r="G2914" t="inlineStr">
        <is>
          <t>NYKÖPING</t>
        </is>
      </c>
      <c r="I2914" t="n">
        <v>3.6</v>
      </c>
      <c r="J2914" t="n">
        <v>0</v>
      </c>
      <c r="K2914" t="n">
        <v>0</v>
      </c>
      <c r="L2914" t="n">
        <v>0</v>
      </c>
      <c r="M2914" t="n">
        <v>0</v>
      </c>
      <c r="N2914" t="n">
        <v>0</v>
      </c>
      <c r="O2914" t="n">
        <v>0</v>
      </c>
      <c r="P2914" t="n">
        <v>0</v>
      </c>
      <c r="Q2914" t="n">
        <v>0</v>
      </c>
      <c r="R2914" t="n">
        <v>0</v>
      </c>
      <c r="S2914" t="n">
        <v>0</v>
      </c>
      <c r="T2914" t="n">
        <v>0</v>
      </c>
      <c r="U2914" t="n">
        <v>0</v>
      </c>
      <c r="V2914" s="2" t="inlineStr"/>
    </row>
    <row r="2915" ht="15" customHeight="1">
      <c r="A2915" t="inlineStr">
        <is>
          <t>A 926-2023</t>
        </is>
      </c>
      <c r="B2915" t="inlineStr">
        <is>
          <t>avverkningsanmälan</t>
        </is>
      </c>
      <c r="C2915" t="inlineStr">
        <is>
          <t>Föryngringsavverkning</t>
        </is>
      </c>
      <c r="D2915" s="1" t="n">
        <v>44932</v>
      </c>
      <c r="E2915" s="1" t="n">
        <v>46313</v>
      </c>
      <c r="F2915" t="inlineStr">
        <is>
          <t>SÖDERMANLANDS LÄN</t>
        </is>
      </c>
      <c r="G2915" t="inlineStr">
        <is>
          <t>NYKÖPING</t>
        </is>
      </c>
      <c r="I2915" t="n">
        <v>0.7</v>
      </c>
      <c r="J2915" t="n">
        <v>0</v>
      </c>
      <c r="K2915" t="n">
        <v>0</v>
      </c>
      <c r="L2915" t="n">
        <v>0</v>
      </c>
      <c r="M2915" t="n">
        <v>0</v>
      </c>
      <c r="N2915" t="n">
        <v>0</v>
      </c>
      <c r="O2915" t="n">
        <v>0</v>
      </c>
      <c r="P2915" t="n">
        <v>0</v>
      </c>
      <c r="Q2915" t="n">
        <v>0</v>
      </c>
      <c r="R2915" t="n">
        <v>0</v>
      </c>
      <c r="S2915" t="n">
        <v>0</v>
      </c>
      <c r="T2915" t="n">
        <v>0</v>
      </c>
      <c r="U2915" t="n">
        <v>0</v>
      </c>
      <c r="V2915" s="2" t="inlineStr"/>
    </row>
    <row r="2916" ht="15" customHeight="1">
      <c r="A2916" t="inlineStr">
        <is>
          <t>A 929-2023</t>
        </is>
      </c>
      <c r="B2916" t="inlineStr">
        <is>
          <t>avverkningsanmälan</t>
        </is>
      </c>
      <c r="C2916" t="inlineStr">
        <is>
          <t>Föryngringsavverkning</t>
        </is>
      </c>
      <c r="D2916" s="1" t="n">
        <v>44932</v>
      </c>
      <c r="E2916" s="1" t="n">
        <v>46313</v>
      </c>
      <c r="F2916" t="inlineStr">
        <is>
          <t>SÖDERMANLANDS LÄN</t>
        </is>
      </c>
      <c r="G2916" t="inlineStr">
        <is>
          <t>NYKÖPING</t>
        </is>
      </c>
      <c r="I2916" t="n">
        <v>1.8</v>
      </c>
      <c r="J2916" t="n">
        <v>0</v>
      </c>
      <c r="K2916" t="n">
        <v>0</v>
      </c>
      <c r="L2916" t="n">
        <v>0</v>
      </c>
      <c r="M2916" t="n">
        <v>0</v>
      </c>
      <c r="N2916" t="n">
        <v>0</v>
      </c>
      <c r="O2916" t="n">
        <v>0</v>
      </c>
      <c r="P2916" t="n">
        <v>0</v>
      </c>
      <c r="Q2916" t="n">
        <v>0</v>
      </c>
      <c r="R2916" t="n">
        <v>0</v>
      </c>
      <c r="S2916" t="n">
        <v>0</v>
      </c>
      <c r="T2916" t="n">
        <v>0</v>
      </c>
      <c r="U2916" t="n">
        <v>0</v>
      </c>
      <c r="V2916" s="2" t="inlineStr"/>
    </row>
    <row r="2917" ht="15" customHeight="1">
      <c r="A2917" t="inlineStr">
        <is>
          <t>A 948-2023</t>
        </is>
      </c>
      <c r="B2917" t="inlineStr">
        <is>
          <t>avverkningsanmälan</t>
        </is>
      </c>
      <c r="C2917" t="inlineStr">
        <is>
          <t>Föryngringsavverkning</t>
        </is>
      </c>
      <c r="D2917" s="1" t="n">
        <v>44934</v>
      </c>
      <c r="E2917" s="1" t="n">
        <v>46313</v>
      </c>
      <c r="F2917" t="inlineStr">
        <is>
          <t>SÖDERMANLANDS LÄN</t>
        </is>
      </c>
      <c r="G2917" t="inlineStr">
        <is>
          <t>KATRINEHOLM</t>
        </is>
      </c>
      <c r="I2917" t="n">
        <v>1.2</v>
      </c>
      <c r="J2917" t="n">
        <v>0</v>
      </c>
      <c r="K2917" t="n">
        <v>0</v>
      </c>
      <c r="L2917" t="n">
        <v>0</v>
      </c>
      <c r="M2917" t="n">
        <v>0</v>
      </c>
      <c r="N2917" t="n">
        <v>0</v>
      </c>
      <c r="O2917" t="n">
        <v>0</v>
      </c>
      <c r="P2917" t="n">
        <v>0</v>
      </c>
      <c r="Q2917" t="n">
        <v>0</v>
      </c>
      <c r="R2917" t="n">
        <v>0</v>
      </c>
      <c r="S2917" t="n">
        <v>0</v>
      </c>
      <c r="T2917" t="n">
        <v>0</v>
      </c>
      <c r="U2917" t="n">
        <v>0</v>
      </c>
      <c r="V2917" s="2" t="inlineStr"/>
    </row>
    <row r="2918" ht="15" customHeight="1">
      <c r="A2918" t="inlineStr">
        <is>
          <t>A 39895-2026</t>
        </is>
      </c>
      <c r="B2918" t="inlineStr">
        <is>
          <t>avverkningsanmälan</t>
        </is>
      </c>
      <c r="C2918" t="inlineStr">
        <is>
          <t>Föryngringsavverkning</t>
        </is>
      </c>
      <c r="D2918" s="1" t="n">
        <v>46290</v>
      </c>
      <c r="E2918" s="1" t="n">
        <v>46313</v>
      </c>
      <c r="F2918" t="inlineStr">
        <is>
          <t>SÖDERMANLANDS LÄN</t>
        </is>
      </c>
      <c r="G2918" t="inlineStr">
        <is>
          <t>GNESTA</t>
        </is>
      </c>
      <c r="I2918" t="n">
        <v>2.6</v>
      </c>
      <c r="J2918" t="n">
        <v>0</v>
      </c>
      <c r="K2918" t="n">
        <v>0</v>
      </c>
      <c r="L2918" t="n">
        <v>0</v>
      </c>
      <c r="M2918" t="n">
        <v>0</v>
      </c>
      <c r="N2918" t="n">
        <v>0</v>
      </c>
      <c r="O2918" t="n">
        <v>0</v>
      </c>
      <c r="P2918" t="n">
        <v>0</v>
      </c>
      <c r="Q2918" t="n">
        <v>0</v>
      </c>
      <c r="R2918" t="n">
        <v>0</v>
      </c>
      <c r="S2918" t="n">
        <v>0</v>
      </c>
      <c r="T2918" t="n">
        <v>0</v>
      </c>
      <c r="U2918" t="n">
        <v>0</v>
      </c>
      <c r="V2918" s="2" t="inlineStr"/>
    </row>
    <row r="2919" ht="15" customHeight="1">
      <c r="A2919" t="inlineStr">
        <is>
          <t>A 33936-2026</t>
        </is>
      </c>
      <c r="B2919" t="inlineStr">
        <is>
          <t>avverkningsanmälan</t>
        </is>
      </c>
      <c r="C2919" t="inlineStr">
        <is>
          <t>Avverkning för annat ändamål</t>
        </is>
      </c>
      <c r="D2919" s="1" t="n">
        <v>46250</v>
      </c>
      <c r="E2919" s="1" t="n">
        <v>46313</v>
      </c>
      <c r="F2919" t="inlineStr">
        <is>
          <t>SÖDERMANLANDS LÄN</t>
        </is>
      </c>
      <c r="G2919" t="inlineStr">
        <is>
          <t>FLEN</t>
        </is>
      </c>
      <c r="I2919" t="n">
        <v>1.8</v>
      </c>
      <c r="J2919" t="n">
        <v>0</v>
      </c>
      <c r="K2919" t="n">
        <v>0</v>
      </c>
      <c r="L2919" t="n">
        <v>0</v>
      </c>
      <c r="M2919" t="n">
        <v>0</v>
      </c>
      <c r="N2919" t="n">
        <v>0</v>
      </c>
      <c r="O2919" t="n">
        <v>0</v>
      </c>
      <c r="P2919" t="n">
        <v>0</v>
      </c>
      <c r="Q2919" t="n">
        <v>0</v>
      </c>
      <c r="R2919" t="n">
        <v>0</v>
      </c>
      <c r="S2919" t="n">
        <v>0</v>
      </c>
      <c r="T2919" t="n">
        <v>0</v>
      </c>
      <c r="U2919" t="n">
        <v>0</v>
      </c>
      <c r="V2919" s="2" t="inlineStr"/>
    </row>
    <row r="2920" ht="15" customHeight="1">
      <c r="A2920" t="inlineStr">
        <is>
          <t>A 6087-2022</t>
        </is>
      </c>
      <c r="B2920" t="inlineStr">
        <is>
          <t>avverkningsanmälan</t>
        </is>
      </c>
      <c r="C2920" t="inlineStr">
        <is>
          <t>Föryngringsavverkning</t>
        </is>
      </c>
      <c r="D2920" s="1" t="n">
        <v>44599</v>
      </c>
      <c r="E2920" s="1" t="n">
        <v>46313</v>
      </c>
      <c r="F2920" t="inlineStr">
        <is>
          <t>SÖDERMANLANDS LÄN</t>
        </is>
      </c>
      <c r="G2920" t="inlineStr">
        <is>
          <t>KATRINEHOLM</t>
        </is>
      </c>
      <c r="I2920" t="n">
        <v>0.8</v>
      </c>
      <c r="J2920" t="n">
        <v>0</v>
      </c>
      <c r="K2920" t="n">
        <v>0</v>
      </c>
      <c r="L2920" t="n">
        <v>0</v>
      </c>
      <c r="M2920" t="n">
        <v>0</v>
      </c>
      <c r="N2920" t="n">
        <v>0</v>
      </c>
      <c r="O2920" t="n">
        <v>0</v>
      </c>
      <c r="P2920" t="n">
        <v>0</v>
      </c>
      <c r="Q2920" t="n">
        <v>0</v>
      </c>
      <c r="R2920" t="n">
        <v>0</v>
      </c>
      <c r="S2920" t="n">
        <v>0</v>
      </c>
      <c r="T2920" t="n">
        <v>0</v>
      </c>
      <c r="U2920" t="n">
        <v>0</v>
      </c>
      <c r="V2920" s="2" t="inlineStr"/>
    </row>
    <row r="2921" ht="15" customHeight="1">
      <c r="A2921" t="inlineStr">
        <is>
          <t>A 33494-2026</t>
        </is>
      </c>
      <c r="B2921" t="inlineStr">
        <is>
          <t>avverkningsanmälan</t>
        </is>
      </c>
      <c r="C2921" t="inlineStr">
        <is>
          <t>Föryngringsavverkning</t>
        </is>
      </c>
      <c r="D2921" s="1" t="n">
        <v>46247</v>
      </c>
      <c r="E2921" s="1" t="n">
        <v>46313</v>
      </c>
      <c r="F2921" t="inlineStr">
        <is>
          <t>SÖDERMANLANDS LÄN</t>
        </is>
      </c>
      <c r="G2921" t="inlineStr">
        <is>
          <t>NYKÖPING</t>
        </is>
      </c>
      <c r="H2921" t="inlineStr">
        <is>
          <t>Holmen skog AB</t>
        </is>
      </c>
      <c r="I2921" t="n">
        <v>1.8</v>
      </c>
      <c r="J2921" t="n">
        <v>0</v>
      </c>
      <c r="K2921" t="n">
        <v>0</v>
      </c>
      <c r="L2921" t="n">
        <v>0</v>
      </c>
      <c r="M2921" t="n">
        <v>0</v>
      </c>
      <c r="N2921" t="n">
        <v>0</v>
      </c>
      <c r="O2921" t="n">
        <v>0</v>
      </c>
      <c r="P2921" t="n">
        <v>0</v>
      </c>
      <c r="Q2921" t="n">
        <v>0</v>
      </c>
      <c r="R2921" t="n">
        <v>0</v>
      </c>
      <c r="S2921" t="n">
        <v>0</v>
      </c>
      <c r="T2921" t="n">
        <v>0</v>
      </c>
      <c r="U2921" t="n">
        <v>0</v>
      </c>
      <c r="V2921" s="2" t="inlineStr"/>
    </row>
    <row r="2922" ht="15" customHeight="1">
      <c r="A2922" t="inlineStr">
        <is>
          <t>A 47134-2022</t>
        </is>
      </c>
      <c r="B2922" t="inlineStr">
        <is>
          <t>avverkningsanmälan</t>
        </is>
      </c>
      <c r="C2922" t="inlineStr">
        <is>
          <t>Föryngringsavverkning</t>
        </is>
      </c>
      <c r="D2922" s="1" t="n">
        <v>44851</v>
      </c>
      <c r="E2922" s="1" t="n">
        <v>46313</v>
      </c>
      <c r="F2922" t="inlineStr">
        <is>
          <t>SÖDERMANLANDS LÄN</t>
        </is>
      </c>
      <c r="G2922" t="inlineStr">
        <is>
          <t>KATRINEHOLM</t>
        </is>
      </c>
      <c r="H2922" t="inlineStr">
        <is>
          <t>Övriga statliga verk och myndigheter</t>
        </is>
      </c>
      <c r="I2922" t="n">
        <v>1.5</v>
      </c>
      <c r="J2922" t="n">
        <v>0</v>
      </c>
      <c r="K2922" t="n">
        <v>0</v>
      </c>
      <c r="L2922" t="n">
        <v>0</v>
      </c>
      <c r="M2922" t="n">
        <v>0</v>
      </c>
      <c r="N2922" t="n">
        <v>0</v>
      </c>
      <c r="O2922" t="n">
        <v>0</v>
      </c>
      <c r="P2922" t="n">
        <v>0</v>
      </c>
      <c r="Q2922" t="n">
        <v>0</v>
      </c>
      <c r="R2922" t="n">
        <v>0</v>
      </c>
      <c r="S2922" t="n">
        <v>0</v>
      </c>
      <c r="T2922" t="n">
        <v>0</v>
      </c>
      <c r="U2922" t="n">
        <v>0</v>
      </c>
      <c r="V2922" s="2" t="inlineStr"/>
    </row>
    <row r="2923" ht="15" customHeight="1">
      <c r="A2923" t="inlineStr">
        <is>
          <t>A 25121-2026</t>
        </is>
      </c>
      <c r="B2923" t="inlineStr">
        <is>
          <t>avverkningsanmälan</t>
        </is>
      </c>
      <c r="C2923" t="inlineStr">
        <is>
          <t>Föryngringsavverkning</t>
        </is>
      </c>
      <c r="D2923" s="1" t="n">
        <v>46175</v>
      </c>
      <c r="E2923" s="1" t="n">
        <v>46313</v>
      </c>
      <c r="F2923" t="inlineStr">
        <is>
          <t>SÖDERMANLANDS LÄN</t>
        </is>
      </c>
      <c r="G2923" t="inlineStr">
        <is>
          <t>FLEN</t>
        </is>
      </c>
      <c r="I2923" t="n">
        <v>2.3</v>
      </c>
      <c r="J2923" t="n">
        <v>0</v>
      </c>
      <c r="K2923" t="n">
        <v>0</v>
      </c>
      <c r="L2923" t="n">
        <v>0</v>
      </c>
      <c r="M2923" t="n">
        <v>0</v>
      </c>
      <c r="N2923" t="n">
        <v>0</v>
      </c>
      <c r="O2923" t="n">
        <v>0</v>
      </c>
      <c r="P2923" t="n">
        <v>0</v>
      </c>
      <c r="Q2923" t="n">
        <v>0</v>
      </c>
      <c r="R2923" t="n">
        <v>0</v>
      </c>
      <c r="S2923" t="n">
        <v>0</v>
      </c>
      <c r="T2923" t="n">
        <v>0</v>
      </c>
      <c r="U2923" t="n">
        <v>0</v>
      </c>
      <c r="V2923" s="2" t="inlineStr"/>
    </row>
    <row r="2924" ht="15" customHeight="1">
      <c r="A2924" t="inlineStr">
        <is>
          <t>A 39543-2023</t>
        </is>
      </c>
      <c r="B2924" t="inlineStr">
        <is>
          <t>avverkningsanmälan</t>
        </is>
      </c>
      <c r="C2924" t="inlineStr">
        <is>
          <t>Föryngringsavverkning</t>
        </is>
      </c>
      <c r="D2924" s="1" t="n">
        <v>45167</v>
      </c>
      <c r="E2924" s="1" t="n">
        <v>46313</v>
      </c>
      <c r="F2924" t="inlineStr">
        <is>
          <t>SÖDERMANLANDS LÄN</t>
        </is>
      </c>
      <c r="G2924" t="inlineStr">
        <is>
          <t>ESKILSTUNA</t>
        </is>
      </c>
      <c r="I2924" t="n">
        <v>1.6</v>
      </c>
      <c r="J2924" t="n">
        <v>0</v>
      </c>
      <c r="K2924" t="n">
        <v>0</v>
      </c>
      <c r="L2924" t="n">
        <v>0</v>
      </c>
      <c r="M2924" t="n">
        <v>0</v>
      </c>
      <c r="N2924" t="n">
        <v>0</v>
      </c>
      <c r="O2924" t="n">
        <v>0</v>
      </c>
      <c r="P2924" t="n">
        <v>0</v>
      </c>
      <c r="Q2924" t="n">
        <v>0</v>
      </c>
      <c r="R2924" t="n">
        <v>0</v>
      </c>
      <c r="S2924" t="n">
        <v>0</v>
      </c>
      <c r="T2924" t="n">
        <v>0</v>
      </c>
      <c r="U2924" t="n">
        <v>0</v>
      </c>
      <c r="V2924" s="2" t="inlineStr"/>
    </row>
    <row r="2925" ht="15" customHeight="1">
      <c r="A2925" t="inlineStr">
        <is>
          <t>A 34696-2022</t>
        </is>
      </c>
      <c r="B2925" t="inlineStr">
        <is>
          <t>avverkningsanmälan</t>
        </is>
      </c>
      <c r="C2925" t="inlineStr">
        <is>
          <t>Föryngringsavverkning</t>
        </is>
      </c>
      <c r="D2925" s="1" t="n">
        <v>44795</v>
      </c>
      <c r="E2925" s="1" t="n">
        <v>46313</v>
      </c>
      <c r="F2925" t="inlineStr">
        <is>
          <t>SÖDERMANLANDS LÄN</t>
        </is>
      </c>
      <c r="G2925" t="inlineStr">
        <is>
          <t>GNESTA</t>
        </is>
      </c>
      <c r="I2925" t="n">
        <v>1.9</v>
      </c>
      <c r="J2925" t="n">
        <v>0</v>
      </c>
      <c r="K2925" t="n">
        <v>0</v>
      </c>
      <c r="L2925" t="n">
        <v>0</v>
      </c>
      <c r="M2925" t="n">
        <v>0</v>
      </c>
      <c r="N2925" t="n">
        <v>0</v>
      </c>
      <c r="O2925" t="n">
        <v>0</v>
      </c>
      <c r="P2925" t="n">
        <v>0</v>
      </c>
      <c r="Q2925" t="n">
        <v>0</v>
      </c>
      <c r="R2925" t="n">
        <v>0</v>
      </c>
      <c r="S2925" t="n">
        <v>0</v>
      </c>
      <c r="T2925" t="n">
        <v>0</v>
      </c>
      <c r="U2925" t="n">
        <v>0</v>
      </c>
      <c r="V2925" s="2" t="inlineStr"/>
    </row>
    <row r="2926" ht="15" customHeight="1">
      <c r="A2926" t="inlineStr">
        <is>
          <t>A 18383-2026</t>
        </is>
      </c>
      <c r="B2926" t="inlineStr">
        <is>
          <t>avverkningsanmälan</t>
        </is>
      </c>
      <c r="C2926" t="inlineStr">
        <is>
          <t>Föryngringsavverkning</t>
        </is>
      </c>
      <c r="D2926" s="1" t="n">
        <v>46126</v>
      </c>
      <c r="E2926" s="1" t="n">
        <v>46313</v>
      </c>
      <c r="F2926" t="inlineStr">
        <is>
          <t>SÖDERMANLANDS LÄN</t>
        </is>
      </c>
      <c r="G2926" t="inlineStr">
        <is>
          <t>KATRINEHOLM</t>
        </is>
      </c>
      <c r="I2926" t="n">
        <v>2.4</v>
      </c>
      <c r="J2926" t="n">
        <v>0</v>
      </c>
      <c r="K2926" t="n">
        <v>0</v>
      </c>
      <c r="L2926" t="n">
        <v>0</v>
      </c>
      <c r="M2926" t="n">
        <v>0</v>
      </c>
      <c r="N2926" t="n">
        <v>0</v>
      </c>
      <c r="O2926" t="n">
        <v>0</v>
      </c>
      <c r="P2926" t="n">
        <v>0</v>
      </c>
      <c r="Q2926" t="n">
        <v>0</v>
      </c>
      <c r="R2926" t="n">
        <v>0</v>
      </c>
      <c r="S2926" t="n">
        <v>0</v>
      </c>
      <c r="T2926" t="n">
        <v>0</v>
      </c>
      <c r="U2926" t="n">
        <v>0</v>
      </c>
      <c r="V2926" s="2" t="inlineStr"/>
    </row>
    <row r="2927" ht="15" customHeight="1">
      <c r="A2927" t="inlineStr">
        <is>
          <t>A 817-2026</t>
        </is>
      </c>
      <c r="B2927" t="inlineStr">
        <is>
          <t>avverkningsanmälan</t>
        </is>
      </c>
      <c r="C2927" t="inlineStr">
        <is>
          <t>Föryngringsavverkning</t>
        </is>
      </c>
      <c r="D2927" s="1" t="n">
        <v>46030</v>
      </c>
      <c r="E2927" s="1" t="n">
        <v>46313</v>
      </c>
      <c r="F2927" t="inlineStr">
        <is>
          <t>SÖDERMANLANDS LÄN</t>
        </is>
      </c>
      <c r="G2927" t="inlineStr">
        <is>
          <t>NYKÖPING</t>
        </is>
      </c>
      <c r="H2927" t="inlineStr">
        <is>
          <t>Holmen skog AB</t>
        </is>
      </c>
      <c r="I2927" t="n">
        <v>4.5</v>
      </c>
      <c r="J2927" t="n">
        <v>0</v>
      </c>
      <c r="K2927" t="n">
        <v>0</v>
      </c>
      <c r="L2927" t="n">
        <v>0</v>
      </c>
      <c r="M2927" t="n">
        <v>0</v>
      </c>
      <c r="N2927" t="n">
        <v>0</v>
      </c>
      <c r="O2927" t="n">
        <v>0</v>
      </c>
      <c r="P2927" t="n">
        <v>0</v>
      </c>
      <c r="Q2927" t="n">
        <v>0</v>
      </c>
      <c r="R2927" t="n">
        <v>0</v>
      </c>
      <c r="S2927" t="n">
        <v>0</v>
      </c>
      <c r="T2927" t="n">
        <v>0</v>
      </c>
      <c r="U2927" t="n">
        <v>0</v>
      </c>
      <c r="V2927" s="2" t="inlineStr"/>
    </row>
    <row r="2928" ht="15" customHeight="1">
      <c r="A2928" t="inlineStr">
        <is>
          <t>A 36712-2024</t>
        </is>
      </c>
      <c r="B2928" t="inlineStr">
        <is>
          <t>avverkningsanmälan</t>
        </is>
      </c>
      <c r="C2928" t="inlineStr">
        <is>
          <t>Avverkning för annat ändamål</t>
        </is>
      </c>
      <c r="D2928" s="1" t="n">
        <v>45537</v>
      </c>
      <c r="E2928" s="1" t="n">
        <v>46313</v>
      </c>
      <c r="F2928" t="inlineStr">
        <is>
          <t>SÖDERMANLANDS LÄN</t>
        </is>
      </c>
      <c r="G2928" t="inlineStr">
        <is>
          <t>TROSA</t>
        </is>
      </c>
      <c r="H2928" t="inlineStr">
        <is>
          <t>Övriga Aktiebolag</t>
        </is>
      </c>
      <c r="I2928" t="n">
        <v>6.6</v>
      </c>
      <c r="J2928" t="n">
        <v>0</v>
      </c>
      <c r="K2928" t="n">
        <v>0</v>
      </c>
      <c r="L2928" t="n">
        <v>0</v>
      </c>
      <c r="M2928" t="n">
        <v>0</v>
      </c>
      <c r="N2928" t="n">
        <v>0</v>
      </c>
      <c r="O2928" t="n">
        <v>0</v>
      </c>
      <c r="P2928" t="n">
        <v>0</v>
      </c>
      <c r="Q2928" t="n">
        <v>0</v>
      </c>
      <c r="R2928" t="n">
        <v>0</v>
      </c>
      <c r="S2928" t="n">
        <v>0</v>
      </c>
      <c r="T2928" t="n">
        <v>0</v>
      </c>
      <c r="U2928" t="n">
        <v>0</v>
      </c>
      <c r="V2928" s="2" t="inlineStr"/>
    </row>
    <row r="2929" ht="15" customHeight="1">
      <c r="A2929" t="inlineStr">
        <is>
          <t>A 41241-2023</t>
        </is>
      </c>
      <c r="B2929" t="inlineStr">
        <is>
          <t>avverkningsanmälan</t>
        </is>
      </c>
      <c r="C2929" t="inlineStr">
        <is>
          <t>Föryngringsavverkning</t>
        </is>
      </c>
      <c r="D2929" s="1" t="n">
        <v>45173</v>
      </c>
      <c r="E2929" s="1" t="n">
        <v>46313</v>
      </c>
      <c r="F2929" t="inlineStr">
        <is>
          <t>SÖDERMANLANDS LÄN</t>
        </is>
      </c>
      <c r="G2929" t="inlineStr">
        <is>
          <t>NYKÖPING</t>
        </is>
      </c>
      <c r="I2929" t="n">
        <v>1.8</v>
      </c>
      <c r="J2929" t="n">
        <v>0</v>
      </c>
      <c r="K2929" t="n">
        <v>0</v>
      </c>
      <c r="L2929" t="n">
        <v>0</v>
      </c>
      <c r="M2929" t="n">
        <v>0</v>
      </c>
      <c r="N2929" t="n">
        <v>0</v>
      </c>
      <c r="O2929" t="n">
        <v>0</v>
      </c>
      <c r="P2929" t="n">
        <v>0</v>
      </c>
      <c r="Q2929" t="n">
        <v>0</v>
      </c>
      <c r="R2929" t="n">
        <v>0</v>
      </c>
      <c r="S2929" t="n">
        <v>0</v>
      </c>
      <c r="T2929" t="n">
        <v>0</v>
      </c>
      <c r="U2929" t="n">
        <v>0</v>
      </c>
      <c r="V2929" s="2" t="inlineStr"/>
    </row>
    <row r="2930" ht="15" customHeight="1">
      <c r="A2930" t="inlineStr">
        <is>
          <t>A 50688-2025</t>
        </is>
      </c>
      <c r="B2930" t="inlineStr">
        <is>
          <t>avverkningsanmälan</t>
        </is>
      </c>
      <c r="C2930" t="inlineStr">
        <is>
          <t>Föryngringsavverkning</t>
        </is>
      </c>
      <c r="D2930" s="1" t="n">
        <v>45945</v>
      </c>
      <c r="E2930" s="1" t="n">
        <v>46313</v>
      </c>
      <c r="F2930" t="inlineStr">
        <is>
          <t>SÖDERMANLANDS LÄN</t>
        </is>
      </c>
      <c r="G2930" t="inlineStr">
        <is>
          <t>NYKÖPING</t>
        </is>
      </c>
      <c r="H2930" t="inlineStr">
        <is>
          <t>Kyrkan</t>
        </is>
      </c>
      <c r="I2930" t="n">
        <v>4.4</v>
      </c>
      <c r="J2930" t="n">
        <v>0</v>
      </c>
      <c r="K2930" t="n">
        <v>0</v>
      </c>
      <c r="L2930" t="n">
        <v>0</v>
      </c>
      <c r="M2930" t="n">
        <v>0</v>
      </c>
      <c r="N2930" t="n">
        <v>0</v>
      </c>
      <c r="O2930" t="n">
        <v>0</v>
      </c>
      <c r="P2930" t="n">
        <v>0</v>
      </c>
      <c r="Q2930" t="n">
        <v>0</v>
      </c>
      <c r="R2930" t="n">
        <v>0</v>
      </c>
      <c r="S2930" t="n">
        <v>0</v>
      </c>
      <c r="T2930" t="n">
        <v>0</v>
      </c>
      <c r="U2930" t="n">
        <v>0</v>
      </c>
      <c r="V2930" s="2" t="inlineStr"/>
    </row>
    <row r="2931" ht="15" customHeight="1">
      <c r="A2931" t="inlineStr">
        <is>
          <t>A 53800-2022</t>
        </is>
      </c>
      <c r="B2931" t="inlineStr">
        <is>
          <t>avverkningsanmälan</t>
        </is>
      </c>
      <c r="C2931" t="inlineStr">
        <is>
          <t>Föryngringsavverkning</t>
        </is>
      </c>
      <c r="D2931" s="1" t="n">
        <v>44880</v>
      </c>
      <c r="E2931" s="1" t="n">
        <v>46313</v>
      </c>
      <c r="F2931" t="inlineStr">
        <is>
          <t>SÖDERMANLANDS LÄN</t>
        </is>
      </c>
      <c r="G2931" t="inlineStr">
        <is>
          <t>NYKÖPING</t>
        </is>
      </c>
      <c r="H2931" t="inlineStr">
        <is>
          <t>Övriga Aktiebolag</t>
        </is>
      </c>
      <c r="I2931" t="n">
        <v>7.4</v>
      </c>
      <c r="J2931" t="n">
        <v>0</v>
      </c>
      <c r="K2931" t="n">
        <v>0</v>
      </c>
      <c r="L2931" t="n">
        <v>0</v>
      </c>
      <c r="M2931" t="n">
        <v>0</v>
      </c>
      <c r="N2931" t="n">
        <v>0</v>
      </c>
      <c r="O2931" t="n">
        <v>0</v>
      </c>
      <c r="P2931" t="n">
        <v>0</v>
      </c>
      <c r="Q2931" t="n">
        <v>0</v>
      </c>
      <c r="R2931" t="n">
        <v>0</v>
      </c>
      <c r="S2931" t="n">
        <v>0</v>
      </c>
      <c r="T2931" t="n">
        <v>0</v>
      </c>
      <c r="U2931" t="n">
        <v>0</v>
      </c>
      <c r="V2931" s="2" t="inlineStr"/>
    </row>
    <row r="2932" ht="15" customHeight="1">
      <c r="A2932" t="inlineStr">
        <is>
          <t>A 15193-2023</t>
        </is>
      </c>
      <c r="B2932" t="inlineStr">
        <is>
          <t>avverkningsanmälan</t>
        </is>
      </c>
      <c r="C2932" t="inlineStr">
        <is>
          <t>Föryngringsavverkning</t>
        </is>
      </c>
      <c r="D2932" s="1" t="n">
        <v>45016</v>
      </c>
      <c r="E2932" s="1" t="n">
        <v>46313</v>
      </c>
      <c r="F2932" t="inlineStr">
        <is>
          <t>SÖDERMANLANDS LÄN</t>
        </is>
      </c>
      <c r="G2932" t="inlineStr">
        <is>
          <t>STRÄNGNÄS</t>
        </is>
      </c>
      <c r="I2932" t="n">
        <v>7.6</v>
      </c>
      <c r="J2932" t="n">
        <v>0</v>
      </c>
      <c r="K2932" t="n">
        <v>0</v>
      </c>
      <c r="L2932" t="n">
        <v>0</v>
      </c>
      <c r="M2932" t="n">
        <v>0</v>
      </c>
      <c r="N2932" t="n">
        <v>0</v>
      </c>
      <c r="O2932" t="n">
        <v>0</v>
      </c>
      <c r="P2932" t="n">
        <v>0</v>
      </c>
      <c r="Q2932" t="n">
        <v>0</v>
      </c>
      <c r="R2932" t="n">
        <v>0</v>
      </c>
      <c r="S2932" t="n">
        <v>0</v>
      </c>
      <c r="T2932" t="n">
        <v>0</v>
      </c>
      <c r="U2932" t="n">
        <v>0</v>
      </c>
      <c r="V2932" s="2" t="inlineStr"/>
    </row>
    <row r="2933" ht="15" customHeight="1">
      <c r="A2933" t="inlineStr">
        <is>
          <t>A 12835-2024</t>
        </is>
      </c>
      <c r="B2933" t="inlineStr">
        <is>
          <t>avverkningsanmälan</t>
        </is>
      </c>
      <c r="C2933" t="inlineStr">
        <is>
          <t>Avverkning för annat ändamål</t>
        </is>
      </c>
      <c r="D2933" s="1" t="n">
        <v>45384</v>
      </c>
      <c r="E2933" s="1" t="n">
        <v>46313</v>
      </c>
      <c r="F2933" t="inlineStr">
        <is>
          <t>SÖDERMANLANDS LÄN</t>
        </is>
      </c>
      <c r="G2933" t="inlineStr">
        <is>
          <t>KATRINEHOLM</t>
        </is>
      </c>
      <c r="H2933" t="inlineStr">
        <is>
          <t>Allmännings- och besparingsskogar</t>
        </is>
      </c>
      <c r="I2933" t="n">
        <v>0.5</v>
      </c>
      <c r="J2933" t="n">
        <v>0</v>
      </c>
      <c r="K2933" t="n">
        <v>0</v>
      </c>
      <c r="L2933" t="n">
        <v>0</v>
      </c>
      <c r="M2933" t="n">
        <v>0</v>
      </c>
      <c r="N2933" t="n">
        <v>0</v>
      </c>
      <c r="O2933" t="n">
        <v>0</v>
      </c>
      <c r="P2933" t="n">
        <v>0</v>
      </c>
      <c r="Q2933" t="n">
        <v>0</v>
      </c>
      <c r="R2933" t="n">
        <v>0</v>
      </c>
      <c r="S2933" t="n">
        <v>0</v>
      </c>
      <c r="T2933" t="n">
        <v>0</v>
      </c>
      <c r="U2933" t="n">
        <v>0</v>
      </c>
      <c r="V2933" s="2" t="inlineStr"/>
    </row>
    <row r="2934" ht="15" customHeight="1">
      <c r="A2934" t="inlineStr">
        <is>
          <t>A 18123-2023</t>
        </is>
      </c>
      <c r="B2934" t="inlineStr">
        <is>
          <t>avverkningsanmälan</t>
        </is>
      </c>
      <c r="C2934" t="inlineStr">
        <is>
          <t>Föryngringsavverkning</t>
        </is>
      </c>
      <c r="D2934" s="1" t="n">
        <v>45040</v>
      </c>
      <c r="E2934" s="1" t="n">
        <v>46313</v>
      </c>
      <c r="F2934" t="inlineStr">
        <is>
          <t>SÖDERMANLANDS LÄN</t>
        </is>
      </c>
      <c r="G2934" t="inlineStr">
        <is>
          <t>NYKÖPING</t>
        </is>
      </c>
      <c r="I2934" t="n">
        <v>2</v>
      </c>
      <c r="J2934" t="n">
        <v>0</v>
      </c>
      <c r="K2934" t="n">
        <v>0</v>
      </c>
      <c r="L2934" t="n">
        <v>0</v>
      </c>
      <c r="M2934" t="n">
        <v>0</v>
      </c>
      <c r="N2934" t="n">
        <v>0</v>
      </c>
      <c r="O2934" t="n">
        <v>0</v>
      </c>
      <c r="P2934" t="n">
        <v>0</v>
      </c>
      <c r="Q2934" t="n">
        <v>0</v>
      </c>
      <c r="R2934" t="n">
        <v>0</v>
      </c>
      <c r="S2934" t="n">
        <v>0</v>
      </c>
      <c r="T2934" t="n">
        <v>0</v>
      </c>
      <c r="U2934" t="n">
        <v>0</v>
      </c>
      <c r="V2934" s="2" t="inlineStr"/>
    </row>
    <row r="2935" ht="15" customHeight="1">
      <c r="A2935" t="inlineStr">
        <is>
          <t>A 20815-2023</t>
        </is>
      </c>
      <c r="B2935" t="inlineStr">
        <is>
          <t>avverkningsanmälan</t>
        </is>
      </c>
      <c r="C2935" t="inlineStr">
        <is>
          <t>Föryngringsavverkning</t>
        </is>
      </c>
      <c r="D2935" s="1" t="n">
        <v>45058</v>
      </c>
      <c r="E2935" s="1" t="n">
        <v>46313</v>
      </c>
      <c r="F2935" t="inlineStr">
        <is>
          <t>SÖDERMANLANDS LÄN</t>
        </is>
      </c>
      <c r="G2935" t="inlineStr">
        <is>
          <t>STRÄNGNÄS</t>
        </is>
      </c>
      <c r="I2935" t="n">
        <v>2.1</v>
      </c>
      <c r="J2935" t="n">
        <v>0</v>
      </c>
      <c r="K2935" t="n">
        <v>0</v>
      </c>
      <c r="L2935" t="n">
        <v>0</v>
      </c>
      <c r="M2935" t="n">
        <v>0</v>
      </c>
      <c r="N2935" t="n">
        <v>0</v>
      </c>
      <c r="O2935" t="n">
        <v>0</v>
      </c>
      <c r="P2935" t="n">
        <v>0</v>
      </c>
      <c r="Q2935" t="n">
        <v>0</v>
      </c>
      <c r="R2935" t="n">
        <v>0</v>
      </c>
      <c r="S2935" t="n">
        <v>0</v>
      </c>
      <c r="T2935" t="n">
        <v>0</v>
      </c>
      <c r="U2935" t="n">
        <v>0</v>
      </c>
      <c r="V2935" s="2" t="inlineStr"/>
    </row>
    <row r="2936" ht="15" customHeight="1">
      <c r="A2936" t="inlineStr">
        <is>
          <t>A 40216-2026</t>
        </is>
      </c>
      <c r="B2936" t="inlineStr">
        <is>
          <t>avverkningsanmälan</t>
        </is>
      </c>
      <c r="C2936" t="inlineStr">
        <is>
          <t>Föryngringsavverkning</t>
        </is>
      </c>
      <c r="D2936" s="1" t="n">
        <v>46293</v>
      </c>
      <c r="E2936" s="1" t="n">
        <v>46313</v>
      </c>
      <c r="F2936" t="inlineStr">
        <is>
          <t>SÖDERMANLANDS LÄN</t>
        </is>
      </c>
      <c r="G2936" t="inlineStr">
        <is>
          <t>FLEN</t>
        </is>
      </c>
      <c r="H2936" t="inlineStr">
        <is>
          <t>Kyrkan</t>
        </is>
      </c>
      <c r="I2936" t="n">
        <v>3.9</v>
      </c>
      <c r="J2936" t="n">
        <v>0</v>
      </c>
      <c r="K2936" t="n">
        <v>0</v>
      </c>
      <c r="L2936" t="n">
        <v>0</v>
      </c>
      <c r="M2936" t="n">
        <v>0</v>
      </c>
      <c r="N2936" t="n">
        <v>0</v>
      </c>
      <c r="O2936" t="n">
        <v>0</v>
      </c>
      <c r="P2936" t="n">
        <v>0</v>
      </c>
      <c r="Q2936" t="n">
        <v>0</v>
      </c>
      <c r="R2936" t="n">
        <v>0</v>
      </c>
      <c r="S2936" t="n">
        <v>0</v>
      </c>
      <c r="T2936" t="n">
        <v>0</v>
      </c>
      <c r="U2936" t="n">
        <v>0</v>
      </c>
      <c r="V2936" s="2" t="inlineStr"/>
    </row>
    <row r="2937" ht="15" customHeight="1">
      <c r="A2937" t="inlineStr">
        <is>
          <t>A 47879-2023</t>
        </is>
      </c>
      <c r="B2937" t="inlineStr">
        <is>
          <t>avverkningsanmälan</t>
        </is>
      </c>
      <c r="C2937" t="inlineStr">
        <is>
          <t>Föryngringsavverkning</t>
        </is>
      </c>
      <c r="D2937" s="1" t="n">
        <v>45204</v>
      </c>
      <c r="E2937" s="1" t="n">
        <v>46313</v>
      </c>
      <c r="F2937" t="inlineStr">
        <is>
          <t>SÖDERMANLANDS LÄN</t>
        </is>
      </c>
      <c r="G2937" t="inlineStr">
        <is>
          <t>KATRINEHOLM</t>
        </is>
      </c>
      <c r="H2937" t="inlineStr">
        <is>
          <t>Övriga Aktiebolag</t>
        </is>
      </c>
      <c r="I2937" t="n">
        <v>2.3</v>
      </c>
      <c r="J2937" t="n">
        <v>0</v>
      </c>
      <c r="K2937" t="n">
        <v>0</v>
      </c>
      <c r="L2937" t="n">
        <v>0</v>
      </c>
      <c r="M2937" t="n">
        <v>0</v>
      </c>
      <c r="N2937" t="n">
        <v>0</v>
      </c>
      <c r="O2937" t="n">
        <v>0</v>
      </c>
      <c r="P2937" t="n">
        <v>0</v>
      </c>
      <c r="Q2937" t="n">
        <v>0</v>
      </c>
      <c r="R2937" t="n">
        <v>0</v>
      </c>
      <c r="S2937" t="n">
        <v>0</v>
      </c>
      <c r="T2937" t="n">
        <v>0</v>
      </c>
      <c r="U2937" t="n">
        <v>0</v>
      </c>
      <c r="V2937" s="2" t="inlineStr"/>
    </row>
    <row r="2938" ht="15" customHeight="1">
      <c r="A2938" t="inlineStr">
        <is>
          <t>A 33300-2026</t>
        </is>
      </c>
      <c r="B2938" t="inlineStr">
        <is>
          <t>avverkningsanmälan</t>
        </is>
      </c>
      <c r="C2938" t="inlineStr">
        <is>
          <t>Avverkning för annat ändamål</t>
        </is>
      </c>
      <c r="D2938" s="1" t="n">
        <v>46245</v>
      </c>
      <c r="E2938" s="1" t="n">
        <v>46313</v>
      </c>
      <c r="F2938" t="inlineStr">
        <is>
          <t>SÖDERMANLANDS LÄN</t>
        </is>
      </c>
      <c r="G2938" t="inlineStr">
        <is>
          <t>KATRINEHOLM</t>
        </is>
      </c>
      <c r="I2938" t="n">
        <v>3.1</v>
      </c>
      <c r="J2938" t="n">
        <v>0</v>
      </c>
      <c r="K2938" t="n">
        <v>0</v>
      </c>
      <c r="L2938" t="n">
        <v>0</v>
      </c>
      <c r="M2938" t="n">
        <v>0</v>
      </c>
      <c r="N2938" t="n">
        <v>0</v>
      </c>
      <c r="O2938" t="n">
        <v>0</v>
      </c>
      <c r="P2938" t="n">
        <v>0</v>
      </c>
      <c r="Q2938" t="n">
        <v>0</v>
      </c>
      <c r="R2938" t="n">
        <v>0</v>
      </c>
      <c r="S2938" t="n">
        <v>0</v>
      </c>
      <c r="T2938" t="n">
        <v>0</v>
      </c>
      <c r="U2938" t="n">
        <v>0</v>
      </c>
      <c r="V2938" s="2" t="inlineStr"/>
    </row>
    <row r="2939" ht="15" customHeight="1">
      <c r="A2939" t="inlineStr">
        <is>
          <t>A 33366-2026</t>
        </is>
      </c>
      <c r="B2939" t="inlineStr">
        <is>
          <t>avverkningsanmälan</t>
        </is>
      </c>
      <c r="C2939" t="inlineStr">
        <is>
          <t>Föryngringsavverkning</t>
        </is>
      </c>
      <c r="D2939" s="1" t="n">
        <v>46247</v>
      </c>
      <c r="E2939" s="1" t="n">
        <v>46313</v>
      </c>
      <c r="F2939" t="inlineStr">
        <is>
          <t>SÖDERMANLANDS LÄN</t>
        </is>
      </c>
      <c r="G2939" t="inlineStr">
        <is>
          <t>NYKÖPING</t>
        </is>
      </c>
      <c r="I2939" t="n">
        <v>2.4</v>
      </c>
      <c r="J2939" t="n">
        <v>0</v>
      </c>
      <c r="K2939" t="n">
        <v>0</v>
      </c>
      <c r="L2939" t="n">
        <v>0</v>
      </c>
      <c r="M2939" t="n">
        <v>0</v>
      </c>
      <c r="N2939" t="n">
        <v>0</v>
      </c>
      <c r="O2939" t="n">
        <v>0</v>
      </c>
      <c r="P2939" t="n">
        <v>0</v>
      </c>
      <c r="Q2939" t="n">
        <v>0</v>
      </c>
      <c r="R2939" t="n">
        <v>0</v>
      </c>
      <c r="S2939" t="n">
        <v>0</v>
      </c>
      <c r="T2939" t="n">
        <v>0</v>
      </c>
      <c r="U2939" t="n">
        <v>0</v>
      </c>
      <c r="V2939" s="2" t="inlineStr"/>
    </row>
    <row r="2940" ht="15" customHeight="1">
      <c r="A2940" t="inlineStr">
        <is>
          <t>A 61410-2024</t>
        </is>
      </c>
      <c r="B2940" t="inlineStr">
        <is>
          <t>avverkningsanmälan</t>
        </is>
      </c>
      <c r="C2940" t="inlineStr">
        <is>
          <t>Föryngringsavverkning</t>
        </is>
      </c>
      <c r="D2940" s="1" t="n">
        <v>45646</v>
      </c>
      <c r="E2940" s="1" t="n">
        <v>46313</v>
      </c>
      <c r="F2940" t="inlineStr">
        <is>
          <t>SÖDERMANLANDS LÄN</t>
        </is>
      </c>
      <c r="G2940" t="inlineStr">
        <is>
          <t>KATRINEHOLM</t>
        </is>
      </c>
      <c r="I2940" t="n">
        <v>1.4</v>
      </c>
      <c r="J2940" t="n">
        <v>0</v>
      </c>
      <c r="K2940" t="n">
        <v>0</v>
      </c>
      <c r="L2940" t="n">
        <v>0</v>
      </c>
      <c r="M2940" t="n">
        <v>0</v>
      </c>
      <c r="N2940" t="n">
        <v>0</v>
      </c>
      <c r="O2940" t="n">
        <v>0</v>
      </c>
      <c r="P2940" t="n">
        <v>0</v>
      </c>
      <c r="Q2940" t="n">
        <v>0</v>
      </c>
      <c r="R2940" t="n">
        <v>0</v>
      </c>
      <c r="S2940" t="n">
        <v>0</v>
      </c>
      <c r="T2940" t="n">
        <v>0</v>
      </c>
      <c r="U2940" t="n">
        <v>0</v>
      </c>
      <c r="V2940" s="2" t="inlineStr"/>
    </row>
    <row r="2941" ht="15" customHeight="1">
      <c r="A2941" t="inlineStr">
        <is>
          <t>A 33618-2026</t>
        </is>
      </c>
      <c r="B2941" t="inlineStr">
        <is>
          <t>avverkningsanmälan</t>
        </is>
      </c>
      <c r="C2941" t="inlineStr">
        <is>
          <t>Föryngringsavverkning</t>
        </is>
      </c>
      <c r="D2941" s="1" t="n">
        <v>46248</v>
      </c>
      <c r="E2941" s="1" t="n">
        <v>46313</v>
      </c>
      <c r="F2941" t="inlineStr">
        <is>
          <t>SÖDERMANLANDS LÄN</t>
        </is>
      </c>
      <c r="G2941" t="inlineStr">
        <is>
          <t>KATRINEHOLM</t>
        </is>
      </c>
      <c r="I2941" t="n">
        <v>1.6</v>
      </c>
      <c r="J2941" t="n">
        <v>0</v>
      </c>
      <c r="K2941" t="n">
        <v>0</v>
      </c>
      <c r="L2941" t="n">
        <v>0</v>
      </c>
      <c r="M2941" t="n">
        <v>0</v>
      </c>
      <c r="N2941" t="n">
        <v>0</v>
      </c>
      <c r="O2941" t="n">
        <v>0</v>
      </c>
      <c r="P2941" t="n">
        <v>0</v>
      </c>
      <c r="Q2941" t="n">
        <v>0</v>
      </c>
      <c r="R2941" t="n">
        <v>0</v>
      </c>
      <c r="S2941" t="n">
        <v>0</v>
      </c>
      <c r="T2941" t="n">
        <v>0</v>
      </c>
      <c r="U2941" t="n">
        <v>0</v>
      </c>
      <c r="V2941" s="2" t="inlineStr"/>
    </row>
    <row r="2942" ht="15" customHeight="1">
      <c r="A2942" t="inlineStr">
        <is>
          <t>A 11747-2022</t>
        </is>
      </c>
      <c r="B2942" t="inlineStr">
        <is>
          <t>avverkningsanmälan</t>
        </is>
      </c>
      <c r="C2942" t="inlineStr">
        <is>
          <t>Föryngringsavverkning</t>
        </is>
      </c>
      <c r="D2942" s="1" t="n">
        <v>44634</v>
      </c>
      <c r="E2942" s="1" t="n">
        <v>46313</v>
      </c>
      <c r="F2942" t="inlineStr">
        <is>
          <t>SÖDERMANLANDS LÄN</t>
        </is>
      </c>
      <c r="G2942" t="inlineStr">
        <is>
          <t>FLEN</t>
        </is>
      </c>
      <c r="I2942" t="n">
        <v>3.5</v>
      </c>
      <c r="J2942" t="n">
        <v>0</v>
      </c>
      <c r="K2942" t="n">
        <v>0</v>
      </c>
      <c r="L2942" t="n">
        <v>0</v>
      </c>
      <c r="M2942" t="n">
        <v>0</v>
      </c>
      <c r="N2942" t="n">
        <v>0</v>
      </c>
      <c r="O2942" t="n">
        <v>0</v>
      </c>
      <c r="P2942" t="n">
        <v>0</v>
      </c>
      <c r="Q2942" t="n">
        <v>0</v>
      </c>
      <c r="R2942" t="n">
        <v>0</v>
      </c>
      <c r="S2942" t="n">
        <v>0</v>
      </c>
      <c r="T2942" t="n">
        <v>0</v>
      </c>
      <c r="U2942" t="n">
        <v>0</v>
      </c>
      <c r="V2942" s="2" t="inlineStr"/>
    </row>
    <row r="2943" ht="15" customHeight="1">
      <c r="A2943" t="inlineStr">
        <is>
          <t>A 12547-2022</t>
        </is>
      </c>
      <c r="B2943" t="inlineStr">
        <is>
          <t>avverkningsanmälan</t>
        </is>
      </c>
      <c r="C2943" t="inlineStr">
        <is>
          <t>Avverkning för annat ändamål</t>
        </is>
      </c>
      <c r="D2943" s="1" t="n">
        <v>44638</v>
      </c>
      <c r="E2943" s="1" t="n">
        <v>46313</v>
      </c>
      <c r="F2943" t="inlineStr">
        <is>
          <t>SÖDERMANLANDS LÄN</t>
        </is>
      </c>
      <c r="G2943" t="inlineStr">
        <is>
          <t>ESKILSTUNA</t>
        </is>
      </c>
      <c r="I2943" t="n">
        <v>0.8</v>
      </c>
      <c r="J2943" t="n">
        <v>0</v>
      </c>
      <c r="K2943" t="n">
        <v>0</v>
      </c>
      <c r="L2943" t="n">
        <v>0</v>
      </c>
      <c r="M2943" t="n">
        <v>0</v>
      </c>
      <c r="N2943" t="n">
        <v>0</v>
      </c>
      <c r="O2943" t="n">
        <v>0</v>
      </c>
      <c r="P2943" t="n">
        <v>0</v>
      </c>
      <c r="Q2943" t="n">
        <v>0</v>
      </c>
      <c r="R2943" t="n">
        <v>0</v>
      </c>
      <c r="S2943" t="n">
        <v>0</v>
      </c>
      <c r="T2943" t="n">
        <v>0</v>
      </c>
      <c r="U2943" t="n">
        <v>0</v>
      </c>
      <c r="V2943" s="2" t="inlineStr"/>
    </row>
    <row r="2944" ht="15" customHeight="1">
      <c r="A2944" t="inlineStr">
        <is>
          <t>A 49061-2023</t>
        </is>
      </c>
      <c r="B2944" t="inlineStr">
        <is>
          <t>avverkningsanmälan</t>
        </is>
      </c>
      <c r="C2944" t="inlineStr">
        <is>
          <t>Föryngringsavverkning</t>
        </is>
      </c>
      <c r="D2944" s="1" t="n">
        <v>45210</v>
      </c>
      <c r="E2944" s="1" t="n">
        <v>46313</v>
      </c>
      <c r="F2944" t="inlineStr">
        <is>
          <t>SÖDERMANLANDS LÄN</t>
        </is>
      </c>
      <c r="G2944" t="inlineStr">
        <is>
          <t>ESKILSTUNA</t>
        </is>
      </c>
      <c r="I2944" t="n">
        <v>4.2</v>
      </c>
      <c r="J2944" t="n">
        <v>0</v>
      </c>
      <c r="K2944" t="n">
        <v>0</v>
      </c>
      <c r="L2944" t="n">
        <v>0</v>
      </c>
      <c r="M2944" t="n">
        <v>0</v>
      </c>
      <c r="N2944" t="n">
        <v>0</v>
      </c>
      <c r="O2944" t="n">
        <v>0</v>
      </c>
      <c r="P2944" t="n">
        <v>0</v>
      </c>
      <c r="Q2944" t="n">
        <v>0</v>
      </c>
      <c r="R2944" t="n">
        <v>0</v>
      </c>
      <c r="S2944" t="n">
        <v>0</v>
      </c>
      <c r="T2944" t="n">
        <v>0</v>
      </c>
      <c r="U2944" t="n">
        <v>0</v>
      </c>
      <c r="V2944" s="2" t="inlineStr"/>
    </row>
    <row r="2945" ht="15" customHeight="1">
      <c r="A2945" t="inlineStr">
        <is>
          <t>A 1668-2022</t>
        </is>
      </c>
      <c r="B2945" t="inlineStr">
        <is>
          <t>avverkningsanmälan</t>
        </is>
      </c>
      <c r="C2945" t="inlineStr">
        <is>
          <t>Föryngringsavverkning</t>
        </is>
      </c>
      <c r="D2945" s="1" t="n">
        <v>44573</v>
      </c>
      <c r="E2945" s="1" t="n">
        <v>46313</v>
      </c>
      <c r="F2945" t="inlineStr">
        <is>
          <t>SÖDERMANLANDS LÄN</t>
        </is>
      </c>
      <c r="G2945" t="inlineStr">
        <is>
          <t>VINGÅKER</t>
        </is>
      </c>
      <c r="I2945" t="n">
        <v>1.8</v>
      </c>
      <c r="J2945" t="n">
        <v>0</v>
      </c>
      <c r="K2945" t="n">
        <v>0</v>
      </c>
      <c r="L2945" t="n">
        <v>0</v>
      </c>
      <c r="M2945" t="n">
        <v>0</v>
      </c>
      <c r="N2945" t="n">
        <v>0</v>
      </c>
      <c r="O2945" t="n">
        <v>0</v>
      </c>
      <c r="P2945" t="n">
        <v>0</v>
      </c>
      <c r="Q2945" t="n">
        <v>0</v>
      </c>
      <c r="R2945" t="n">
        <v>0</v>
      </c>
      <c r="S2945" t="n">
        <v>0</v>
      </c>
      <c r="T2945" t="n">
        <v>0</v>
      </c>
      <c r="U2945" t="n">
        <v>0</v>
      </c>
      <c r="V2945" s="2" t="inlineStr"/>
    </row>
    <row r="2946" ht="15" customHeight="1">
      <c r="A2946" t="inlineStr">
        <is>
          <t>A 33285-2026</t>
        </is>
      </c>
      <c r="B2946" t="inlineStr">
        <is>
          <t>avverkningsanmälan</t>
        </is>
      </c>
      <c r="C2946" t="inlineStr">
        <is>
          <t>Avverkning för annat ändamål</t>
        </is>
      </c>
      <c r="D2946" s="1" t="n">
        <v>46245</v>
      </c>
      <c r="E2946" s="1" t="n">
        <v>46313</v>
      </c>
      <c r="F2946" t="inlineStr">
        <is>
          <t>SÖDERMANLANDS LÄN</t>
        </is>
      </c>
      <c r="G2946" t="inlineStr">
        <is>
          <t>KATRINEHOLM</t>
        </is>
      </c>
      <c r="I2946" t="n">
        <v>1.1</v>
      </c>
      <c r="J2946" t="n">
        <v>0</v>
      </c>
      <c r="K2946" t="n">
        <v>0</v>
      </c>
      <c r="L2946" t="n">
        <v>0</v>
      </c>
      <c r="M2946" t="n">
        <v>0</v>
      </c>
      <c r="N2946" t="n">
        <v>0</v>
      </c>
      <c r="O2946" t="n">
        <v>0</v>
      </c>
      <c r="P2946" t="n">
        <v>0</v>
      </c>
      <c r="Q2946" t="n">
        <v>0</v>
      </c>
      <c r="R2946" t="n">
        <v>0</v>
      </c>
      <c r="S2946" t="n">
        <v>0</v>
      </c>
      <c r="T2946" t="n">
        <v>0</v>
      </c>
      <c r="U2946" t="n">
        <v>0</v>
      </c>
      <c r="V2946" s="2" t="inlineStr"/>
    </row>
    <row r="2947" ht="15" customHeight="1">
      <c r="A2947" t="inlineStr">
        <is>
          <t>A 33300-2026</t>
        </is>
      </c>
      <c r="B2947" t="inlineStr">
        <is>
          <t>avverkningsanmälan</t>
        </is>
      </c>
      <c r="C2947" t="inlineStr">
        <is>
          <t>Avverkning för annat ändamål</t>
        </is>
      </c>
      <c r="D2947" s="1" t="n">
        <v>46245</v>
      </c>
      <c r="E2947" s="1" t="n">
        <v>46313</v>
      </c>
      <c r="F2947" t="inlineStr">
        <is>
          <t>SÖDERMANLANDS LÄN</t>
        </is>
      </c>
      <c r="G2947" t="inlineStr">
        <is>
          <t>KATRINEHOLM</t>
        </is>
      </c>
      <c r="I2947" t="n">
        <v>0.3</v>
      </c>
      <c r="J2947" t="n">
        <v>0</v>
      </c>
      <c r="K2947" t="n">
        <v>0</v>
      </c>
      <c r="L2947" t="n">
        <v>0</v>
      </c>
      <c r="M2947" t="n">
        <v>0</v>
      </c>
      <c r="N2947" t="n">
        <v>0</v>
      </c>
      <c r="O2947" t="n">
        <v>0</v>
      </c>
      <c r="P2947" t="n">
        <v>0</v>
      </c>
      <c r="Q2947" t="n">
        <v>0</v>
      </c>
      <c r="R2947" t="n">
        <v>0</v>
      </c>
      <c r="S2947" t="n">
        <v>0</v>
      </c>
      <c r="T2947" t="n">
        <v>0</v>
      </c>
      <c r="U2947" t="n">
        <v>0</v>
      </c>
      <c r="V2947" s="2" t="inlineStr"/>
    </row>
    <row r="2948" ht="15" customHeight="1">
      <c r="A2948" t="inlineStr">
        <is>
          <t>A 41806-2023</t>
        </is>
      </c>
      <c r="B2948" t="inlineStr">
        <is>
          <t>avverkningsanmälan</t>
        </is>
      </c>
      <c r="C2948" t="inlineStr">
        <is>
          <t>Föryngringsavverkning</t>
        </is>
      </c>
      <c r="D2948" s="1" t="n">
        <v>45176</v>
      </c>
      <c r="E2948" s="1" t="n">
        <v>46313</v>
      </c>
      <c r="F2948" t="inlineStr">
        <is>
          <t>SÖDERMANLANDS LÄN</t>
        </is>
      </c>
      <c r="G2948" t="inlineStr">
        <is>
          <t>FLEN</t>
        </is>
      </c>
      <c r="I2948" t="n">
        <v>4.8</v>
      </c>
      <c r="J2948" t="n">
        <v>0</v>
      </c>
      <c r="K2948" t="n">
        <v>0</v>
      </c>
      <c r="L2948" t="n">
        <v>0</v>
      </c>
      <c r="M2948" t="n">
        <v>0</v>
      </c>
      <c r="N2948" t="n">
        <v>0</v>
      </c>
      <c r="O2948" t="n">
        <v>0</v>
      </c>
      <c r="P2948" t="n">
        <v>0</v>
      </c>
      <c r="Q2948" t="n">
        <v>0</v>
      </c>
      <c r="R2948" t="n">
        <v>0</v>
      </c>
      <c r="S2948" t="n">
        <v>0</v>
      </c>
      <c r="T2948" t="n">
        <v>0</v>
      </c>
      <c r="U2948" t="n">
        <v>0</v>
      </c>
      <c r="V2948" s="2" t="inlineStr"/>
    </row>
    <row r="2949" ht="15" customHeight="1">
      <c r="A2949" t="inlineStr">
        <is>
          <t>A 40133-2026</t>
        </is>
      </c>
      <c r="B2949" t="inlineStr">
        <is>
          <t>avverkningsanmälan</t>
        </is>
      </c>
      <c r="C2949" t="inlineStr">
        <is>
          <t>Föryngringsavverkning</t>
        </is>
      </c>
      <c r="D2949" s="1" t="n">
        <v>46293</v>
      </c>
      <c r="E2949" s="1" t="n">
        <v>46313</v>
      </c>
      <c r="F2949" t="inlineStr">
        <is>
          <t>SÖDERMANLANDS LÄN</t>
        </is>
      </c>
      <c r="G2949" t="inlineStr">
        <is>
          <t>NYKÖPING</t>
        </is>
      </c>
      <c r="H2949" t="inlineStr">
        <is>
          <t>Kyrkan</t>
        </is>
      </c>
      <c r="I2949" t="n">
        <v>1.8</v>
      </c>
      <c r="J2949" t="n">
        <v>0</v>
      </c>
      <c r="K2949" t="n">
        <v>0</v>
      </c>
      <c r="L2949" t="n">
        <v>0</v>
      </c>
      <c r="M2949" t="n">
        <v>0</v>
      </c>
      <c r="N2949" t="n">
        <v>0</v>
      </c>
      <c r="O2949" t="n">
        <v>0</v>
      </c>
      <c r="P2949" t="n">
        <v>0</v>
      </c>
      <c r="Q2949" t="n">
        <v>0</v>
      </c>
      <c r="R2949" t="n">
        <v>0</v>
      </c>
      <c r="S2949" t="n">
        <v>0</v>
      </c>
      <c r="T2949" t="n">
        <v>0</v>
      </c>
      <c r="U2949" t="n">
        <v>0</v>
      </c>
      <c r="V2949" s="2" t="inlineStr"/>
    </row>
    <row r="2950" ht="15" customHeight="1">
      <c r="A2950" t="inlineStr">
        <is>
          <t>A 39830-2026</t>
        </is>
      </c>
      <c r="B2950" t="inlineStr">
        <is>
          <t>avverkningsanmälan</t>
        </is>
      </c>
      <c r="C2950" t="inlineStr">
        <is>
          <t>Avverkning för att bevara och utveckla /försöksver</t>
        </is>
      </c>
      <c r="D2950" s="1" t="n">
        <v>46290</v>
      </c>
      <c r="E2950" s="1" t="n">
        <v>46313</v>
      </c>
      <c r="F2950" t="inlineStr">
        <is>
          <t>SÖDERMANLANDS LÄN</t>
        </is>
      </c>
      <c r="G2950" t="inlineStr">
        <is>
          <t>VINGÅKER</t>
        </is>
      </c>
      <c r="I2950" t="n">
        <v>2.5</v>
      </c>
      <c r="J2950" t="n">
        <v>0</v>
      </c>
      <c r="K2950" t="n">
        <v>0</v>
      </c>
      <c r="L2950" t="n">
        <v>0</v>
      </c>
      <c r="M2950" t="n">
        <v>0</v>
      </c>
      <c r="N2950" t="n">
        <v>0</v>
      </c>
      <c r="O2950" t="n">
        <v>0</v>
      </c>
      <c r="P2950" t="n">
        <v>0</v>
      </c>
      <c r="Q2950" t="n">
        <v>0</v>
      </c>
      <c r="R2950" t="n">
        <v>0</v>
      </c>
      <c r="S2950" t="n">
        <v>0</v>
      </c>
      <c r="T2950" t="n">
        <v>0</v>
      </c>
      <c r="U2950" t="n">
        <v>0</v>
      </c>
      <c r="V2950" s="2" t="inlineStr"/>
    </row>
    <row r="2951" ht="15" customHeight="1">
      <c r="A2951" t="inlineStr">
        <is>
          <t>A 24197-2022</t>
        </is>
      </c>
      <c r="B2951" t="inlineStr">
        <is>
          <t>avverkningsanmälan</t>
        </is>
      </c>
      <c r="C2951" t="inlineStr">
        <is>
          <t>Föryngringsavverkning</t>
        </is>
      </c>
      <c r="D2951" s="1" t="n">
        <v>44725</v>
      </c>
      <c r="E2951" s="1" t="n">
        <v>46313</v>
      </c>
      <c r="F2951" t="inlineStr">
        <is>
          <t>SÖDERMANLANDS LÄN</t>
        </is>
      </c>
      <c r="G2951" t="inlineStr">
        <is>
          <t>NYKÖPING</t>
        </is>
      </c>
      <c r="I2951" t="n">
        <v>1.1</v>
      </c>
      <c r="J2951" t="n">
        <v>0</v>
      </c>
      <c r="K2951" t="n">
        <v>0</v>
      </c>
      <c r="L2951" t="n">
        <v>0</v>
      </c>
      <c r="M2951" t="n">
        <v>0</v>
      </c>
      <c r="N2951" t="n">
        <v>0</v>
      </c>
      <c r="O2951" t="n">
        <v>0</v>
      </c>
      <c r="P2951" t="n">
        <v>0</v>
      </c>
      <c r="Q2951" t="n">
        <v>0</v>
      </c>
      <c r="R2951" t="n">
        <v>0</v>
      </c>
      <c r="S2951" t="n">
        <v>0</v>
      </c>
      <c r="T2951" t="n">
        <v>0</v>
      </c>
      <c r="U2951" t="n">
        <v>0</v>
      </c>
      <c r="V2951" s="2" t="inlineStr"/>
    </row>
    <row r="2952" ht="15" customHeight="1">
      <c r="A2952" t="inlineStr">
        <is>
          <t>A 23429-2023</t>
        </is>
      </c>
      <c r="B2952" t="inlineStr">
        <is>
          <t>avverkningsanmälan</t>
        </is>
      </c>
      <c r="C2952" t="inlineStr">
        <is>
          <t>Föryngringsavverkning</t>
        </is>
      </c>
      <c r="D2952" s="1" t="n">
        <v>45076</v>
      </c>
      <c r="E2952" s="1" t="n">
        <v>46313</v>
      </c>
      <c r="F2952" t="inlineStr">
        <is>
          <t>SÖDERMANLANDS LÄN</t>
        </is>
      </c>
      <c r="G2952" t="inlineStr">
        <is>
          <t>VINGÅKER</t>
        </is>
      </c>
      <c r="I2952" t="n">
        <v>0.9</v>
      </c>
      <c r="J2952" t="n">
        <v>0</v>
      </c>
      <c r="K2952" t="n">
        <v>0</v>
      </c>
      <c r="L2952" t="n">
        <v>0</v>
      </c>
      <c r="M2952" t="n">
        <v>0</v>
      </c>
      <c r="N2952" t="n">
        <v>0</v>
      </c>
      <c r="O2952" t="n">
        <v>0</v>
      </c>
      <c r="P2952" t="n">
        <v>0</v>
      </c>
      <c r="Q2952" t="n">
        <v>0</v>
      </c>
      <c r="R2952" t="n">
        <v>0</v>
      </c>
      <c r="S2952" t="n">
        <v>0</v>
      </c>
      <c r="T2952" t="n">
        <v>0</v>
      </c>
      <c r="U2952" t="n">
        <v>0</v>
      </c>
      <c r="V2952" s="2" t="inlineStr"/>
    </row>
    <row r="2953" ht="15" customHeight="1">
      <c r="A2953" t="inlineStr">
        <is>
          <t>A 3759-2025</t>
        </is>
      </c>
      <c r="B2953" t="inlineStr">
        <is>
          <t>avverkningsanmälan</t>
        </is>
      </c>
      <c r="C2953" t="inlineStr">
        <is>
          <t>Föryngringsavverkning</t>
        </is>
      </c>
      <c r="D2953" s="1" t="n">
        <v>45681</v>
      </c>
      <c r="E2953" s="1" t="n">
        <v>46313</v>
      </c>
      <c r="F2953" t="inlineStr">
        <is>
          <t>SÖDERMANLANDS LÄN</t>
        </is>
      </c>
      <c r="G2953" t="inlineStr">
        <is>
          <t>STRÄNGNÄS</t>
        </is>
      </c>
      <c r="I2953" t="n">
        <v>2.8</v>
      </c>
      <c r="J2953" t="n">
        <v>0</v>
      </c>
      <c r="K2953" t="n">
        <v>0</v>
      </c>
      <c r="L2953" t="n">
        <v>0</v>
      </c>
      <c r="M2953" t="n">
        <v>0</v>
      </c>
      <c r="N2953" t="n">
        <v>0</v>
      </c>
      <c r="O2953" t="n">
        <v>0</v>
      </c>
      <c r="P2953" t="n">
        <v>0</v>
      </c>
      <c r="Q2953" t="n">
        <v>0</v>
      </c>
      <c r="R2953" t="n">
        <v>0</v>
      </c>
      <c r="S2953" t="n">
        <v>0</v>
      </c>
      <c r="T2953" t="n">
        <v>0</v>
      </c>
      <c r="U2953" t="n">
        <v>0</v>
      </c>
      <c r="V2953" s="2" t="inlineStr"/>
    </row>
    <row r="2954" ht="15" customHeight="1">
      <c r="A2954" t="inlineStr">
        <is>
          <t>A 3761-2025</t>
        </is>
      </c>
      <c r="B2954" t="inlineStr">
        <is>
          <t>avverkningsanmälan</t>
        </is>
      </c>
      <c r="C2954" t="inlineStr">
        <is>
          <t>Föryngringsavverkning</t>
        </is>
      </c>
      <c r="D2954" s="1" t="n">
        <v>45681</v>
      </c>
      <c r="E2954" s="1" t="n">
        <v>46313</v>
      </c>
      <c r="F2954" t="inlineStr">
        <is>
          <t>SÖDERMANLANDS LÄN</t>
        </is>
      </c>
      <c r="G2954" t="inlineStr">
        <is>
          <t>STRÄNGNÄS</t>
        </is>
      </c>
      <c r="I2954" t="n">
        <v>1.9</v>
      </c>
      <c r="J2954" t="n">
        <v>0</v>
      </c>
      <c r="K2954" t="n">
        <v>0</v>
      </c>
      <c r="L2954" t="n">
        <v>0</v>
      </c>
      <c r="M2954" t="n">
        <v>0</v>
      </c>
      <c r="N2954" t="n">
        <v>0</v>
      </c>
      <c r="O2954" t="n">
        <v>0</v>
      </c>
      <c r="P2954" t="n">
        <v>0</v>
      </c>
      <c r="Q2954" t="n">
        <v>0</v>
      </c>
      <c r="R2954" t="n">
        <v>0</v>
      </c>
      <c r="S2954" t="n">
        <v>0</v>
      </c>
      <c r="T2954" t="n">
        <v>0</v>
      </c>
      <c r="U2954" t="n">
        <v>0</v>
      </c>
      <c r="V2954" s="2" t="inlineStr"/>
    </row>
    <row r="2955" ht="15" customHeight="1">
      <c r="A2955" t="inlineStr">
        <is>
          <t>A 55619-2024</t>
        </is>
      </c>
      <c r="B2955" t="inlineStr">
        <is>
          <t>avverkningsanmälan</t>
        </is>
      </c>
      <c r="C2955" t="inlineStr">
        <is>
          <t>Föryngringsavverkning</t>
        </is>
      </c>
      <c r="D2955" s="1" t="n">
        <v>45622</v>
      </c>
      <c r="E2955" s="1" t="n">
        <v>46313</v>
      </c>
      <c r="F2955" t="inlineStr">
        <is>
          <t>SÖDERMANLANDS LÄN</t>
        </is>
      </c>
      <c r="G2955" t="inlineStr">
        <is>
          <t>GNESTA</t>
        </is>
      </c>
      <c r="I2955" t="n">
        <v>1.7</v>
      </c>
      <c r="J2955" t="n">
        <v>0</v>
      </c>
      <c r="K2955" t="n">
        <v>0</v>
      </c>
      <c r="L2955" t="n">
        <v>0</v>
      </c>
      <c r="M2955" t="n">
        <v>0</v>
      </c>
      <c r="N2955" t="n">
        <v>0</v>
      </c>
      <c r="O2955" t="n">
        <v>0</v>
      </c>
      <c r="P2955" t="n">
        <v>0</v>
      </c>
      <c r="Q2955" t="n">
        <v>0</v>
      </c>
      <c r="R2955" t="n">
        <v>0</v>
      </c>
      <c r="S2955" t="n">
        <v>0</v>
      </c>
      <c r="T2955" t="n">
        <v>0</v>
      </c>
      <c r="U2955" t="n">
        <v>0</v>
      </c>
      <c r="V2955" s="2" t="inlineStr"/>
    </row>
    <row r="2956" ht="15" customHeight="1">
      <c r="A2956" t="inlineStr">
        <is>
          <t>A 33287-2026</t>
        </is>
      </c>
      <c r="B2956" t="inlineStr">
        <is>
          <t>avverkningsanmälan</t>
        </is>
      </c>
      <c r="C2956" t="inlineStr">
        <is>
          <t>Avverkning för annat ändamål</t>
        </is>
      </c>
      <c r="D2956" s="1" t="n">
        <v>46245</v>
      </c>
      <c r="E2956" s="1" t="n">
        <v>46313</v>
      </c>
      <c r="F2956" t="inlineStr">
        <is>
          <t>SÖDERMANLANDS LÄN</t>
        </is>
      </c>
      <c r="G2956" t="inlineStr">
        <is>
          <t>KATRINEHOLM</t>
        </is>
      </c>
      <c r="I2956" t="n">
        <v>2.2</v>
      </c>
      <c r="J2956" t="n">
        <v>0</v>
      </c>
      <c r="K2956" t="n">
        <v>0</v>
      </c>
      <c r="L2956" t="n">
        <v>0</v>
      </c>
      <c r="M2956" t="n">
        <v>0</v>
      </c>
      <c r="N2956" t="n">
        <v>0</v>
      </c>
      <c r="O2956" t="n">
        <v>0</v>
      </c>
      <c r="P2956" t="n">
        <v>0</v>
      </c>
      <c r="Q2956" t="n">
        <v>0</v>
      </c>
      <c r="R2956" t="n">
        <v>0</v>
      </c>
      <c r="S2956" t="n">
        <v>0</v>
      </c>
      <c r="T2956" t="n">
        <v>0</v>
      </c>
      <c r="U2956" t="n">
        <v>0</v>
      </c>
      <c r="V2956" s="2" t="inlineStr"/>
    </row>
    <row r="2957" ht="15" customHeight="1">
      <c r="A2957" t="inlineStr">
        <is>
          <t>A 32928-2022</t>
        </is>
      </c>
      <c r="B2957" t="inlineStr">
        <is>
          <t>avverkningsanmälan</t>
        </is>
      </c>
      <c r="C2957" t="inlineStr">
        <is>
          <t>Föryngringsavverkning</t>
        </is>
      </c>
      <c r="D2957" s="1" t="n">
        <v>44784</v>
      </c>
      <c r="E2957" s="1" t="n">
        <v>46313</v>
      </c>
      <c r="F2957" t="inlineStr">
        <is>
          <t>SÖDERMANLANDS LÄN</t>
        </is>
      </c>
      <c r="G2957" t="inlineStr">
        <is>
          <t>NYKÖPING</t>
        </is>
      </c>
      <c r="I2957" t="n">
        <v>0.4</v>
      </c>
      <c r="J2957" t="n">
        <v>0</v>
      </c>
      <c r="K2957" t="n">
        <v>0</v>
      </c>
      <c r="L2957" t="n">
        <v>0</v>
      </c>
      <c r="M2957" t="n">
        <v>0</v>
      </c>
      <c r="N2957" t="n">
        <v>0</v>
      </c>
      <c r="O2957" t="n">
        <v>0</v>
      </c>
      <c r="P2957" t="n">
        <v>0</v>
      </c>
      <c r="Q2957" t="n">
        <v>0</v>
      </c>
      <c r="R2957" t="n">
        <v>0</v>
      </c>
      <c r="S2957" t="n">
        <v>0</v>
      </c>
      <c r="T2957" t="n">
        <v>0</v>
      </c>
      <c r="U2957" t="n">
        <v>0</v>
      </c>
      <c r="V2957" s="2" t="inlineStr"/>
    </row>
    <row r="2958" ht="15" customHeight="1">
      <c r="A2958" t="inlineStr">
        <is>
          <t>A 39700-2026</t>
        </is>
      </c>
      <c r="B2958" t="inlineStr">
        <is>
          <t>avverkningsanmälan</t>
        </is>
      </c>
      <c r="C2958" t="inlineStr">
        <is>
          <t>Avverkning för annat ändamål</t>
        </is>
      </c>
      <c r="D2958" s="1" t="n">
        <v>46289</v>
      </c>
      <c r="E2958" s="1" t="n">
        <v>46313</v>
      </c>
      <c r="F2958" t="inlineStr">
        <is>
          <t>SÖDERMANLANDS LÄN</t>
        </is>
      </c>
      <c r="G2958" t="inlineStr">
        <is>
          <t>ESKILSTUNA</t>
        </is>
      </c>
      <c r="H2958" t="inlineStr">
        <is>
          <t>Kyrkan</t>
        </is>
      </c>
      <c r="I2958" t="n">
        <v>1.2</v>
      </c>
      <c r="J2958" t="n">
        <v>0</v>
      </c>
      <c r="K2958" t="n">
        <v>0</v>
      </c>
      <c r="L2958" t="n">
        <v>0</v>
      </c>
      <c r="M2958" t="n">
        <v>0</v>
      </c>
      <c r="N2958" t="n">
        <v>0</v>
      </c>
      <c r="O2958" t="n">
        <v>0</v>
      </c>
      <c r="P2958" t="n">
        <v>0</v>
      </c>
      <c r="Q2958" t="n">
        <v>0</v>
      </c>
      <c r="R2958" t="n">
        <v>0</v>
      </c>
      <c r="S2958" t="n">
        <v>0</v>
      </c>
      <c r="T2958" t="n">
        <v>0</v>
      </c>
      <c r="U2958" t="n">
        <v>0</v>
      </c>
      <c r="V2958" s="2" t="inlineStr"/>
    </row>
    <row r="2959" ht="15" customHeight="1">
      <c r="A2959" t="inlineStr">
        <is>
          <t>A 39776-2026</t>
        </is>
      </c>
      <c r="B2959" t="inlineStr">
        <is>
          <t>avverkningsanmälan</t>
        </is>
      </c>
      <c r="C2959" t="inlineStr">
        <is>
          <t>Föryngringsavverkning</t>
        </is>
      </c>
      <c r="D2959" s="1" t="n">
        <v>46290</v>
      </c>
      <c r="E2959" s="1" t="n">
        <v>46313</v>
      </c>
      <c r="F2959" t="inlineStr">
        <is>
          <t>SÖDERMANLANDS LÄN</t>
        </is>
      </c>
      <c r="G2959" t="inlineStr">
        <is>
          <t>NYKÖPING</t>
        </is>
      </c>
      <c r="H2959" t="inlineStr">
        <is>
          <t>Holmen skog AB</t>
        </is>
      </c>
      <c r="I2959" t="n">
        <v>2.3</v>
      </c>
      <c r="J2959" t="n">
        <v>0</v>
      </c>
      <c r="K2959" t="n">
        <v>0</v>
      </c>
      <c r="L2959" t="n">
        <v>0</v>
      </c>
      <c r="M2959" t="n">
        <v>0</v>
      </c>
      <c r="N2959" t="n">
        <v>0</v>
      </c>
      <c r="O2959" t="n">
        <v>0</v>
      </c>
      <c r="P2959" t="n">
        <v>0</v>
      </c>
      <c r="Q2959" t="n">
        <v>0</v>
      </c>
      <c r="R2959" t="n">
        <v>0</v>
      </c>
      <c r="S2959" t="n">
        <v>0</v>
      </c>
      <c r="T2959" t="n">
        <v>0</v>
      </c>
      <c r="U2959" t="n">
        <v>0</v>
      </c>
      <c r="V2959" s="2" t="inlineStr"/>
    </row>
    <row r="2960" ht="15" customHeight="1">
      <c r="A2960" t="inlineStr">
        <is>
          <t>A 47013-2022</t>
        </is>
      </c>
      <c r="B2960" t="inlineStr">
        <is>
          <t>avverkningsanmälan</t>
        </is>
      </c>
      <c r="C2960" t="inlineStr">
        <is>
          <t>Föryngringsavverkning</t>
        </is>
      </c>
      <c r="D2960" s="1" t="n">
        <v>44852</v>
      </c>
      <c r="E2960" s="1" t="n">
        <v>46313</v>
      </c>
      <c r="F2960" t="inlineStr">
        <is>
          <t>SÖDERMANLANDS LÄN</t>
        </is>
      </c>
      <c r="G2960" t="inlineStr">
        <is>
          <t>GNESTA</t>
        </is>
      </c>
      <c r="I2960" t="n">
        <v>0.5</v>
      </c>
      <c r="J2960" t="n">
        <v>0</v>
      </c>
      <c r="K2960" t="n">
        <v>0</v>
      </c>
      <c r="L2960" t="n">
        <v>0</v>
      </c>
      <c r="M2960" t="n">
        <v>0</v>
      </c>
      <c r="N2960" t="n">
        <v>0</v>
      </c>
      <c r="O2960" t="n">
        <v>0</v>
      </c>
      <c r="P2960" t="n">
        <v>0</v>
      </c>
      <c r="Q2960" t="n">
        <v>0</v>
      </c>
      <c r="R2960" t="n">
        <v>0</v>
      </c>
      <c r="S2960" t="n">
        <v>0</v>
      </c>
      <c r="T2960" t="n">
        <v>0</v>
      </c>
      <c r="U2960" t="n">
        <v>0</v>
      </c>
      <c r="V2960" s="2" t="inlineStr"/>
    </row>
    <row r="2961" ht="15" customHeight="1">
      <c r="A2961" t="inlineStr">
        <is>
          <t>A 8493-2022</t>
        </is>
      </c>
      <c r="B2961" t="inlineStr">
        <is>
          <t>avverkningsanmälan</t>
        </is>
      </c>
      <c r="C2961" t="inlineStr">
        <is>
          <t>Föryngringsavverkning</t>
        </is>
      </c>
      <c r="D2961" s="1" t="n">
        <v>44613</v>
      </c>
      <c r="E2961" s="1" t="n">
        <v>46313</v>
      </c>
      <c r="F2961" t="inlineStr">
        <is>
          <t>SÖDERMANLANDS LÄN</t>
        </is>
      </c>
      <c r="G2961" t="inlineStr">
        <is>
          <t>STRÄNGNÄS</t>
        </is>
      </c>
      <c r="I2961" t="n">
        <v>3</v>
      </c>
      <c r="J2961" t="n">
        <v>0</v>
      </c>
      <c r="K2961" t="n">
        <v>0</v>
      </c>
      <c r="L2961" t="n">
        <v>0</v>
      </c>
      <c r="M2961" t="n">
        <v>0</v>
      </c>
      <c r="N2961" t="n">
        <v>0</v>
      </c>
      <c r="O2961" t="n">
        <v>0</v>
      </c>
      <c r="P2961" t="n">
        <v>0</v>
      </c>
      <c r="Q2961" t="n">
        <v>0</v>
      </c>
      <c r="R2961" t="n">
        <v>0</v>
      </c>
      <c r="S2961" t="n">
        <v>0</v>
      </c>
      <c r="T2961" t="n">
        <v>0</v>
      </c>
      <c r="U2961" t="n">
        <v>0</v>
      </c>
      <c r="V2961" s="2" t="inlineStr"/>
    </row>
    <row r="2962" ht="15" customHeight="1">
      <c r="A2962" t="inlineStr">
        <is>
          <t>A 17746-2024</t>
        </is>
      </c>
      <c r="B2962" t="inlineStr">
        <is>
          <t>avverkningsanmälan</t>
        </is>
      </c>
      <c r="C2962" t="inlineStr">
        <is>
          <t>Föryngringsavverkning</t>
        </is>
      </c>
      <c r="D2962" s="1" t="n">
        <v>45415</v>
      </c>
      <c r="E2962" s="1" t="n">
        <v>46313</v>
      </c>
      <c r="F2962" t="inlineStr">
        <is>
          <t>SÖDERMANLANDS LÄN</t>
        </is>
      </c>
      <c r="G2962" t="inlineStr">
        <is>
          <t>KATRINEHOLM</t>
        </is>
      </c>
      <c r="I2962" t="n">
        <v>7.8</v>
      </c>
      <c r="J2962" t="n">
        <v>0</v>
      </c>
      <c r="K2962" t="n">
        <v>0</v>
      </c>
      <c r="L2962" t="n">
        <v>0</v>
      </c>
      <c r="M2962" t="n">
        <v>0</v>
      </c>
      <c r="N2962" t="n">
        <v>0</v>
      </c>
      <c r="O2962" t="n">
        <v>0</v>
      </c>
      <c r="P2962" t="n">
        <v>0</v>
      </c>
      <c r="Q2962" t="n">
        <v>0</v>
      </c>
      <c r="R2962" t="n">
        <v>0</v>
      </c>
      <c r="S2962" t="n">
        <v>0</v>
      </c>
      <c r="T2962" t="n">
        <v>0</v>
      </c>
      <c r="U2962" t="n">
        <v>0</v>
      </c>
      <c r="V2962" s="2" t="inlineStr"/>
    </row>
    <row r="2963" ht="15" customHeight="1">
      <c r="A2963" t="inlineStr">
        <is>
          <t>A 40126-2026</t>
        </is>
      </c>
      <c r="B2963" t="inlineStr">
        <is>
          <t>avverkningsanmälan</t>
        </is>
      </c>
      <c r="C2963" t="inlineStr">
        <is>
          <t>Föryngringsavverkning</t>
        </is>
      </c>
      <c r="D2963" s="1" t="n">
        <v>46293</v>
      </c>
      <c r="E2963" s="1" t="n">
        <v>46313</v>
      </c>
      <c r="F2963" t="inlineStr">
        <is>
          <t>SÖDERMANLANDS LÄN</t>
        </is>
      </c>
      <c r="G2963" t="inlineStr">
        <is>
          <t>NYKÖPING</t>
        </is>
      </c>
      <c r="H2963" t="inlineStr">
        <is>
          <t>Kyrkan</t>
        </is>
      </c>
      <c r="I2963" t="n">
        <v>0.7</v>
      </c>
      <c r="J2963" t="n">
        <v>0</v>
      </c>
      <c r="K2963" t="n">
        <v>0</v>
      </c>
      <c r="L2963" t="n">
        <v>0</v>
      </c>
      <c r="M2963" t="n">
        <v>0</v>
      </c>
      <c r="N2963" t="n">
        <v>0</v>
      </c>
      <c r="O2963" t="n">
        <v>0</v>
      </c>
      <c r="P2963" t="n">
        <v>0</v>
      </c>
      <c r="Q2963" t="n">
        <v>0</v>
      </c>
      <c r="R2963" t="n">
        <v>0</v>
      </c>
      <c r="S2963" t="n">
        <v>0</v>
      </c>
      <c r="T2963" t="n">
        <v>0</v>
      </c>
      <c r="U2963" t="n">
        <v>0</v>
      </c>
      <c r="V2963" s="2" t="inlineStr"/>
    </row>
    <row r="2964" ht="15" customHeight="1">
      <c r="A2964" t="inlineStr">
        <is>
          <t>A 16457-2023</t>
        </is>
      </c>
      <c r="B2964" t="inlineStr">
        <is>
          <t>avverkningsanmälan</t>
        </is>
      </c>
      <c r="C2964" t="inlineStr">
        <is>
          <t>Föryngringsavverkning</t>
        </is>
      </c>
      <c r="D2964" s="1" t="n">
        <v>45029</v>
      </c>
      <c r="E2964" s="1" t="n">
        <v>46313</v>
      </c>
      <c r="F2964" t="inlineStr">
        <is>
          <t>SÖDERMANLANDS LÄN</t>
        </is>
      </c>
      <c r="G2964" t="inlineStr">
        <is>
          <t>NYKÖPING</t>
        </is>
      </c>
      <c r="I2964" t="n">
        <v>0.1</v>
      </c>
      <c r="J2964" t="n">
        <v>0</v>
      </c>
      <c r="K2964" t="n">
        <v>0</v>
      </c>
      <c r="L2964" t="n">
        <v>0</v>
      </c>
      <c r="M2964" t="n">
        <v>0</v>
      </c>
      <c r="N2964" t="n">
        <v>0</v>
      </c>
      <c r="O2964" t="n">
        <v>0</v>
      </c>
      <c r="P2964" t="n">
        <v>0</v>
      </c>
      <c r="Q2964" t="n">
        <v>0</v>
      </c>
      <c r="R2964" t="n">
        <v>0</v>
      </c>
      <c r="S2964" t="n">
        <v>0</v>
      </c>
      <c r="T2964" t="n">
        <v>0</v>
      </c>
      <c r="U2964" t="n">
        <v>0</v>
      </c>
      <c r="V2964" s="2" t="inlineStr"/>
    </row>
    <row r="2965" ht="15" customHeight="1">
      <c r="A2965" t="inlineStr">
        <is>
          <t>A 34731-2023</t>
        </is>
      </c>
      <c r="B2965" t="inlineStr">
        <is>
          <t>avverkningsanmälan</t>
        </is>
      </c>
      <c r="C2965" t="inlineStr">
        <is>
          <t>Föryngringsavverkning</t>
        </is>
      </c>
      <c r="D2965" s="1" t="n">
        <v>45141</v>
      </c>
      <c r="E2965" s="1" t="n">
        <v>46313</v>
      </c>
      <c r="F2965" t="inlineStr">
        <is>
          <t>SÖDERMANLANDS LÄN</t>
        </is>
      </c>
      <c r="G2965" t="inlineStr">
        <is>
          <t>KATRINEHOLM</t>
        </is>
      </c>
      <c r="I2965" t="n">
        <v>1.5</v>
      </c>
      <c r="J2965" t="n">
        <v>0</v>
      </c>
      <c r="K2965" t="n">
        <v>0</v>
      </c>
      <c r="L2965" t="n">
        <v>0</v>
      </c>
      <c r="M2965" t="n">
        <v>0</v>
      </c>
      <c r="N2965" t="n">
        <v>0</v>
      </c>
      <c r="O2965" t="n">
        <v>0</v>
      </c>
      <c r="P2965" t="n">
        <v>0</v>
      </c>
      <c r="Q2965" t="n">
        <v>0</v>
      </c>
      <c r="R2965" t="n">
        <v>0</v>
      </c>
      <c r="S2965" t="n">
        <v>0</v>
      </c>
      <c r="T2965" t="n">
        <v>0</v>
      </c>
      <c r="U2965" t="n">
        <v>0</v>
      </c>
      <c r="V2965" s="2" t="inlineStr"/>
    </row>
    <row r="2966" ht="15" customHeight="1">
      <c r="A2966" t="inlineStr">
        <is>
          <t>A 65174-2023</t>
        </is>
      </c>
      <c r="B2966" t="inlineStr">
        <is>
          <t>avverkningsanmälan</t>
        </is>
      </c>
      <c r="C2966" t="inlineStr">
        <is>
          <t>Föryngringsavverkning</t>
        </is>
      </c>
      <c r="D2966" s="1" t="n">
        <v>45288</v>
      </c>
      <c r="E2966" s="1" t="n">
        <v>46313</v>
      </c>
      <c r="F2966" t="inlineStr">
        <is>
          <t>SÖDERMANLANDS LÄN</t>
        </is>
      </c>
      <c r="G2966" t="inlineStr">
        <is>
          <t>NYKÖPING</t>
        </is>
      </c>
      <c r="I2966" t="n">
        <v>1.1</v>
      </c>
      <c r="J2966" t="n">
        <v>0</v>
      </c>
      <c r="K2966" t="n">
        <v>0</v>
      </c>
      <c r="L2966" t="n">
        <v>0</v>
      </c>
      <c r="M2966" t="n">
        <v>0</v>
      </c>
      <c r="N2966" t="n">
        <v>0</v>
      </c>
      <c r="O2966" t="n">
        <v>0</v>
      </c>
      <c r="P2966" t="n">
        <v>0</v>
      </c>
      <c r="Q2966" t="n">
        <v>0</v>
      </c>
      <c r="R2966" t="n">
        <v>0</v>
      </c>
      <c r="S2966" t="n">
        <v>0</v>
      </c>
      <c r="T2966" t="n">
        <v>0</v>
      </c>
      <c r="U2966" t="n">
        <v>0</v>
      </c>
      <c r="V2966" s="2" t="inlineStr"/>
    </row>
    <row r="2967" ht="15" customHeight="1">
      <c r="A2967" t="inlineStr">
        <is>
          <t>A 40145-2026</t>
        </is>
      </c>
      <c r="B2967" t="inlineStr">
        <is>
          <t>avverkningsanmälan</t>
        </is>
      </c>
      <c r="C2967" t="inlineStr">
        <is>
          <t>Föryngringsavverkning</t>
        </is>
      </c>
      <c r="D2967" s="1" t="n">
        <v>46293</v>
      </c>
      <c r="E2967" s="1" t="n">
        <v>46313</v>
      </c>
      <c r="F2967" t="inlineStr">
        <is>
          <t>SÖDERMANLANDS LÄN</t>
        </is>
      </c>
      <c r="G2967" t="inlineStr">
        <is>
          <t>NYKÖPING</t>
        </is>
      </c>
      <c r="I2967" t="n">
        <v>1.8</v>
      </c>
      <c r="J2967" t="n">
        <v>0</v>
      </c>
      <c r="K2967" t="n">
        <v>0</v>
      </c>
      <c r="L2967" t="n">
        <v>0</v>
      </c>
      <c r="M2967" t="n">
        <v>0</v>
      </c>
      <c r="N2967" t="n">
        <v>0</v>
      </c>
      <c r="O2967" t="n">
        <v>0</v>
      </c>
      <c r="P2967" t="n">
        <v>0</v>
      </c>
      <c r="Q2967" t="n">
        <v>0</v>
      </c>
      <c r="R2967" t="n">
        <v>0</v>
      </c>
      <c r="S2967" t="n">
        <v>0</v>
      </c>
      <c r="T2967" t="n">
        <v>0</v>
      </c>
      <c r="U2967" t="n">
        <v>0</v>
      </c>
      <c r="V2967" s="2" t="inlineStr"/>
    </row>
    <row r="2968" ht="15" customHeight="1">
      <c r="A2968" t="inlineStr">
        <is>
          <t>A 49223-2022</t>
        </is>
      </c>
      <c r="B2968" t="inlineStr">
        <is>
          <t>avverkningsanmälan</t>
        </is>
      </c>
      <c r="C2968" t="inlineStr">
        <is>
          <t>Föryngringsavverkning</t>
        </is>
      </c>
      <c r="D2968" s="1" t="n">
        <v>44858</v>
      </c>
      <c r="E2968" s="1" t="n">
        <v>46313</v>
      </c>
      <c r="F2968" t="inlineStr">
        <is>
          <t>SÖDERMANLANDS LÄN</t>
        </is>
      </c>
      <c r="G2968" t="inlineStr">
        <is>
          <t>NYKÖPING</t>
        </is>
      </c>
      <c r="H2968" t="inlineStr">
        <is>
          <t>Övriga statliga verk och myndigheter</t>
        </is>
      </c>
      <c r="I2968" t="n">
        <v>4</v>
      </c>
      <c r="J2968" t="n">
        <v>0</v>
      </c>
      <c r="K2968" t="n">
        <v>0</v>
      </c>
      <c r="L2968" t="n">
        <v>0</v>
      </c>
      <c r="M2968" t="n">
        <v>0</v>
      </c>
      <c r="N2968" t="n">
        <v>0</v>
      </c>
      <c r="O2968" t="n">
        <v>0</v>
      </c>
      <c r="P2968" t="n">
        <v>0</v>
      </c>
      <c r="Q2968" t="n">
        <v>0</v>
      </c>
      <c r="R2968" t="n">
        <v>0</v>
      </c>
      <c r="S2968" t="n">
        <v>0</v>
      </c>
      <c r="T2968" t="n">
        <v>0</v>
      </c>
      <c r="U2968" t="n">
        <v>0</v>
      </c>
      <c r="V2968" s="2" t="inlineStr"/>
    </row>
    <row r="2969" ht="15" customHeight="1">
      <c r="A2969" t="inlineStr">
        <is>
          <t>A 56720-2023</t>
        </is>
      </c>
      <c r="B2969" t="inlineStr">
        <is>
          <t>avverkningsanmälan</t>
        </is>
      </c>
      <c r="C2969" t="inlineStr">
        <is>
          <t>Föryngringsavverkning</t>
        </is>
      </c>
      <c r="D2969" s="1" t="n">
        <v>45238</v>
      </c>
      <c r="E2969" s="1" t="n">
        <v>46313</v>
      </c>
      <c r="F2969" t="inlineStr">
        <is>
          <t>SÖDERMANLANDS LÄN</t>
        </is>
      </c>
      <c r="G2969" t="inlineStr">
        <is>
          <t>GNESTA</t>
        </is>
      </c>
      <c r="I2969" t="n">
        <v>4.3</v>
      </c>
      <c r="J2969" t="n">
        <v>0</v>
      </c>
      <c r="K2969" t="n">
        <v>0</v>
      </c>
      <c r="L2969" t="n">
        <v>0</v>
      </c>
      <c r="M2969" t="n">
        <v>0</v>
      </c>
      <c r="N2969" t="n">
        <v>0</v>
      </c>
      <c r="O2969" t="n">
        <v>0</v>
      </c>
      <c r="P2969" t="n">
        <v>0</v>
      </c>
      <c r="Q2969" t="n">
        <v>0</v>
      </c>
      <c r="R2969" t="n">
        <v>0</v>
      </c>
      <c r="S2969" t="n">
        <v>0</v>
      </c>
      <c r="T2969" t="n">
        <v>0</v>
      </c>
      <c r="U2969" t="n">
        <v>0</v>
      </c>
      <c r="V2969" s="2" t="inlineStr"/>
    </row>
    <row r="2970" ht="15" customHeight="1">
      <c r="A2970" t="inlineStr">
        <is>
          <t>A 7036-2023</t>
        </is>
      </c>
      <c r="B2970" t="inlineStr">
        <is>
          <t>avverkningsanmälan</t>
        </is>
      </c>
      <c r="C2970" t="inlineStr">
        <is>
          <t>Avverkning för annat ändamål</t>
        </is>
      </c>
      <c r="D2970" s="1" t="n">
        <v>44968</v>
      </c>
      <c r="E2970" s="1" t="n">
        <v>46313</v>
      </c>
      <c r="F2970" t="inlineStr">
        <is>
          <t>SÖDERMANLANDS LÄN</t>
        </is>
      </c>
      <c r="G2970" t="inlineStr">
        <is>
          <t>NYKÖPING</t>
        </is>
      </c>
      <c r="I2970" t="n">
        <v>0.9</v>
      </c>
      <c r="J2970" t="n">
        <v>0</v>
      </c>
      <c r="K2970" t="n">
        <v>0</v>
      </c>
      <c r="L2970" t="n">
        <v>0</v>
      </c>
      <c r="M2970" t="n">
        <v>0</v>
      </c>
      <c r="N2970" t="n">
        <v>0</v>
      </c>
      <c r="O2970" t="n">
        <v>0</v>
      </c>
      <c r="P2970" t="n">
        <v>0</v>
      </c>
      <c r="Q2970" t="n">
        <v>0</v>
      </c>
      <c r="R2970" t="n">
        <v>0</v>
      </c>
      <c r="S2970" t="n">
        <v>0</v>
      </c>
      <c r="T2970" t="n">
        <v>0</v>
      </c>
      <c r="U2970" t="n">
        <v>0</v>
      </c>
      <c r="V2970" s="2" t="inlineStr"/>
    </row>
    <row r="2971" ht="15" customHeight="1">
      <c r="A2971" t="inlineStr">
        <is>
          <t>A 38054-2023</t>
        </is>
      </c>
      <c r="B2971" t="inlineStr">
        <is>
          <t>avverkningsanmälan</t>
        </is>
      </c>
      <c r="C2971" t="inlineStr">
        <is>
          <t>Föryngringsavverkning</t>
        </is>
      </c>
      <c r="D2971" s="1" t="n">
        <v>45160</v>
      </c>
      <c r="E2971" s="1" t="n">
        <v>46313</v>
      </c>
      <c r="F2971" t="inlineStr">
        <is>
          <t>SÖDERMANLANDS LÄN</t>
        </is>
      </c>
      <c r="G2971" t="inlineStr">
        <is>
          <t>NYKÖPING</t>
        </is>
      </c>
      <c r="H2971" t="inlineStr">
        <is>
          <t>Kommuner</t>
        </is>
      </c>
      <c r="I2971" t="n">
        <v>2.1</v>
      </c>
      <c r="J2971" t="n">
        <v>0</v>
      </c>
      <c r="K2971" t="n">
        <v>0</v>
      </c>
      <c r="L2971" t="n">
        <v>0</v>
      </c>
      <c r="M2971" t="n">
        <v>0</v>
      </c>
      <c r="N2971" t="n">
        <v>0</v>
      </c>
      <c r="O2971" t="n">
        <v>0</v>
      </c>
      <c r="P2971" t="n">
        <v>0</v>
      </c>
      <c r="Q2971" t="n">
        <v>0</v>
      </c>
      <c r="R2971" t="n">
        <v>0</v>
      </c>
      <c r="S2971" t="n">
        <v>0</v>
      </c>
      <c r="T2971" t="n">
        <v>0</v>
      </c>
      <c r="U2971" t="n">
        <v>0</v>
      </c>
      <c r="V2971" s="2" t="inlineStr"/>
    </row>
    <row r="2972" ht="15" customHeight="1">
      <c r="A2972" t="inlineStr">
        <is>
          <t>A 38063-2023</t>
        </is>
      </c>
      <c r="B2972" t="inlineStr">
        <is>
          <t>avverkningsanmälan</t>
        </is>
      </c>
      <c r="C2972" t="inlineStr">
        <is>
          <t>Föryngringsavverkning</t>
        </is>
      </c>
      <c r="D2972" s="1" t="n">
        <v>45160</v>
      </c>
      <c r="E2972" s="1" t="n">
        <v>46313</v>
      </c>
      <c r="F2972" t="inlineStr">
        <is>
          <t>SÖDERMANLANDS LÄN</t>
        </is>
      </c>
      <c r="G2972" t="inlineStr">
        <is>
          <t>NYKÖPING</t>
        </is>
      </c>
      <c r="H2972" t="inlineStr">
        <is>
          <t>Kommuner</t>
        </is>
      </c>
      <c r="I2972" t="n">
        <v>1.3</v>
      </c>
      <c r="J2972" t="n">
        <v>0</v>
      </c>
      <c r="K2972" t="n">
        <v>0</v>
      </c>
      <c r="L2972" t="n">
        <v>0</v>
      </c>
      <c r="M2972" t="n">
        <v>0</v>
      </c>
      <c r="N2972" t="n">
        <v>0</v>
      </c>
      <c r="O2972" t="n">
        <v>0</v>
      </c>
      <c r="P2972" t="n">
        <v>0</v>
      </c>
      <c r="Q2972" t="n">
        <v>0</v>
      </c>
      <c r="R2972" t="n">
        <v>0</v>
      </c>
      <c r="S2972" t="n">
        <v>0</v>
      </c>
      <c r="T2972" t="n">
        <v>0</v>
      </c>
      <c r="U2972" t="n">
        <v>0</v>
      </c>
      <c r="V2972" s="2" t="inlineStr"/>
    </row>
    <row r="2973" ht="15" customHeight="1">
      <c r="A2973" t="inlineStr">
        <is>
          <t>A 23207-2023</t>
        </is>
      </c>
      <c r="B2973" t="inlineStr">
        <is>
          <t>avverkningsanmälan</t>
        </is>
      </c>
      <c r="C2973" t="inlineStr">
        <is>
          <t>Föryngringsavverkning</t>
        </is>
      </c>
      <c r="D2973" s="1" t="n">
        <v>45071</v>
      </c>
      <c r="E2973" s="1" t="n">
        <v>46313</v>
      </c>
      <c r="F2973" t="inlineStr">
        <is>
          <t>SÖDERMANLANDS LÄN</t>
        </is>
      </c>
      <c r="G2973" t="inlineStr">
        <is>
          <t>KATRINEHOLM</t>
        </is>
      </c>
      <c r="I2973" t="n">
        <v>0.6</v>
      </c>
      <c r="J2973" t="n">
        <v>0</v>
      </c>
      <c r="K2973" t="n">
        <v>0</v>
      </c>
      <c r="L2973" t="n">
        <v>0</v>
      </c>
      <c r="M2973" t="n">
        <v>0</v>
      </c>
      <c r="N2973" t="n">
        <v>0</v>
      </c>
      <c r="O2973" t="n">
        <v>0</v>
      </c>
      <c r="P2973" t="n">
        <v>0</v>
      </c>
      <c r="Q2973" t="n">
        <v>0</v>
      </c>
      <c r="R2973" t="n">
        <v>0</v>
      </c>
      <c r="S2973" t="n">
        <v>0</v>
      </c>
      <c r="T2973" t="n">
        <v>0</v>
      </c>
      <c r="U2973" t="n">
        <v>0</v>
      </c>
      <c r="V2973" s="2" t="inlineStr"/>
    </row>
    <row r="2974" ht="15" customHeight="1">
      <c r="A2974" t="inlineStr">
        <is>
          <t>A 4479-2025</t>
        </is>
      </c>
      <c r="B2974" t="inlineStr">
        <is>
          <t>avverkningsanmälan</t>
        </is>
      </c>
      <c r="C2974" t="inlineStr">
        <is>
          <t>Föryngringsavverkning</t>
        </is>
      </c>
      <c r="D2974" s="1" t="n">
        <v>45686</v>
      </c>
      <c r="E2974" s="1" t="n">
        <v>46313</v>
      </c>
      <c r="F2974" t="inlineStr">
        <is>
          <t>SÖDERMANLANDS LÄN</t>
        </is>
      </c>
      <c r="G2974" t="inlineStr">
        <is>
          <t>NYKÖPING</t>
        </is>
      </c>
      <c r="I2974" t="n">
        <v>0.7</v>
      </c>
      <c r="J2974" t="n">
        <v>0</v>
      </c>
      <c r="K2974" t="n">
        <v>0</v>
      </c>
      <c r="L2974" t="n">
        <v>0</v>
      </c>
      <c r="M2974" t="n">
        <v>0</v>
      </c>
      <c r="N2974" t="n">
        <v>0</v>
      </c>
      <c r="O2974" t="n">
        <v>0</v>
      </c>
      <c r="P2974" t="n">
        <v>0</v>
      </c>
      <c r="Q2974" t="n">
        <v>0</v>
      </c>
      <c r="R2974" t="n">
        <v>0</v>
      </c>
      <c r="S2974" t="n">
        <v>0</v>
      </c>
      <c r="T2974" t="n">
        <v>0</v>
      </c>
      <c r="U2974" t="n">
        <v>0</v>
      </c>
      <c r="V2974" s="2" t="inlineStr"/>
    </row>
    <row r="2975" ht="15" customHeight="1">
      <c r="A2975" t="inlineStr">
        <is>
          <t>A 68022-2021</t>
        </is>
      </c>
      <c r="B2975" t="inlineStr">
        <is>
          <t>avverkningsanmälan</t>
        </is>
      </c>
      <c r="C2975" t="inlineStr">
        <is>
          <t>Föryngringsavverkning</t>
        </is>
      </c>
      <c r="D2975" s="1" t="n">
        <v>44525</v>
      </c>
      <c r="E2975" s="1" t="n">
        <v>46313</v>
      </c>
      <c r="F2975" t="inlineStr">
        <is>
          <t>SÖDERMANLANDS LÄN</t>
        </is>
      </c>
      <c r="G2975" t="inlineStr">
        <is>
          <t>ESKILSTUNA</t>
        </is>
      </c>
      <c r="I2975" t="n">
        <v>0.6</v>
      </c>
      <c r="J2975" t="n">
        <v>0</v>
      </c>
      <c r="K2975" t="n">
        <v>0</v>
      </c>
      <c r="L2975" t="n">
        <v>0</v>
      </c>
      <c r="M2975" t="n">
        <v>0</v>
      </c>
      <c r="N2975" t="n">
        <v>0</v>
      </c>
      <c r="O2975" t="n">
        <v>0</v>
      </c>
      <c r="P2975" t="n">
        <v>0</v>
      </c>
      <c r="Q2975" t="n">
        <v>0</v>
      </c>
      <c r="R2975" t="n">
        <v>0</v>
      </c>
      <c r="S2975" t="n">
        <v>0</v>
      </c>
      <c r="T2975" t="n">
        <v>0</v>
      </c>
      <c r="U2975" t="n">
        <v>0</v>
      </c>
      <c r="V2975" s="2" t="inlineStr"/>
    </row>
    <row r="2976" ht="15" customHeight="1">
      <c r="A2976" t="inlineStr">
        <is>
          <t>A 34123-2026</t>
        </is>
      </c>
      <c r="B2976" t="inlineStr">
        <is>
          <t>avverkningsanmälan</t>
        </is>
      </c>
      <c r="C2976" t="inlineStr">
        <is>
          <t>Föryngringsavverkning</t>
        </is>
      </c>
      <c r="D2976" s="1" t="n">
        <v>46253</v>
      </c>
      <c r="E2976" s="1" t="n">
        <v>46313</v>
      </c>
      <c r="F2976" t="inlineStr">
        <is>
          <t>SÖDERMANLANDS LÄN</t>
        </is>
      </c>
      <c r="G2976" t="inlineStr">
        <is>
          <t>KATRINEHOLM</t>
        </is>
      </c>
      <c r="I2976" t="n">
        <v>1.5</v>
      </c>
      <c r="J2976" t="n">
        <v>0</v>
      </c>
      <c r="K2976" t="n">
        <v>0</v>
      </c>
      <c r="L2976" t="n">
        <v>0</v>
      </c>
      <c r="M2976" t="n">
        <v>0</v>
      </c>
      <c r="N2976" t="n">
        <v>0</v>
      </c>
      <c r="O2976" t="n">
        <v>0</v>
      </c>
      <c r="P2976" t="n">
        <v>0</v>
      </c>
      <c r="Q2976" t="n">
        <v>0</v>
      </c>
      <c r="R2976" t="n">
        <v>0</v>
      </c>
      <c r="S2976" t="n">
        <v>0</v>
      </c>
      <c r="T2976" t="n">
        <v>0</v>
      </c>
      <c r="U2976" t="n">
        <v>0</v>
      </c>
      <c r="V2976" s="2" t="inlineStr"/>
    </row>
    <row r="2977" ht="15" customHeight="1">
      <c r="A2977" t="inlineStr">
        <is>
          <t>A 61170-2021</t>
        </is>
      </c>
      <c r="B2977" t="inlineStr">
        <is>
          <t>avverkningsanmälan</t>
        </is>
      </c>
      <c r="C2977" t="inlineStr">
        <is>
          <t>Föryngringsavverkning</t>
        </is>
      </c>
      <c r="D2977" s="1" t="n">
        <v>44497</v>
      </c>
      <c r="E2977" s="1" t="n">
        <v>46313</v>
      </c>
      <c r="F2977" t="inlineStr">
        <is>
          <t>SÖDERMANLANDS LÄN</t>
        </is>
      </c>
      <c r="G2977" t="inlineStr">
        <is>
          <t>ESKILSTUNA</t>
        </is>
      </c>
      <c r="I2977" t="n">
        <v>7.3</v>
      </c>
      <c r="J2977" t="n">
        <v>0</v>
      </c>
      <c r="K2977" t="n">
        <v>0</v>
      </c>
      <c r="L2977" t="n">
        <v>0</v>
      </c>
      <c r="M2977" t="n">
        <v>0</v>
      </c>
      <c r="N2977" t="n">
        <v>0</v>
      </c>
      <c r="O2977" t="n">
        <v>0</v>
      </c>
      <c r="P2977" t="n">
        <v>0</v>
      </c>
      <c r="Q2977" t="n">
        <v>0</v>
      </c>
      <c r="R2977" t="n">
        <v>0</v>
      </c>
      <c r="S2977" t="n">
        <v>0</v>
      </c>
      <c r="T2977" t="n">
        <v>0</v>
      </c>
      <c r="U2977" t="n">
        <v>0</v>
      </c>
      <c r="V2977" s="2" t="inlineStr"/>
    </row>
    <row r="2978" ht="15" customHeight="1">
      <c r="A2978" t="inlineStr">
        <is>
          <t>A 50358-2023</t>
        </is>
      </c>
      <c r="B2978" t="inlineStr">
        <is>
          <t>avverkningsanmälan</t>
        </is>
      </c>
      <c r="C2978" t="inlineStr">
        <is>
          <t>Föryngringsavverkning</t>
        </is>
      </c>
      <c r="D2978" s="1" t="n">
        <v>45216</v>
      </c>
      <c r="E2978" s="1" t="n">
        <v>46313</v>
      </c>
      <c r="F2978" t="inlineStr">
        <is>
          <t>SÖDERMANLANDS LÄN</t>
        </is>
      </c>
      <c r="G2978" t="inlineStr">
        <is>
          <t>FLEN</t>
        </is>
      </c>
      <c r="H2978" t="inlineStr">
        <is>
          <t>Holmen skog AB</t>
        </is>
      </c>
      <c r="I2978" t="n">
        <v>0.6</v>
      </c>
      <c r="J2978" t="n">
        <v>0</v>
      </c>
      <c r="K2978" t="n">
        <v>0</v>
      </c>
      <c r="L2978" t="n">
        <v>0</v>
      </c>
      <c r="M2978" t="n">
        <v>0</v>
      </c>
      <c r="N2978" t="n">
        <v>0</v>
      </c>
      <c r="O2978" t="n">
        <v>0</v>
      </c>
      <c r="P2978" t="n">
        <v>0</v>
      </c>
      <c r="Q2978" t="n">
        <v>0</v>
      </c>
      <c r="R2978" t="n">
        <v>0</v>
      </c>
      <c r="S2978" t="n">
        <v>0</v>
      </c>
      <c r="T2978" t="n">
        <v>0</v>
      </c>
      <c r="U2978" t="n">
        <v>0</v>
      </c>
      <c r="V2978" s="2" t="inlineStr"/>
    </row>
    <row r="2979" ht="15" customHeight="1">
      <c r="A2979" t="inlineStr">
        <is>
          <t>A 33727-2026</t>
        </is>
      </c>
      <c r="B2979" t="inlineStr">
        <is>
          <t>avverkningsanmälan</t>
        </is>
      </c>
      <c r="C2979" t="inlineStr">
        <is>
          <t>Föryngringsavverkning</t>
        </is>
      </c>
      <c r="D2979" s="1" t="n">
        <v>46251</v>
      </c>
      <c r="E2979" s="1" t="n">
        <v>46313</v>
      </c>
      <c r="F2979" t="inlineStr">
        <is>
          <t>SÖDERMANLANDS LÄN</t>
        </is>
      </c>
      <c r="G2979" t="inlineStr">
        <is>
          <t>FLEN</t>
        </is>
      </c>
      <c r="H2979" t="inlineStr">
        <is>
          <t>Holmen skog AB</t>
        </is>
      </c>
      <c r="I2979" t="n">
        <v>2.5</v>
      </c>
      <c r="J2979" t="n">
        <v>0</v>
      </c>
      <c r="K2979" t="n">
        <v>0</v>
      </c>
      <c r="L2979" t="n">
        <v>0</v>
      </c>
      <c r="M2979" t="n">
        <v>0</v>
      </c>
      <c r="N2979" t="n">
        <v>0</v>
      </c>
      <c r="O2979" t="n">
        <v>0</v>
      </c>
      <c r="P2979" t="n">
        <v>0</v>
      </c>
      <c r="Q2979" t="n">
        <v>0</v>
      </c>
      <c r="R2979" t="n">
        <v>0</v>
      </c>
      <c r="S2979" t="n">
        <v>0</v>
      </c>
      <c r="T2979" t="n">
        <v>0</v>
      </c>
      <c r="U2979" t="n">
        <v>0</v>
      </c>
      <c r="V2979" s="2" t="inlineStr"/>
    </row>
    <row r="2980" ht="15" customHeight="1">
      <c r="A2980" t="inlineStr">
        <is>
          <t>A 5928-2023</t>
        </is>
      </c>
      <c r="B2980" t="inlineStr">
        <is>
          <t>avverkningsanmälan</t>
        </is>
      </c>
      <c r="C2980" t="inlineStr">
        <is>
          <t>Föryngringsavverkning</t>
        </is>
      </c>
      <c r="D2980" s="1" t="n">
        <v>44963</v>
      </c>
      <c r="E2980" s="1" t="n">
        <v>46313</v>
      </c>
      <c r="F2980" t="inlineStr">
        <is>
          <t>SÖDERMANLANDS LÄN</t>
        </is>
      </c>
      <c r="G2980" t="inlineStr">
        <is>
          <t>GNESTA</t>
        </is>
      </c>
      <c r="I2980" t="n">
        <v>1.2</v>
      </c>
      <c r="J2980" t="n">
        <v>0</v>
      </c>
      <c r="K2980" t="n">
        <v>0</v>
      </c>
      <c r="L2980" t="n">
        <v>0</v>
      </c>
      <c r="M2980" t="n">
        <v>0</v>
      </c>
      <c r="N2980" t="n">
        <v>0</v>
      </c>
      <c r="O2980" t="n">
        <v>0</v>
      </c>
      <c r="P2980" t="n">
        <v>0</v>
      </c>
      <c r="Q2980" t="n">
        <v>0</v>
      </c>
      <c r="R2980" t="n">
        <v>0</v>
      </c>
      <c r="S2980" t="n">
        <v>0</v>
      </c>
      <c r="T2980" t="n">
        <v>0</v>
      </c>
      <c r="U2980" t="n">
        <v>0</v>
      </c>
      <c r="V2980" s="2" t="inlineStr"/>
    </row>
    <row r="2981" ht="15" customHeight="1">
      <c r="A2981" t="inlineStr">
        <is>
          <t>A 5935-2023</t>
        </is>
      </c>
      <c r="B2981" t="inlineStr">
        <is>
          <t>avverkningsanmälan</t>
        </is>
      </c>
      <c r="C2981" t="inlineStr">
        <is>
          <t>Föryngringsavverkning</t>
        </is>
      </c>
      <c r="D2981" s="1" t="n">
        <v>44963</v>
      </c>
      <c r="E2981" s="1" t="n">
        <v>46313</v>
      </c>
      <c r="F2981" t="inlineStr">
        <is>
          <t>SÖDERMANLANDS LÄN</t>
        </is>
      </c>
      <c r="G2981" t="inlineStr">
        <is>
          <t>KATRINEHOLM</t>
        </is>
      </c>
      <c r="I2981" t="n">
        <v>1.5</v>
      </c>
      <c r="J2981" t="n">
        <v>0</v>
      </c>
      <c r="K2981" t="n">
        <v>0</v>
      </c>
      <c r="L2981" t="n">
        <v>0</v>
      </c>
      <c r="M2981" t="n">
        <v>0</v>
      </c>
      <c r="N2981" t="n">
        <v>0</v>
      </c>
      <c r="O2981" t="n">
        <v>0</v>
      </c>
      <c r="P2981" t="n">
        <v>0</v>
      </c>
      <c r="Q2981" t="n">
        <v>0</v>
      </c>
      <c r="R2981" t="n">
        <v>0</v>
      </c>
      <c r="S2981" t="n">
        <v>0</v>
      </c>
      <c r="T2981" t="n">
        <v>0</v>
      </c>
      <c r="U2981" t="n">
        <v>0</v>
      </c>
      <c r="V2981" s="2" t="inlineStr"/>
    </row>
    <row r="2982" ht="15" customHeight="1">
      <c r="A2982" t="inlineStr">
        <is>
          <t>A 11554-2025</t>
        </is>
      </c>
      <c r="B2982" t="inlineStr">
        <is>
          <t>avverkningsanmälan</t>
        </is>
      </c>
      <c r="C2982" t="inlineStr">
        <is>
          <t>Föryngringsavverkning</t>
        </is>
      </c>
      <c r="D2982" s="1" t="n">
        <v>45727</v>
      </c>
      <c r="E2982" s="1" t="n">
        <v>46313</v>
      </c>
      <c r="F2982" t="inlineStr">
        <is>
          <t>SÖDERMANLANDS LÄN</t>
        </is>
      </c>
      <c r="G2982" t="inlineStr">
        <is>
          <t>NYKÖPING</t>
        </is>
      </c>
      <c r="I2982" t="n">
        <v>2.5</v>
      </c>
      <c r="J2982" t="n">
        <v>0</v>
      </c>
      <c r="K2982" t="n">
        <v>0</v>
      </c>
      <c r="L2982" t="n">
        <v>0</v>
      </c>
      <c r="M2982" t="n">
        <v>0</v>
      </c>
      <c r="N2982" t="n">
        <v>0</v>
      </c>
      <c r="O2982" t="n">
        <v>0</v>
      </c>
      <c r="P2982" t="n">
        <v>0</v>
      </c>
      <c r="Q2982" t="n">
        <v>0</v>
      </c>
      <c r="R2982" t="n">
        <v>0</v>
      </c>
      <c r="S2982" t="n">
        <v>0</v>
      </c>
      <c r="T2982" t="n">
        <v>0</v>
      </c>
      <c r="U2982" t="n">
        <v>0</v>
      </c>
      <c r="V2982" s="2" t="inlineStr"/>
    </row>
    <row r="2983" ht="15" customHeight="1">
      <c r="A2983" t="inlineStr">
        <is>
          <t>A 11104-2023</t>
        </is>
      </c>
      <c r="B2983" t="inlineStr">
        <is>
          <t>avverkningsanmälan</t>
        </is>
      </c>
      <c r="C2983" t="inlineStr">
        <is>
          <t>Föryngringsavverkning</t>
        </is>
      </c>
      <c r="D2983" s="1" t="n">
        <v>44992</v>
      </c>
      <c r="E2983" s="1" t="n">
        <v>46313</v>
      </c>
      <c r="F2983" t="inlineStr">
        <is>
          <t>SÖDERMANLANDS LÄN</t>
        </is>
      </c>
      <c r="G2983" t="inlineStr">
        <is>
          <t>KATRINEHOLM</t>
        </is>
      </c>
      <c r="H2983" t="inlineStr">
        <is>
          <t>Allmännings- och besparingsskogar</t>
        </is>
      </c>
      <c r="I2983" t="n">
        <v>7.8</v>
      </c>
      <c r="J2983" t="n">
        <v>0</v>
      </c>
      <c r="K2983" t="n">
        <v>0</v>
      </c>
      <c r="L2983" t="n">
        <v>0</v>
      </c>
      <c r="M2983" t="n">
        <v>0</v>
      </c>
      <c r="N2983" t="n">
        <v>0</v>
      </c>
      <c r="O2983" t="n">
        <v>0</v>
      </c>
      <c r="P2983" t="n">
        <v>0</v>
      </c>
      <c r="Q2983" t="n">
        <v>0</v>
      </c>
      <c r="R2983" t="n">
        <v>0</v>
      </c>
      <c r="S2983" t="n">
        <v>0</v>
      </c>
      <c r="T2983" t="n">
        <v>0</v>
      </c>
      <c r="U2983" t="n">
        <v>0</v>
      </c>
      <c r="V2983" s="2" t="inlineStr"/>
    </row>
    <row r="2984" ht="15" customHeight="1">
      <c r="A2984" t="inlineStr">
        <is>
          <t>A 10287-2024</t>
        </is>
      </c>
      <c r="B2984" t="inlineStr">
        <is>
          <t>avverkningsanmälan</t>
        </is>
      </c>
      <c r="C2984" t="inlineStr">
        <is>
          <t>Föryngringsavverkning</t>
        </is>
      </c>
      <c r="D2984" s="1" t="n">
        <v>45365</v>
      </c>
      <c r="E2984" s="1" t="n">
        <v>46313</v>
      </c>
      <c r="F2984" t="inlineStr">
        <is>
          <t>SÖDERMANLANDS LÄN</t>
        </is>
      </c>
      <c r="G2984" t="inlineStr">
        <is>
          <t>NYKÖPING</t>
        </is>
      </c>
      <c r="I2984" t="n">
        <v>1.4</v>
      </c>
      <c r="J2984" t="n">
        <v>0</v>
      </c>
      <c r="K2984" t="n">
        <v>0</v>
      </c>
      <c r="L2984" t="n">
        <v>0</v>
      </c>
      <c r="M2984" t="n">
        <v>0</v>
      </c>
      <c r="N2984" t="n">
        <v>0</v>
      </c>
      <c r="O2984" t="n">
        <v>0</v>
      </c>
      <c r="P2984" t="n">
        <v>0</v>
      </c>
      <c r="Q2984" t="n">
        <v>0</v>
      </c>
      <c r="R2984" t="n">
        <v>0</v>
      </c>
      <c r="S2984" t="n">
        <v>0</v>
      </c>
      <c r="T2984" t="n">
        <v>0</v>
      </c>
      <c r="U2984" t="n">
        <v>0</v>
      </c>
      <c r="V2984" s="2" t="inlineStr"/>
    </row>
    <row r="2985" ht="15" customHeight="1">
      <c r="A2985" t="inlineStr">
        <is>
          <t>A 34325-2026</t>
        </is>
      </c>
      <c r="B2985" t="inlineStr">
        <is>
          <t>avverkningsanmälan</t>
        </is>
      </c>
      <c r="C2985" t="inlineStr">
        <is>
          <t>Föryngringsavverkning</t>
        </is>
      </c>
      <c r="D2985" s="1" t="n">
        <v>46253</v>
      </c>
      <c r="E2985" s="1" t="n">
        <v>46313</v>
      </c>
      <c r="F2985" t="inlineStr">
        <is>
          <t>SÖDERMANLANDS LÄN</t>
        </is>
      </c>
      <c r="G2985" t="inlineStr">
        <is>
          <t>FLEN</t>
        </is>
      </c>
      <c r="I2985" t="n">
        <v>0.5</v>
      </c>
      <c r="J2985" t="n">
        <v>0</v>
      </c>
      <c r="K2985" t="n">
        <v>0</v>
      </c>
      <c r="L2985" t="n">
        <v>0</v>
      </c>
      <c r="M2985" t="n">
        <v>0</v>
      </c>
      <c r="N2985" t="n">
        <v>0</v>
      </c>
      <c r="O2985" t="n">
        <v>0</v>
      </c>
      <c r="P2985" t="n">
        <v>0</v>
      </c>
      <c r="Q2985" t="n">
        <v>0</v>
      </c>
      <c r="R2985" t="n">
        <v>0</v>
      </c>
      <c r="S2985" t="n">
        <v>0</v>
      </c>
      <c r="T2985" t="n">
        <v>0</v>
      </c>
      <c r="U2985" t="n">
        <v>0</v>
      </c>
      <c r="V2985" s="2" t="inlineStr"/>
    </row>
    <row r="2986" ht="15" customHeight="1">
      <c r="A2986" t="inlineStr">
        <is>
          <t>A 40159-2023</t>
        </is>
      </c>
      <c r="B2986" t="inlineStr">
        <is>
          <t>avverkningsanmälan</t>
        </is>
      </c>
      <c r="C2986" t="inlineStr">
        <is>
          <t>Föryngringsavverkning</t>
        </is>
      </c>
      <c r="D2986" s="1" t="n">
        <v>45169</v>
      </c>
      <c r="E2986" s="1" t="n">
        <v>46313</v>
      </c>
      <c r="F2986" t="inlineStr">
        <is>
          <t>SÖDERMANLANDS LÄN</t>
        </is>
      </c>
      <c r="G2986" t="inlineStr">
        <is>
          <t>KATRINEHOLM</t>
        </is>
      </c>
      <c r="H2986" t="inlineStr">
        <is>
          <t>Övriga Aktiebolag</t>
        </is>
      </c>
      <c r="I2986" t="n">
        <v>1.1</v>
      </c>
      <c r="J2986" t="n">
        <v>0</v>
      </c>
      <c r="K2986" t="n">
        <v>0</v>
      </c>
      <c r="L2986" t="n">
        <v>0</v>
      </c>
      <c r="M2986" t="n">
        <v>0</v>
      </c>
      <c r="N2986" t="n">
        <v>0</v>
      </c>
      <c r="O2986" t="n">
        <v>0</v>
      </c>
      <c r="P2986" t="n">
        <v>0</v>
      </c>
      <c r="Q2986" t="n">
        <v>0</v>
      </c>
      <c r="R2986" t="n">
        <v>0</v>
      </c>
      <c r="S2986" t="n">
        <v>0</v>
      </c>
      <c r="T2986" t="n">
        <v>0</v>
      </c>
      <c r="U2986" t="n">
        <v>0</v>
      </c>
      <c r="V2986" s="2" t="inlineStr"/>
    </row>
    <row r="2987" ht="15" customHeight="1">
      <c r="A2987" t="inlineStr">
        <is>
          <t>A 36562-2023</t>
        </is>
      </c>
      <c r="B2987" t="inlineStr">
        <is>
          <t>avverkningsanmälan</t>
        </is>
      </c>
      <c r="C2987" t="inlineStr">
        <is>
          <t>Föryngringsavverkning</t>
        </is>
      </c>
      <c r="D2987" s="1" t="n">
        <v>45153</v>
      </c>
      <c r="E2987" s="1" t="n">
        <v>46313</v>
      </c>
      <c r="F2987" t="inlineStr">
        <is>
          <t>SÖDERMANLANDS LÄN</t>
        </is>
      </c>
      <c r="G2987" t="inlineStr">
        <is>
          <t>KATRINEHOLM</t>
        </is>
      </c>
      <c r="I2987" t="n">
        <v>5.8</v>
      </c>
      <c r="J2987" t="n">
        <v>0</v>
      </c>
      <c r="K2987" t="n">
        <v>0</v>
      </c>
      <c r="L2987" t="n">
        <v>0</v>
      </c>
      <c r="M2987" t="n">
        <v>0</v>
      </c>
      <c r="N2987" t="n">
        <v>0</v>
      </c>
      <c r="O2987" t="n">
        <v>0</v>
      </c>
      <c r="P2987" t="n">
        <v>0</v>
      </c>
      <c r="Q2987" t="n">
        <v>0</v>
      </c>
      <c r="R2987" t="n">
        <v>0</v>
      </c>
      <c r="S2987" t="n">
        <v>0</v>
      </c>
      <c r="T2987" t="n">
        <v>0</v>
      </c>
      <c r="U2987" t="n">
        <v>0</v>
      </c>
      <c r="V2987" s="2" t="inlineStr"/>
    </row>
    <row r="2988" ht="15" customHeight="1">
      <c r="A2988" t="inlineStr">
        <is>
          <t>A 4872-2024</t>
        </is>
      </c>
      <c r="B2988" t="inlineStr">
        <is>
          <t>avverkningsanmälan</t>
        </is>
      </c>
      <c r="C2988" t="inlineStr">
        <is>
          <t>Föryngringsavverkning</t>
        </is>
      </c>
      <c r="D2988" s="1" t="n">
        <v>45329</v>
      </c>
      <c r="E2988" s="1" t="n">
        <v>46313</v>
      </c>
      <c r="F2988" t="inlineStr">
        <is>
          <t>SÖDERMANLANDS LÄN</t>
        </is>
      </c>
      <c r="G2988" t="inlineStr">
        <is>
          <t>KATRINEHOLM</t>
        </is>
      </c>
      <c r="I2988" t="n">
        <v>0.5</v>
      </c>
      <c r="J2988" t="n">
        <v>0</v>
      </c>
      <c r="K2988" t="n">
        <v>0</v>
      </c>
      <c r="L2988" t="n">
        <v>0</v>
      </c>
      <c r="M2988" t="n">
        <v>0</v>
      </c>
      <c r="N2988" t="n">
        <v>0</v>
      </c>
      <c r="O2988" t="n">
        <v>0</v>
      </c>
      <c r="P2988" t="n">
        <v>0</v>
      </c>
      <c r="Q2988" t="n">
        <v>0</v>
      </c>
      <c r="R2988" t="n">
        <v>0</v>
      </c>
      <c r="S2988" t="n">
        <v>0</v>
      </c>
      <c r="T2988" t="n">
        <v>0</v>
      </c>
      <c r="U2988" t="n">
        <v>0</v>
      </c>
      <c r="V2988" s="2" t="inlineStr"/>
    </row>
    <row r="2989" ht="15" customHeight="1">
      <c r="A2989" t="inlineStr">
        <is>
          <t>A 42388-2023</t>
        </is>
      </c>
      <c r="B2989" t="inlineStr">
        <is>
          <t>avverkningsanmälan</t>
        </is>
      </c>
      <c r="C2989" t="inlineStr">
        <is>
          <t>Föryngringsavverkning</t>
        </is>
      </c>
      <c r="D2989" s="1" t="n">
        <v>45180</v>
      </c>
      <c r="E2989" s="1" t="n">
        <v>46313</v>
      </c>
      <c r="F2989" t="inlineStr">
        <is>
          <t>SÖDERMANLANDS LÄN</t>
        </is>
      </c>
      <c r="G2989" t="inlineStr">
        <is>
          <t>FLEN</t>
        </is>
      </c>
      <c r="I2989" t="n">
        <v>4.3</v>
      </c>
      <c r="J2989" t="n">
        <v>0</v>
      </c>
      <c r="K2989" t="n">
        <v>0</v>
      </c>
      <c r="L2989" t="n">
        <v>0</v>
      </c>
      <c r="M2989" t="n">
        <v>0</v>
      </c>
      <c r="N2989" t="n">
        <v>0</v>
      </c>
      <c r="O2989" t="n">
        <v>0</v>
      </c>
      <c r="P2989" t="n">
        <v>0</v>
      </c>
      <c r="Q2989" t="n">
        <v>0</v>
      </c>
      <c r="R2989" t="n">
        <v>0</v>
      </c>
      <c r="S2989" t="n">
        <v>0</v>
      </c>
      <c r="T2989" t="n">
        <v>0</v>
      </c>
      <c r="U2989" t="n">
        <v>0</v>
      </c>
      <c r="V2989" s="2" t="inlineStr"/>
    </row>
    <row r="2990" ht="15" customHeight="1">
      <c r="A2990" t="inlineStr">
        <is>
          <t>A 43064-2023</t>
        </is>
      </c>
      <c r="B2990" t="inlineStr">
        <is>
          <t>avverkningsanmälan</t>
        </is>
      </c>
      <c r="C2990" t="inlineStr">
        <is>
          <t>Föryngringsavverkning</t>
        </is>
      </c>
      <c r="D2990" s="1" t="n">
        <v>45182</v>
      </c>
      <c r="E2990" s="1" t="n">
        <v>46313</v>
      </c>
      <c r="F2990" t="inlineStr">
        <is>
          <t>SÖDERMANLANDS LÄN</t>
        </is>
      </c>
      <c r="G2990" t="inlineStr">
        <is>
          <t>ESKILSTUNA</t>
        </is>
      </c>
      <c r="H2990" t="inlineStr">
        <is>
          <t>Allmännings- och besparingsskogar</t>
        </is>
      </c>
      <c r="I2990" t="n">
        <v>1.9</v>
      </c>
      <c r="J2990" t="n">
        <v>0</v>
      </c>
      <c r="K2990" t="n">
        <v>0</v>
      </c>
      <c r="L2990" t="n">
        <v>0</v>
      </c>
      <c r="M2990" t="n">
        <v>0</v>
      </c>
      <c r="N2990" t="n">
        <v>0</v>
      </c>
      <c r="O2990" t="n">
        <v>0</v>
      </c>
      <c r="P2990" t="n">
        <v>0</v>
      </c>
      <c r="Q2990" t="n">
        <v>0</v>
      </c>
      <c r="R2990" t="n">
        <v>0</v>
      </c>
      <c r="S2990" t="n">
        <v>0</v>
      </c>
      <c r="T2990" t="n">
        <v>0</v>
      </c>
      <c r="U2990" t="n">
        <v>0</v>
      </c>
      <c r="V2990" s="2" t="inlineStr"/>
    </row>
    <row r="2991" ht="15" customHeight="1">
      <c r="A2991" t="inlineStr">
        <is>
          <t>A 43076-2023</t>
        </is>
      </c>
      <c r="B2991" t="inlineStr">
        <is>
          <t>avverkningsanmälan</t>
        </is>
      </c>
      <c r="C2991" t="inlineStr">
        <is>
          <t>Föryngringsavverkning</t>
        </is>
      </c>
      <c r="D2991" s="1" t="n">
        <v>45182</v>
      </c>
      <c r="E2991" s="1" t="n">
        <v>46313</v>
      </c>
      <c r="F2991" t="inlineStr">
        <is>
          <t>SÖDERMANLANDS LÄN</t>
        </is>
      </c>
      <c r="G2991" t="inlineStr">
        <is>
          <t>GNESTA</t>
        </is>
      </c>
      <c r="I2991" t="n">
        <v>18.2</v>
      </c>
      <c r="J2991" t="n">
        <v>0</v>
      </c>
      <c r="K2991" t="n">
        <v>0</v>
      </c>
      <c r="L2991" t="n">
        <v>0</v>
      </c>
      <c r="M2991" t="n">
        <v>0</v>
      </c>
      <c r="N2991" t="n">
        <v>0</v>
      </c>
      <c r="O2991" t="n">
        <v>0</v>
      </c>
      <c r="P2991" t="n">
        <v>0</v>
      </c>
      <c r="Q2991" t="n">
        <v>0</v>
      </c>
      <c r="R2991" t="n">
        <v>0</v>
      </c>
      <c r="S2991" t="n">
        <v>0</v>
      </c>
      <c r="T2991" t="n">
        <v>0</v>
      </c>
      <c r="U2991" t="n">
        <v>0</v>
      </c>
      <c r="V2991" s="2" t="inlineStr"/>
    </row>
    <row r="2992" ht="15" customHeight="1">
      <c r="A2992" t="inlineStr">
        <is>
          <t>A 33730-2026</t>
        </is>
      </c>
      <c r="B2992" t="inlineStr">
        <is>
          <t>avverkningsanmälan</t>
        </is>
      </c>
      <c r="C2992" t="inlineStr">
        <is>
          <t>Föryngringsavverkning</t>
        </is>
      </c>
      <c r="D2992" s="1" t="n">
        <v>46251</v>
      </c>
      <c r="E2992" s="1" t="n">
        <v>46313</v>
      </c>
      <c r="F2992" t="inlineStr">
        <is>
          <t>SÖDERMANLANDS LÄN</t>
        </is>
      </c>
      <c r="G2992" t="inlineStr">
        <is>
          <t>FLEN</t>
        </is>
      </c>
      <c r="H2992" t="inlineStr">
        <is>
          <t>Holmen skog AB</t>
        </is>
      </c>
      <c r="I2992" t="n">
        <v>5.1</v>
      </c>
      <c r="J2992" t="n">
        <v>0</v>
      </c>
      <c r="K2992" t="n">
        <v>0</v>
      </c>
      <c r="L2992" t="n">
        <v>0</v>
      </c>
      <c r="M2992" t="n">
        <v>0</v>
      </c>
      <c r="N2992" t="n">
        <v>0</v>
      </c>
      <c r="O2992" t="n">
        <v>0</v>
      </c>
      <c r="P2992" t="n">
        <v>0</v>
      </c>
      <c r="Q2992" t="n">
        <v>0</v>
      </c>
      <c r="R2992" t="n">
        <v>0</v>
      </c>
      <c r="S2992" t="n">
        <v>0</v>
      </c>
      <c r="T2992" t="n">
        <v>0</v>
      </c>
      <c r="U2992" t="n">
        <v>0</v>
      </c>
      <c r="V2992" s="2" t="inlineStr"/>
    </row>
    <row r="2993" ht="15" customHeight="1">
      <c r="A2993" t="inlineStr">
        <is>
          <t>A 33717-2026</t>
        </is>
      </c>
      <c r="B2993" t="inlineStr">
        <is>
          <t>avverkningsanmälan</t>
        </is>
      </c>
      <c r="C2993" t="inlineStr">
        <is>
          <t>Föryngringsavverkning</t>
        </is>
      </c>
      <c r="D2993" s="1" t="n">
        <v>46251</v>
      </c>
      <c r="E2993" s="1" t="n">
        <v>46313</v>
      </c>
      <c r="F2993" t="inlineStr">
        <is>
          <t>SÖDERMANLANDS LÄN</t>
        </is>
      </c>
      <c r="G2993" t="inlineStr">
        <is>
          <t>FLEN</t>
        </is>
      </c>
      <c r="H2993" t="inlineStr">
        <is>
          <t>Holmen skog AB</t>
        </is>
      </c>
      <c r="I2993" t="n">
        <v>1.4</v>
      </c>
      <c r="J2993" t="n">
        <v>0</v>
      </c>
      <c r="K2993" t="n">
        <v>0</v>
      </c>
      <c r="L2993" t="n">
        <v>0</v>
      </c>
      <c r="M2993" t="n">
        <v>0</v>
      </c>
      <c r="N2993" t="n">
        <v>0</v>
      </c>
      <c r="O2993" t="n">
        <v>0</v>
      </c>
      <c r="P2993" t="n">
        <v>0</v>
      </c>
      <c r="Q2993" t="n">
        <v>0</v>
      </c>
      <c r="R2993" t="n">
        <v>0</v>
      </c>
      <c r="S2993" t="n">
        <v>0</v>
      </c>
      <c r="T2993" t="n">
        <v>0</v>
      </c>
      <c r="U2993" t="n">
        <v>0</v>
      </c>
      <c r="V2993" s="2" t="inlineStr"/>
    </row>
    <row r="2994" ht="15" customHeight="1">
      <c r="A2994" t="inlineStr">
        <is>
          <t>A 6611-2023</t>
        </is>
      </c>
      <c r="B2994" t="inlineStr">
        <is>
          <t>avverkningsanmälan</t>
        </is>
      </c>
      <c r="C2994" t="inlineStr">
        <is>
          <t>Föryngringsavverkning</t>
        </is>
      </c>
      <c r="D2994" s="1" t="n">
        <v>44963</v>
      </c>
      <c r="E2994" s="1" t="n">
        <v>46313</v>
      </c>
      <c r="F2994" t="inlineStr">
        <is>
          <t>SÖDERMANLANDS LÄN</t>
        </is>
      </c>
      <c r="G2994" t="inlineStr">
        <is>
          <t>KATRINEHOLM</t>
        </is>
      </c>
      <c r="I2994" t="n">
        <v>9.800000000000001</v>
      </c>
      <c r="J2994" t="n">
        <v>0</v>
      </c>
      <c r="K2994" t="n">
        <v>0</v>
      </c>
      <c r="L2994" t="n">
        <v>0</v>
      </c>
      <c r="M2994" t="n">
        <v>0</v>
      </c>
      <c r="N2994" t="n">
        <v>0</v>
      </c>
      <c r="O2994" t="n">
        <v>0</v>
      </c>
      <c r="P2994" t="n">
        <v>0</v>
      </c>
      <c r="Q2994" t="n">
        <v>0</v>
      </c>
      <c r="R2994" t="n">
        <v>0</v>
      </c>
      <c r="S2994" t="n">
        <v>0</v>
      </c>
      <c r="T2994" t="n">
        <v>0</v>
      </c>
      <c r="U2994" t="n">
        <v>0</v>
      </c>
      <c r="V2994" s="2" t="inlineStr"/>
    </row>
    <row r="2995" ht="15" customHeight="1">
      <c r="A2995" t="inlineStr">
        <is>
          <t>A 25823-2023</t>
        </is>
      </c>
      <c r="B2995" t="inlineStr">
        <is>
          <t>avverkningsanmälan</t>
        </is>
      </c>
      <c r="C2995" t="inlineStr">
        <is>
          <t>Föryngringsavverkning</t>
        </is>
      </c>
      <c r="D2995" s="1" t="n">
        <v>45090</v>
      </c>
      <c r="E2995" s="1" t="n">
        <v>46313</v>
      </c>
      <c r="F2995" t="inlineStr">
        <is>
          <t>SÖDERMANLANDS LÄN</t>
        </is>
      </c>
      <c r="G2995" t="inlineStr">
        <is>
          <t>KATRINEHOLM</t>
        </is>
      </c>
      <c r="H2995" t="inlineStr">
        <is>
          <t>Kyrkan</t>
        </is>
      </c>
      <c r="I2995" t="n">
        <v>10.2</v>
      </c>
      <c r="J2995" t="n">
        <v>0</v>
      </c>
      <c r="K2995" t="n">
        <v>0</v>
      </c>
      <c r="L2995" t="n">
        <v>0</v>
      </c>
      <c r="M2995" t="n">
        <v>0</v>
      </c>
      <c r="N2995" t="n">
        <v>0</v>
      </c>
      <c r="O2995" t="n">
        <v>0</v>
      </c>
      <c r="P2995" t="n">
        <v>0</v>
      </c>
      <c r="Q2995" t="n">
        <v>0</v>
      </c>
      <c r="R2995" t="n">
        <v>0</v>
      </c>
      <c r="S2995" t="n">
        <v>0</v>
      </c>
      <c r="T2995" t="n">
        <v>0</v>
      </c>
      <c r="U2995" t="n">
        <v>0</v>
      </c>
      <c r="V2995" s="2" t="inlineStr"/>
    </row>
    <row r="2996" ht="15" customHeight="1">
      <c r="A2996" t="inlineStr">
        <is>
          <t>A 20480-2022</t>
        </is>
      </c>
      <c r="B2996" t="inlineStr">
        <is>
          <t>avverkningsanmälan</t>
        </is>
      </c>
      <c r="C2996" t="inlineStr">
        <is>
          <t>Föryngringsavverkning</t>
        </is>
      </c>
      <c r="D2996" s="1" t="n">
        <v>44699</v>
      </c>
      <c r="E2996" s="1" t="n">
        <v>46313</v>
      </c>
      <c r="F2996" t="inlineStr">
        <is>
          <t>SÖDERMANLANDS LÄN</t>
        </is>
      </c>
      <c r="G2996" t="inlineStr">
        <is>
          <t>KATRINEHOLM</t>
        </is>
      </c>
      <c r="I2996" t="n">
        <v>0.8</v>
      </c>
      <c r="J2996" t="n">
        <v>0</v>
      </c>
      <c r="K2996" t="n">
        <v>0</v>
      </c>
      <c r="L2996" t="n">
        <v>0</v>
      </c>
      <c r="M2996" t="n">
        <v>0</v>
      </c>
      <c r="N2996" t="n">
        <v>0</v>
      </c>
      <c r="O2996" t="n">
        <v>0</v>
      </c>
      <c r="P2996" t="n">
        <v>0</v>
      </c>
      <c r="Q2996" t="n">
        <v>0</v>
      </c>
      <c r="R2996" t="n">
        <v>0</v>
      </c>
      <c r="S2996" t="n">
        <v>0</v>
      </c>
      <c r="T2996" t="n">
        <v>0</v>
      </c>
      <c r="U2996" t="n">
        <v>0</v>
      </c>
      <c r="V2996" s="2" t="inlineStr"/>
    </row>
    <row r="2997" ht="15" customHeight="1">
      <c r="A2997" t="inlineStr">
        <is>
          <t>A 34429-2023</t>
        </is>
      </c>
      <c r="B2997" t="inlineStr">
        <is>
          <t>avverkningsanmälan</t>
        </is>
      </c>
      <c r="C2997" t="inlineStr">
        <is>
          <t>Föryngringsavverkning</t>
        </is>
      </c>
      <c r="D2997" s="1" t="n">
        <v>45133</v>
      </c>
      <c r="E2997" s="1" t="n">
        <v>46313</v>
      </c>
      <c r="F2997" t="inlineStr">
        <is>
          <t>SÖDERMANLANDS LÄN</t>
        </is>
      </c>
      <c r="G2997" t="inlineStr">
        <is>
          <t>GNESTA</t>
        </is>
      </c>
      <c r="I2997" t="n">
        <v>1.9</v>
      </c>
      <c r="J2997" t="n">
        <v>0</v>
      </c>
      <c r="K2997" t="n">
        <v>0</v>
      </c>
      <c r="L2997" t="n">
        <v>0</v>
      </c>
      <c r="M2997" t="n">
        <v>0</v>
      </c>
      <c r="N2997" t="n">
        <v>0</v>
      </c>
      <c r="O2997" t="n">
        <v>0</v>
      </c>
      <c r="P2997" t="n">
        <v>0</v>
      </c>
      <c r="Q2997" t="n">
        <v>0</v>
      </c>
      <c r="R2997" t="n">
        <v>0</v>
      </c>
      <c r="S2997" t="n">
        <v>0</v>
      </c>
      <c r="T2997" t="n">
        <v>0</v>
      </c>
      <c r="U2997" t="n">
        <v>0</v>
      </c>
      <c r="V2997" s="2" t="inlineStr"/>
    </row>
    <row r="2998" ht="15" customHeight="1">
      <c r="A2998" t="inlineStr">
        <is>
          <t>A 41503-2022</t>
        </is>
      </c>
      <c r="B2998" t="inlineStr">
        <is>
          <t>avverkningsanmälan</t>
        </is>
      </c>
      <c r="C2998" t="inlineStr">
        <is>
          <t>Föryngringsavverkning</t>
        </is>
      </c>
      <c r="D2998" s="1" t="n">
        <v>44827</v>
      </c>
      <c r="E2998" s="1" t="n">
        <v>46313</v>
      </c>
      <c r="F2998" t="inlineStr">
        <is>
          <t>SÖDERMANLANDS LÄN</t>
        </is>
      </c>
      <c r="G2998" t="inlineStr">
        <is>
          <t>STRÄNGNÄS</t>
        </is>
      </c>
      <c r="I2998" t="n">
        <v>0.9</v>
      </c>
      <c r="J2998" t="n">
        <v>0</v>
      </c>
      <c r="K2998" t="n">
        <v>0</v>
      </c>
      <c r="L2998" t="n">
        <v>0</v>
      </c>
      <c r="M2998" t="n">
        <v>0</v>
      </c>
      <c r="N2998" t="n">
        <v>0</v>
      </c>
      <c r="O2998" t="n">
        <v>0</v>
      </c>
      <c r="P2998" t="n">
        <v>0</v>
      </c>
      <c r="Q2998" t="n">
        <v>0</v>
      </c>
      <c r="R2998" t="n">
        <v>0</v>
      </c>
      <c r="S2998" t="n">
        <v>0</v>
      </c>
      <c r="T2998" t="n">
        <v>0</v>
      </c>
      <c r="U2998" t="n">
        <v>0</v>
      </c>
      <c r="V2998" s="2" t="inlineStr"/>
    </row>
    <row r="2999" ht="15" customHeight="1">
      <c r="A2999" t="inlineStr">
        <is>
          <t>A 3060-2022</t>
        </is>
      </c>
      <c r="B2999" t="inlineStr">
        <is>
          <t>avverkningsanmälan</t>
        </is>
      </c>
      <c r="C2999" t="inlineStr">
        <is>
          <t>Föryngringsavverkning</t>
        </is>
      </c>
      <c r="D2999" s="1" t="n">
        <v>44582</v>
      </c>
      <c r="E2999" s="1" t="n">
        <v>46313</v>
      </c>
      <c r="F2999" t="inlineStr">
        <is>
          <t>SÖDERMANLANDS LÄN</t>
        </is>
      </c>
      <c r="G2999" t="inlineStr">
        <is>
          <t>KATRINEHOLM</t>
        </is>
      </c>
      <c r="I2999" t="n">
        <v>1.6</v>
      </c>
      <c r="J2999" t="n">
        <v>0</v>
      </c>
      <c r="K2999" t="n">
        <v>0</v>
      </c>
      <c r="L2999" t="n">
        <v>0</v>
      </c>
      <c r="M2999" t="n">
        <v>0</v>
      </c>
      <c r="N2999" t="n">
        <v>0</v>
      </c>
      <c r="O2999" t="n">
        <v>0</v>
      </c>
      <c r="P2999" t="n">
        <v>0</v>
      </c>
      <c r="Q2999" t="n">
        <v>0</v>
      </c>
      <c r="R2999" t="n">
        <v>0</v>
      </c>
      <c r="S2999" t="n">
        <v>0</v>
      </c>
      <c r="T2999" t="n">
        <v>0</v>
      </c>
      <c r="U2999" t="n">
        <v>0</v>
      </c>
      <c r="V2999" s="2" t="inlineStr"/>
    </row>
    <row r="3000" ht="15" customHeight="1">
      <c r="A3000" t="inlineStr">
        <is>
          <t>A 59690-2023</t>
        </is>
      </c>
      <c r="B3000" t="inlineStr">
        <is>
          <t>avverkningsanmälan</t>
        </is>
      </c>
      <c r="C3000" t="inlineStr">
        <is>
          <t>Föryngringsavverkning</t>
        </is>
      </c>
      <c r="D3000" s="1" t="n">
        <v>45256</v>
      </c>
      <c r="E3000" s="1" t="n">
        <v>46313</v>
      </c>
      <c r="F3000" t="inlineStr">
        <is>
          <t>SÖDERMANLANDS LÄN</t>
        </is>
      </c>
      <c r="G3000" t="inlineStr">
        <is>
          <t>FLEN</t>
        </is>
      </c>
      <c r="I3000" t="n">
        <v>1.5</v>
      </c>
      <c r="J3000" t="n">
        <v>0</v>
      </c>
      <c r="K3000" t="n">
        <v>0</v>
      </c>
      <c r="L3000" t="n">
        <v>0</v>
      </c>
      <c r="M3000" t="n">
        <v>0</v>
      </c>
      <c r="N3000" t="n">
        <v>0</v>
      </c>
      <c r="O3000" t="n">
        <v>0</v>
      </c>
      <c r="P3000" t="n">
        <v>0</v>
      </c>
      <c r="Q3000" t="n">
        <v>0</v>
      </c>
      <c r="R3000" t="n">
        <v>0</v>
      </c>
      <c r="S3000" t="n">
        <v>0</v>
      </c>
      <c r="T3000" t="n">
        <v>0</v>
      </c>
      <c r="U3000" t="n">
        <v>0</v>
      </c>
      <c r="V3000" s="2" t="inlineStr"/>
    </row>
    <row r="3001" ht="15" customHeight="1">
      <c r="A3001" t="inlineStr">
        <is>
          <t>A 7825-2022</t>
        </is>
      </c>
      <c r="B3001" t="inlineStr">
        <is>
          <t>avverkningsanmälan</t>
        </is>
      </c>
      <c r="C3001" t="inlineStr">
        <is>
          <t>Föryngringsavverkning</t>
        </is>
      </c>
      <c r="D3001" s="1" t="n">
        <v>44608</v>
      </c>
      <c r="E3001" s="1" t="n">
        <v>46313</v>
      </c>
      <c r="F3001" t="inlineStr">
        <is>
          <t>SÖDERMANLANDS LÄN</t>
        </is>
      </c>
      <c r="G3001" t="inlineStr">
        <is>
          <t>VINGÅKER</t>
        </is>
      </c>
      <c r="I3001" t="n">
        <v>1.2</v>
      </c>
      <c r="J3001" t="n">
        <v>0</v>
      </c>
      <c r="K3001" t="n">
        <v>0</v>
      </c>
      <c r="L3001" t="n">
        <v>0</v>
      </c>
      <c r="M3001" t="n">
        <v>0</v>
      </c>
      <c r="N3001" t="n">
        <v>0</v>
      </c>
      <c r="O3001" t="n">
        <v>0</v>
      </c>
      <c r="P3001" t="n">
        <v>0</v>
      </c>
      <c r="Q3001" t="n">
        <v>0</v>
      </c>
      <c r="R3001" t="n">
        <v>0</v>
      </c>
      <c r="S3001" t="n">
        <v>0</v>
      </c>
      <c r="T3001" t="n">
        <v>0</v>
      </c>
      <c r="U3001" t="n">
        <v>0</v>
      </c>
      <c r="V3001" s="2" t="inlineStr"/>
    </row>
    <row r="3002" ht="15" customHeight="1">
      <c r="A3002" t="inlineStr">
        <is>
          <t>A 13824-2023</t>
        </is>
      </c>
      <c r="B3002" t="inlineStr">
        <is>
          <t>avverkningsanmälan</t>
        </is>
      </c>
      <c r="C3002" t="inlineStr">
        <is>
          <t>Föryngringsavverkning</t>
        </is>
      </c>
      <c r="D3002" s="1" t="n">
        <v>45007</v>
      </c>
      <c r="E3002" s="1" t="n">
        <v>46313</v>
      </c>
      <c r="F3002" t="inlineStr">
        <is>
          <t>SÖDERMANLANDS LÄN</t>
        </is>
      </c>
      <c r="G3002" t="inlineStr">
        <is>
          <t>FLEN</t>
        </is>
      </c>
      <c r="I3002" t="n">
        <v>0.7</v>
      </c>
      <c r="J3002" t="n">
        <v>0</v>
      </c>
      <c r="K3002" t="n">
        <v>0</v>
      </c>
      <c r="L3002" t="n">
        <v>0</v>
      </c>
      <c r="M3002" t="n">
        <v>0</v>
      </c>
      <c r="N3002" t="n">
        <v>0</v>
      </c>
      <c r="O3002" t="n">
        <v>0</v>
      </c>
      <c r="P3002" t="n">
        <v>0</v>
      </c>
      <c r="Q3002" t="n">
        <v>0</v>
      </c>
      <c r="R3002" t="n">
        <v>0</v>
      </c>
      <c r="S3002" t="n">
        <v>0</v>
      </c>
      <c r="T3002" t="n">
        <v>0</v>
      </c>
      <c r="U3002" t="n">
        <v>0</v>
      </c>
      <c r="V3002" s="2" t="inlineStr"/>
    </row>
    <row r="3003" ht="15" customHeight="1">
      <c r="A3003" t="inlineStr">
        <is>
          <t>A 13829-2023</t>
        </is>
      </c>
      <c r="B3003" t="inlineStr">
        <is>
          <t>avverkningsanmälan</t>
        </is>
      </c>
      <c r="C3003" t="inlineStr">
        <is>
          <t>Föryngringsavverkning</t>
        </is>
      </c>
      <c r="D3003" s="1" t="n">
        <v>45007</v>
      </c>
      <c r="E3003" s="1" t="n">
        <v>46313</v>
      </c>
      <c r="F3003" t="inlineStr">
        <is>
          <t>SÖDERMANLANDS LÄN</t>
        </is>
      </c>
      <c r="G3003" t="inlineStr">
        <is>
          <t>TROSA</t>
        </is>
      </c>
      <c r="H3003" t="inlineStr">
        <is>
          <t>Holmen skog AB</t>
        </is>
      </c>
      <c r="I3003" t="n">
        <v>0.5</v>
      </c>
      <c r="J3003" t="n">
        <v>0</v>
      </c>
      <c r="K3003" t="n">
        <v>0</v>
      </c>
      <c r="L3003" t="n">
        <v>0</v>
      </c>
      <c r="M3003" t="n">
        <v>0</v>
      </c>
      <c r="N3003" t="n">
        <v>0</v>
      </c>
      <c r="O3003" t="n">
        <v>0</v>
      </c>
      <c r="P3003" t="n">
        <v>0</v>
      </c>
      <c r="Q3003" t="n">
        <v>0</v>
      </c>
      <c r="R3003" t="n">
        <v>0</v>
      </c>
      <c r="S3003" t="n">
        <v>0</v>
      </c>
      <c r="T3003" t="n">
        <v>0</v>
      </c>
      <c r="U3003" t="n">
        <v>0</v>
      </c>
      <c r="V3003" s="2" t="inlineStr"/>
    </row>
    <row r="3004" ht="15" customHeight="1">
      <c r="A3004" t="inlineStr">
        <is>
          <t>A 29068-2022</t>
        </is>
      </c>
      <c r="B3004" t="inlineStr">
        <is>
          <t>avverkningsanmälan</t>
        </is>
      </c>
      <c r="C3004" t="inlineStr">
        <is>
          <t>Föryngringsavverkning</t>
        </is>
      </c>
      <c r="D3004" s="1" t="n">
        <v>44749</v>
      </c>
      <c r="E3004" s="1" t="n">
        <v>46313</v>
      </c>
      <c r="F3004" t="inlineStr">
        <is>
          <t>SÖDERMANLANDS LÄN</t>
        </is>
      </c>
      <c r="G3004" t="inlineStr">
        <is>
          <t>ESKILSTUNA</t>
        </is>
      </c>
      <c r="I3004" t="n">
        <v>2</v>
      </c>
      <c r="J3004" t="n">
        <v>0</v>
      </c>
      <c r="K3004" t="n">
        <v>0</v>
      </c>
      <c r="L3004" t="n">
        <v>0</v>
      </c>
      <c r="M3004" t="n">
        <v>0</v>
      </c>
      <c r="N3004" t="n">
        <v>0</v>
      </c>
      <c r="O3004" t="n">
        <v>0</v>
      </c>
      <c r="P3004" t="n">
        <v>0</v>
      </c>
      <c r="Q3004" t="n">
        <v>0</v>
      </c>
      <c r="R3004" t="n">
        <v>0</v>
      </c>
      <c r="S3004" t="n">
        <v>0</v>
      </c>
      <c r="T3004" t="n">
        <v>0</v>
      </c>
      <c r="U3004" t="n">
        <v>0</v>
      </c>
      <c r="V3004" s="2" t="inlineStr"/>
    </row>
    <row r="3005" ht="15" customHeight="1">
      <c r="A3005" t="inlineStr">
        <is>
          <t>A 1638-2024</t>
        </is>
      </c>
      <c r="B3005" t="inlineStr">
        <is>
          <t>avverkningsanmälan</t>
        </is>
      </c>
      <c r="C3005" t="inlineStr">
        <is>
          <t>Föryngringsavverkning</t>
        </is>
      </c>
      <c r="D3005" s="1" t="n">
        <v>45306</v>
      </c>
      <c r="E3005" s="1" t="n">
        <v>46313</v>
      </c>
      <c r="F3005" t="inlineStr">
        <is>
          <t>SÖDERMANLANDS LÄN</t>
        </is>
      </c>
      <c r="G3005" t="inlineStr">
        <is>
          <t>NYKÖPING</t>
        </is>
      </c>
      <c r="H3005" t="inlineStr">
        <is>
          <t>Kommuner</t>
        </is>
      </c>
      <c r="I3005" t="n">
        <v>1.2</v>
      </c>
      <c r="J3005" t="n">
        <v>0</v>
      </c>
      <c r="K3005" t="n">
        <v>0</v>
      </c>
      <c r="L3005" t="n">
        <v>0</v>
      </c>
      <c r="M3005" t="n">
        <v>0</v>
      </c>
      <c r="N3005" t="n">
        <v>0</v>
      </c>
      <c r="O3005" t="n">
        <v>0</v>
      </c>
      <c r="P3005" t="n">
        <v>0</v>
      </c>
      <c r="Q3005" t="n">
        <v>0</v>
      </c>
      <c r="R3005" t="n">
        <v>0</v>
      </c>
      <c r="S3005" t="n">
        <v>0</v>
      </c>
      <c r="T3005" t="n">
        <v>0</v>
      </c>
      <c r="U3005" t="n">
        <v>0</v>
      </c>
      <c r="V3005" s="2" t="inlineStr"/>
    </row>
    <row r="3006" ht="15" customHeight="1">
      <c r="A3006" t="inlineStr">
        <is>
          <t>A 33850-2026</t>
        </is>
      </c>
      <c r="B3006" t="inlineStr">
        <is>
          <t>avverkningsanmälan</t>
        </is>
      </c>
      <c r="C3006" t="inlineStr">
        <is>
          <t>Föryngringsavverkning</t>
        </is>
      </c>
      <c r="D3006" s="1" t="n">
        <v>46251</v>
      </c>
      <c r="E3006" s="1" t="n">
        <v>46313</v>
      </c>
      <c r="F3006" t="inlineStr">
        <is>
          <t>SÖDERMANLANDS LÄN</t>
        </is>
      </c>
      <c r="G3006" t="inlineStr">
        <is>
          <t>KATRINEHOLM</t>
        </is>
      </c>
      <c r="I3006" t="n">
        <v>4.2</v>
      </c>
      <c r="J3006" t="n">
        <v>0</v>
      </c>
      <c r="K3006" t="n">
        <v>0</v>
      </c>
      <c r="L3006" t="n">
        <v>0</v>
      </c>
      <c r="M3006" t="n">
        <v>0</v>
      </c>
      <c r="N3006" t="n">
        <v>0</v>
      </c>
      <c r="O3006" t="n">
        <v>0</v>
      </c>
      <c r="P3006" t="n">
        <v>0</v>
      </c>
      <c r="Q3006" t="n">
        <v>0</v>
      </c>
      <c r="R3006" t="n">
        <v>0</v>
      </c>
      <c r="S3006" t="n">
        <v>0</v>
      </c>
      <c r="T3006" t="n">
        <v>0</v>
      </c>
      <c r="U3006" t="n">
        <v>0</v>
      </c>
      <c r="V3006" s="2" t="inlineStr"/>
    </row>
    <row r="3007" ht="15" customHeight="1">
      <c r="A3007" t="inlineStr">
        <is>
          <t>A 65172-2023</t>
        </is>
      </c>
      <c r="B3007" t="inlineStr">
        <is>
          <t>avverkningsanmälan</t>
        </is>
      </c>
      <c r="C3007" t="inlineStr">
        <is>
          <t>Föryngringsavverkning</t>
        </is>
      </c>
      <c r="D3007" s="1" t="n">
        <v>45288</v>
      </c>
      <c r="E3007" s="1" t="n">
        <v>46313</v>
      </c>
      <c r="F3007" t="inlineStr">
        <is>
          <t>SÖDERMANLANDS LÄN</t>
        </is>
      </c>
      <c r="G3007" t="inlineStr">
        <is>
          <t>NYKÖPING</t>
        </is>
      </c>
      <c r="I3007" t="n">
        <v>4</v>
      </c>
      <c r="J3007" t="n">
        <v>0</v>
      </c>
      <c r="K3007" t="n">
        <v>0</v>
      </c>
      <c r="L3007" t="n">
        <v>0</v>
      </c>
      <c r="M3007" t="n">
        <v>0</v>
      </c>
      <c r="N3007" t="n">
        <v>0</v>
      </c>
      <c r="O3007" t="n">
        <v>0</v>
      </c>
      <c r="P3007" t="n">
        <v>0</v>
      </c>
      <c r="Q3007" t="n">
        <v>0</v>
      </c>
      <c r="R3007" t="n">
        <v>0</v>
      </c>
      <c r="S3007" t="n">
        <v>0</v>
      </c>
      <c r="T3007" t="n">
        <v>0</v>
      </c>
      <c r="U3007" t="n">
        <v>0</v>
      </c>
      <c r="V3007" s="2" t="inlineStr"/>
    </row>
    <row r="3008" ht="15" customHeight="1">
      <c r="A3008" t="inlineStr">
        <is>
          <t>A 34049-2026</t>
        </is>
      </c>
      <c r="B3008" t="inlineStr">
        <is>
          <t>avverkningsanmälan</t>
        </is>
      </c>
      <c r="C3008" t="inlineStr">
        <is>
          <t>Föryngringsavverkning</t>
        </is>
      </c>
      <c r="D3008" s="1" t="n">
        <v>46252</v>
      </c>
      <c r="E3008" s="1" t="n">
        <v>46313</v>
      </c>
      <c r="F3008" t="inlineStr">
        <is>
          <t>SÖDERMANLANDS LÄN</t>
        </is>
      </c>
      <c r="G3008" t="inlineStr">
        <is>
          <t>NYKÖPING</t>
        </is>
      </c>
      <c r="I3008" t="n">
        <v>0.5</v>
      </c>
      <c r="J3008" t="n">
        <v>0</v>
      </c>
      <c r="K3008" t="n">
        <v>0</v>
      </c>
      <c r="L3008" t="n">
        <v>0</v>
      </c>
      <c r="M3008" t="n">
        <v>0</v>
      </c>
      <c r="N3008" t="n">
        <v>0</v>
      </c>
      <c r="O3008" t="n">
        <v>0</v>
      </c>
      <c r="P3008" t="n">
        <v>0</v>
      </c>
      <c r="Q3008" t="n">
        <v>0</v>
      </c>
      <c r="R3008" t="n">
        <v>0</v>
      </c>
      <c r="S3008" t="n">
        <v>0</v>
      </c>
      <c r="T3008" t="n">
        <v>0</v>
      </c>
      <c r="U3008" t="n">
        <v>0</v>
      </c>
      <c r="V3008" s="2" t="inlineStr"/>
    </row>
    <row r="3009" ht="15" customHeight="1">
      <c r="A3009" t="inlineStr">
        <is>
          <t>A 51747-2023</t>
        </is>
      </c>
      <c r="B3009" t="inlineStr">
        <is>
          <t>avverkningsanmälan</t>
        </is>
      </c>
      <c r="C3009" t="inlineStr">
        <is>
          <t>Föryngringsavverkning</t>
        </is>
      </c>
      <c r="D3009" s="1" t="n">
        <v>45222</v>
      </c>
      <c r="E3009" s="1" t="n">
        <v>46313</v>
      </c>
      <c r="F3009" t="inlineStr">
        <is>
          <t>SÖDERMANLANDS LÄN</t>
        </is>
      </c>
      <c r="G3009" t="inlineStr">
        <is>
          <t>GNESTA</t>
        </is>
      </c>
      <c r="H3009" t="inlineStr">
        <is>
          <t>Holmen skog AB</t>
        </is>
      </c>
      <c r="I3009" t="n">
        <v>0.5</v>
      </c>
      <c r="J3009" t="n">
        <v>0</v>
      </c>
      <c r="K3009" t="n">
        <v>0</v>
      </c>
      <c r="L3009" t="n">
        <v>0</v>
      </c>
      <c r="M3009" t="n">
        <v>0</v>
      </c>
      <c r="N3009" t="n">
        <v>0</v>
      </c>
      <c r="O3009" t="n">
        <v>0</v>
      </c>
      <c r="P3009" t="n">
        <v>0</v>
      </c>
      <c r="Q3009" t="n">
        <v>0</v>
      </c>
      <c r="R3009" t="n">
        <v>0</v>
      </c>
      <c r="S3009" t="n">
        <v>0</v>
      </c>
      <c r="T3009" t="n">
        <v>0</v>
      </c>
      <c r="U3009" t="n">
        <v>0</v>
      </c>
      <c r="V3009" s="2" t="inlineStr"/>
    </row>
    <row r="3010" ht="15" customHeight="1">
      <c r="A3010" t="inlineStr">
        <is>
          <t>A 38922-2024</t>
        </is>
      </c>
      <c r="B3010" t="inlineStr">
        <is>
          <t>avverkningsanmälan</t>
        </is>
      </c>
      <c r="C3010" t="inlineStr">
        <is>
          <t>Föryngringsavverkning</t>
        </is>
      </c>
      <c r="D3010" s="1" t="n">
        <v>45547</v>
      </c>
      <c r="E3010" s="1" t="n">
        <v>46313</v>
      </c>
      <c r="F3010" t="inlineStr">
        <is>
          <t>SÖDERMANLANDS LÄN</t>
        </is>
      </c>
      <c r="G3010" t="inlineStr">
        <is>
          <t>NYKÖPING</t>
        </is>
      </c>
      <c r="I3010" t="n">
        <v>10.3</v>
      </c>
      <c r="J3010" t="n">
        <v>0</v>
      </c>
      <c r="K3010" t="n">
        <v>0</v>
      </c>
      <c r="L3010" t="n">
        <v>0</v>
      </c>
      <c r="M3010" t="n">
        <v>0</v>
      </c>
      <c r="N3010" t="n">
        <v>0</v>
      </c>
      <c r="O3010" t="n">
        <v>0</v>
      </c>
      <c r="P3010" t="n">
        <v>0</v>
      </c>
      <c r="Q3010" t="n">
        <v>0</v>
      </c>
      <c r="R3010" t="n">
        <v>0</v>
      </c>
      <c r="S3010" t="n">
        <v>0</v>
      </c>
      <c r="T3010" t="n">
        <v>0</v>
      </c>
      <c r="U3010" t="n">
        <v>0</v>
      </c>
      <c r="V3010" s="2" t="inlineStr"/>
    </row>
    <row r="3011" ht="15" customHeight="1">
      <c r="A3011" t="inlineStr">
        <is>
          <t>A 3075-2022</t>
        </is>
      </c>
      <c r="B3011" t="inlineStr">
        <is>
          <t>avverkningsanmälan</t>
        </is>
      </c>
      <c r="C3011" t="inlineStr">
        <is>
          <t>Föryngringsavverkning</t>
        </is>
      </c>
      <c r="D3011" s="1" t="n">
        <v>44582</v>
      </c>
      <c r="E3011" s="1" t="n">
        <v>46313</v>
      </c>
      <c r="F3011" t="inlineStr">
        <is>
          <t>SÖDERMANLANDS LÄN</t>
        </is>
      </c>
      <c r="G3011" t="inlineStr">
        <is>
          <t>KATRINEHOLM</t>
        </is>
      </c>
      <c r="I3011" t="n">
        <v>3.5</v>
      </c>
      <c r="J3011" t="n">
        <v>0</v>
      </c>
      <c r="K3011" t="n">
        <v>0</v>
      </c>
      <c r="L3011" t="n">
        <v>0</v>
      </c>
      <c r="M3011" t="n">
        <v>0</v>
      </c>
      <c r="N3011" t="n">
        <v>0</v>
      </c>
      <c r="O3011" t="n">
        <v>0</v>
      </c>
      <c r="P3011" t="n">
        <v>0</v>
      </c>
      <c r="Q3011" t="n">
        <v>0</v>
      </c>
      <c r="R3011" t="n">
        <v>0</v>
      </c>
      <c r="S3011" t="n">
        <v>0</v>
      </c>
      <c r="T3011" t="n">
        <v>0</v>
      </c>
      <c r="U3011" t="n">
        <v>0</v>
      </c>
      <c r="V3011" s="2" t="inlineStr"/>
    </row>
    <row r="3012" ht="15" customHeight="1">
      <c r="A3012" t="inlineStr">
        <is>
          <t>A 11908-2023</t>
        </is>
      </c>
      <c r="B3012" t="inlineStr">
        <is>
          <t>avverkningsanmälan</t>
        </is>
      </c>
      <c r="C3012" t="inlineStr">
        <is>
          <t>Föryngringsavverkning</t>
        </is>
      </c>
      <c r="D3012" s="1" t="n">
        <v>44995</v>
      </c>
      <c r="E3012" s="1" t="n">
        <v>46313</v>
      </c>
      <c r="F3012" t="inlineStr">
        <is>
          <t>SÖDERMANLANDS LÄN</t>
        </is>
      </c>
      <c r="G3012" t="inlineStr">
        <is>
          <t>NYKÖPING</t>
        </is>
      </c>
      <c r="I3012" t="n">
        <v>1.9</v>
      </c>
      <c r="J3012" t="n">
        <v>0</v>
      </c>
      <c r="K3012" t="n">
        <v>0</v>
      </c>
      <c r="L3012" t="n">
        <v>0</v>
      </c>
      <c r="M3012" t="n">
        <v>0</v>
      </c>
      <c r="N3012" t="n">
        <v>0</v>
      </c>
      <c r="O3012" t="n">
        <v>0</v>
      </c>
      <c r="P3012" t="n">
        <v>0</v>
      </c>
      <c r="Q3012" t="n">
        <v>0</v>
      </c>
      <c r="R3012" t="n">
        <v>0</v>
      </c>
      <c r="S3012" t="n">
        <v>0</v>
      </c>
      <c r="T3012" t="n">
        <v>0</v>
      </c>
      <c r="U3012" t="n">
        <v>0</v>
      </c>
      <c r="V3012" s="2" t="inlineStr"/>
    </row>
    <row r="3013" ht="15" customHeight="1">
      <c r="A3013" t="inlineStr">
        <is>
          <t>A 5348-2022</t>
        </is>
      </c>
      <c r="B3013" t="inlineStr">
        <is>
          <t>avverkningsanmälan</t>
        </is>
      </c>
      <c r="C3013" t="inlineStr">
        <is>
          <t>Föryngringsavverkning</t>
        </is>
      </c>
      <c r="D3013" s="1" t="n">
        <v>44594</v>
      </c>
      <c r="E3013" s="1" t="n">
        <v>46313</v>
      </c>
      <c r="F3013" t="inlineStr">
        <is>
          <t>SÖDERMANLANDS LÄN</t>
        </is>
      </c>
      <c r="G3013" t="inlineStr">
        <is>
          <t>VINGÅKER</t>
        </is>
      </c>
      <c r="I3013" t="n">
        <v>3.5</v>
      </c>
      <c r="J3013" t="n">
        <v>0</v>
      </c>
      <c r="K3013" t="n">
        <v>0</v>
      </c>
      <c r="L3013" t="n">
        <v>0</v>
      </c>
      <c r="M3013" t="n">
        <v>0</v>
      </c>
      <c r="N3013" t="n">
        <v>0</v>
      </c>
      <c r="O3013" t="n">
        <v>0</v>
      </c>
      <c r="P3013" t="n">
        <v>0</v>
      </c>
      <c r="Q3013" t="n">
        <v>0</v>
      </c>
      <c r="R3013" t="n">
        <v>0</v>
      </c>
      <c r="S3013" t="n">
        <v>0</v>
      </c>
      <c r="T3013" t="n">
        <v>0</v>
      </c>
      <c r="U3013" t="n">
        <v>0</v>
      </c>
      <c r="V3013" s="2" t="inlineStr"/>
    </row>
    <row r="3014" ht="15" customHeight="1">
      <c r="A3014" t="inlineStr">
        <is>
          <t>A 22827-2024</t>
        </is>
      </c>
      <c r="B3014" t="inlineStr">
        <is>
          <t>avverkningsanmälan</t>
        </is>
      </c>
      <c r="C3014" t="inlineStr">
        <is>
          <t>Föryngringsavverkning</t>
        </is>
      </c>
      <c r="D3014" s="1" t="n">
        <v>45448</v>
      </c>
      <c r="E3014" s="1" t="n">
        <v>46313</v>
      </c>
      <c r="F3014" t="inlineStr">
        <is>
          <t>SÖDERMANLANDS LÄN</t>
        </is>
      </c>
      <c r="G3014" t="inlineStr">
        <is>
          <t>FLEN</t>
        </is>
      </c>
      <c r="I3014" t="n">
        <v>2</v>
      </c>
      <c r="J3014" t="n">
        <v>0</v>
      </c>
      <c r="K3014" t="n">
        <v>0</v>
      </c>
      <c r="L3014" t="n">
        <v>0</v>
      </c>
      <c r="M3014" t="n">
        <v>0</v>
      </c>
      <c r="N3014" t="n">
        <v>0</v>
      </c>
      <c r="O3014" t="n">
        <v>0</v>
      </c>
      <c r="P3014" t="n">
        <v>0</v>
      </c>
      <c r="Q3014" t="n">
        <v>0</v>
      </c>
      <c r="R3014" t="n">
        <v>0</v>
      </c>
      <c r="S3014" t="n">
        <v>0</v>
      </c>
      <c r="T3014" t="n">
        <v>0</v>
      </c>
      <c r="U3014" t="n">
        <v>0</v>
      </c>
      <c r="V3014" s="2" t="inlineStr"/>
    </row>
    <row r="3015" ht="15" customHeight="1">
      <c r="A3015" t="inlineStr">
        <is>
          <t>A 3101-2023</t>
        </is>
      </c>
      <c r="B3015" t="inlineStr">
        <is>
          <t>avverkningsanmälan</t>
        </is>
      </c>
      <c r="C3015" t="inlineStr">
        <is>
          <t>Föryngringsavverkning</t>
        </is>
      </c>
      <c r="D3015" s="1" t="n">
        <v>44946</v>
      </c>
      <c r="E3015" s="1" t="n">
        <v>46313</v>
      </c>
      <c r="F3015" t="inlineStr">
        <is>
          <t>SÖDERMANLANDS LÄN</t>
        </is>
      </c>
      <c r="G3015" t="inlineStr">
        <is>
          <t>ESKILSTUNA</t>
        </is>
      </c>
      <c r="I3015" t="n">
        <v>0.9</v>
      </c>
      <c r="J3015" t="n">
        <v>0</v>
      </c>
      <c r="K3015" t="n">
        <v>0</v>
      </c>
      <c r="L3015" t="n">
        <v>0</v>
      </c>
      <c r="M3015" t="n">
        <v>0</v>
      </c>
      <c r="N3015" t="n">
        <v>0</v>
      </c>
      <c r="O3015" t="n">
        <v>0</v>
      </c>
      <c r="P3015" t="n">
        <v>0</v>
      </c>
      <c r="Q3015" t="n">
        <v>0</v>
      </c>
      <c r="R3015" t="n">
        <v>0</v>
      </c>
      <c r="S3015" t="n">
        <v>0</v>
      </c>
      <c r="T3015" t="n">
        <v>0</v>
      </c>
      <c r="U3015" t="n">
        <v>0</v>
      </c>
      <c r="V3015" s="2" t="inlineStr"/>
    </row>
    <row r="3016" ht="15" customHeight="1">
      <c r="A3016" t="inlineStr">
        <is>
          <t>A 29897-2026</t>
        </is>
      </c>
      <c r="B3016" t="inlineStr">
        <is>
          <t>avverkningsanmälan</t>
        </is>
      </c>
      <c r="C3016" t="inlineStr">
        <is>
          <t>Föryngringsavverkning</t>
        </is>
      </c>
      <c r="D3016" s="1" t="n">
        <v>46205</v>
      </c>
      <c r="E3016" s="1" t="n">
        <v>46313</v>
      </c>
      <c r="F3016" t="inlineStr">
        <is>
          <t>SÖDERMANLANDS LÄN</t>
        </is>
      </c>
      <c r="G3016" t="inlineStr">
        <is>
          <t>FLEN</t>
        </is>
      </c>
      <c r="I3016" t="n">
        <v>1.4</v>
      </c>
      <c r="J3016" t="n">
        <v>0</v>
      </c>
      <c r="K3016" t="n">
        <v>0</v>
      </c>
      <c r="L3016" t="n">
        <v>0</v>
      </c>
      <c r="M3016" t="n">
        <v>0</v>
      </c>
      <c r="N3016" t="n">
        <v>0</v>
      </c>
      <c r="O3016" t="n">
        <v>0</v>
      </c>
      <c r="P3016" t="n">
        <v>0</v>
      </c>
      <c r="Q3016" t="n">
        <v>0</v>
      </c>
      <c r="R3016" t="n">
        <v>0</v>
      </c>
      <c r="S3016" t="n">
        <v>0</v>
      </c>
      <c r="T3016" t="n">
        <v>0</v>
      </c>
      <c r="U3016" t="n">
        <v>0</v>
      </c>
      <c r="V3016" s="2" t="inlineStr"/>
    </row>
    <row r="3017" ht="15" customHeight="1">
      <c r="A3017" t="inlineStr">
        <is>
          <t>A 2939-2022</t>
        </is>
      </c>
      <c r="B3017" t="inlineStr">
        <is>
          <t>avverkningsanmälan</t>
        </is>
      </c>
      <c r="C3017" t="inlineStr">
        <is>
          <t>Föryngringsavverkning</t>
        </is>
      </c>
      <c r="D3017" s="1" t="n">
        <v>44581</v>
      </c>
      <c r="E3017" s="1" t="n">
        <v>46313</v>
      </c>
      <c r="F3017" t="inlineStr">
        <is>
          <t>SÖDERMANLANDS LÄN</t>
        </is>
      </c>
      <c r="G3017" t="inlineStr">
        <is>
          <t>NYKÖPING</t>
        </is>
      </c>
      <c r="I3017" t="n">
        <v>2.4</v>
      </c>
      <c r="J3017" t="n">
        <v>0</v>
      </c>
      <c r="K3017" t="n">
        <v>0</v>
      </c>
      <c r="L3017" t="n">
        <v>0</v>
      </c>
      <c r="M3017" t="n">
        <v>0</v>
      </c>
      <c r="N3017" t="n">
        <v>0</v>
      </c>
      <c r="O3017" t="n">
        <v>0</v>
      </c>
      <c r="P3017" t="n">
        <v>0</v>
      </c>
      <c r="Q3017" t="n">
        <v>0</v>
      </c>
      <c r="R3017" t="n">
        <v>0</v>
      </c>
      <c r="S3017" t="n">
        <v>0</v>
      </c>
      <c r="T3017" t="n">
        <v>0</v>
      </c>
      <c r="U3017" t="n">
        <v>0</v>
      </c>
      <c r="V3017" s="2" t="inlineStr"/>
    </row>
    <row r="3018" ht="15" customHeight="1">
      <c r="A3018" t="inlineStr">
        <is>
          <t>A 36000-2023</t>
        </is>
      </c>
      <c r="B3018" t="inlineStr">
        <is>
          <t>avverkningsanmälan</t>
        </is>
      </c>
      <c r="C3018" t="inlineStr">
        <is>
          <t>Föryngringsavverkning</t>
        </is>
      </c>
      <c r="D3018" s="1" t="n">
        <v>45148</v>
      </c>
      <c r="E3018" s="1" t="n">
        <v>46313</v>
      </c>
      <c r="F3018" t="inlineStr">
        <is>
          <t>SÖDERMANLANDS LÄN</t>
        </is>
      </c>
      <c r="G3018" t="inlineStr">
        <is>
          <t>NYKÖPING</t>
        </is>
      </c>
      <c r="I3018" t="n">
        <v>2.2</v>
      </c>
      <c r="J3018" t="n">
        <v>0</v>
      </c>
      <c r="K3018" t="n">
        <v>0</v>
      </c>
      <c r="L3018" t="n">
        <v>0</v>
      </c>
      <c r="M3018" t="n">
        <v>0</v>
      </c>
      <c r="N3018" t="n">
        <v>0</v>
      </c>
      <c r="O3018" t="n">
        <v>0</v>
      </c>
      <c r="P3018" t="n">
        <v>0</v>
      </c>
      <c r="Q3018" t="n">
        <v>0</v>
      </c>
      <c r="R3018" t="n">
        <v>0</v>
      </c>
      <c r="S3018" t="n">
        <v>0</v>
      </c>
      <c r="T3018" t="n">
        <v>0</v>
      </c>
      <c r="U3018" t="n">
        <v>0</v>
      </c>
      <c r="V3018" s="2" t="inlineStr"/>
    </row>
    <row r="3019" ht="15" customHeight="1">
      <c r="A3019" t="inlineStr">
        <is>
          <t>A 8787-2025</t>
        </is>
      </c>
      <c r="B3019" t="inlineStr">
        <is>
          <t>avverkningsanmälan</t>
        </is>
      </c>
      <c r="C3019" t="inlineStr">
        <is>
          <t>Föryngringsavverkning</t>
        </is>
      </c>
      <c r="D3019" s="1" t="n">
        <v>45712</v>
      </c>
      <c r="E3019" s="1" t="n">
        <v>46313</v>
      </c>
      <c r="F3019" t="inlineStr">
        <is>
          <t>SÖDERMANLANDS LÄN</t>
        </is>
      </c>
      <c r="G3019" t="inlineStr">
        <is>
          <t>NYKÖPING</t>
        </is>
      </c>
      <c r="H3019" t="inlineStr">
        <is>
          <t>Holmen skog AB</t>
        </is>
      </c>
      <c r="I3019" t="n">
        <v>4.2</v>
      </c>
      <c r="J3019" t="n">
        <v>0</v>
      </c>
      <c r="K3019" t="n">
        <v>0</v>
      </c>
      <c r="L3019" t="n">
        <v>0</v>
      </c>
      <c r="M3019" t="n">
        <v>0</v>
      </c>
      <c r="N3019" t="n">
        <v>0</v>
      </c>
      <c r="O3019" t="n">
        <v>0</v>
      </c>
      <c r="P3019" t="n">
        <v>0</v>
      </c>
      <c r="Q3019" t="n">
        <v>0</v>
      </c>
      <c r="R3019" t="n">
        <v>0</v>
      </c>
      <c r="S3019" t="n">
        <v>0</v>
      </c>
      <c r="T3019" t="n">
        <v>0</v>
      </c>
      <c r="U3019" t="n">
        <v>0</v>
      </c>
      <c r="V3019" s="2" t="inlineStr"/>
    </row>
    <row r="3020" ht="15" customHeight="1">
      <c r="A3020" t="inlineStr">
        <is>
          <t>A 37769-2023</t>
        </is>
      </c>
      <c r="B3020" t="inlineStr">
        <is>
          <t>avverkningsanmälan</t>
        </is>
      </c>
      <c r="C3020" t="inlineStr">
        <is>
          <t>Föryngringsavverkning</t>
        </is>
      </c>
      <c r="D3020" s="1" t="n">
        <v>45159</v>
      </c>
      <c r="E3020" s="1" t="n">
        <v>46313</v>
      </c>
      <c r="F3020" t="inlineStr">
        <is>
          <t>SÖDERMANLANDS LÄN</t>
        </is>
      </c>
      <c r="G3020" t="inlineStr">
        <is>
          <t>ESKILSTUNA</t>
        </is>
      </c>
      <c r="H3020" t="inlineStr">
        <is>
          <t>Kommuner</t>
        </is>
      </c>
      <c r="I3020" t="n">
        <v>0.6</v>
      </c>
      <c r="J3020" t="n">
        <v>0</v>
      </c>
      <c r="K3020" t="n">
        <v>0</v>
      </c>
      <c r="L3020" t="n">
        <v>0</v>
      </c>
      <c r="M3020" t="n">
        <v>0</v>
      </c>
      <c r="N3020" t="n">
        <v>0</v>
      </c>
      <c r="O3020" t="n">
        <v>0</v>
      </c>
      <c r="P3020" t="n">
        <v>0</v>
      </c>
      <c r="Q3020" t="n">
        <v>0</v>
      </c>
      <c r="R3020" t="n">
        <v>0</v>
      </c>
      <c r="S3020" t="n">
        <v>0</v>
      </c>
      <c r="T3020" t="n">
        <v>0</v>
      </c>
      <c r="U3020" t="n">
        <v>0</v>
      </c>
      <c r="V3020" s="2" t="inlineStr"/>
    </row>
    <row r="3021" ht="15" customHeight="1">
      <c r="A3021" t="inlineStr">
        <is>
          <t>A 28011-2022</t>
        </is>
      </c>
      <c r="B3021" t="inlineStr">
        <is>
          <t>avverkningsanmälan</t>
        </is>
      </c>
      <c r="C3021" t="inlineStr">
        <is>
          <t>Föryngringsavverkning</t>
        </is>
      </c>
      <c r="D3021" s="1" t="n">
        <v>44746</v>
      </c>
      <c r="E3021" s="1" t="n">
        <v>46313</v>
      </c>
      <c r="F3021" t="inlineStr">
        <is>
          <t>SÖDERMANLANDS LÄN</t>
        </is>
      </c>
      <c r="G3021" t="inlineStr">
        <is>
          <t>ESKILSTUNA</t>
        </is>
      </c>
      <c r="I3021" t="n">
        <v>4.3</v>
      </c>
      <c r="J3021" t="n">
        <v>0</v>
      </c>
      <c r="K3021" t="n">
        <v>0</v>
      </c>
      <c r="L3021" t="n">
        <v>0</v>
      </c>
      <c r="M3021" t="n">
        <v>0</v>
      </c>
      <c r="N3021" t="n">
        <v>0</v>
      </c>
      <c r="O3021" t="n">
        <v>0</v>
      </c>
      <c r="P3021" t="n">
        <v>0</v>
      </c>
      <c r="Q3021" t="n">
        <v>0</v>
      </c>
      <c r="R3021" t="n">
        <v>0</v>
      </c>
      <c r="S3021" t="n">
        <v>0</v>
      </c>
      <c r="T3021" t="n">
        <v>0</v>
      </c>
      <c r="U3021" t="n">
        <v>0</v>
      </c>
      <c r="V3021" s="2" t="inlineStr"/>
    </row>
    <row r="3022" ht="15" customHeight="1">
      <c r="A3022" t="inlineStr">
        <is>
          <t>A 13175-2024</t>
        </is>
      </c>
      <c r="B3022" t="inlineStr">
        <is>
          <t>avverkningsanmälan</t>
        </is>
      </c>
      <c r="C3022" t="inlineStr">
        <is>
          <t>Föryngringsavverkning</t>
        </is>
      </c>
      <c r="D3022" s="1" t="n">
        <v>45386</v>
      </c>
      <c r="E3022" s="1" t="n">
        <v>46313</v>
      </c>
      <c r="F3022" t="inlineStr">
        <is>
          <t>SÖDERMANLANDS LÄN</t>
        </is>
      </c>
      <c r="G3022" t="inlineStr">
        <is>
          <t>KATRINEHOLM</t>
        </is>
      </c>
      <c r="I3022" t="n">
        <v>0.7</v>
      </c>
      <c r="J3022" t="n">
        <v>0</v>
      </c>
      <c r="K3022" t="n">
        <v>0</v>
      </c>
      <c r="L3022" t="n">
        <v>0</v>
      </c>
      <c r="M3022" t="n">
        <v>0</v>
      </c>
      <c r="N3022" t="n">
        <v>0</v>
      </c>
      <c r="O3022" t="n">
        <v>0</v>
      </c>
      <c r="P3022" t="n">
        <v>0</v>
      </c>
      <c r="Q3022" t="n">
        <v>0</v>
      </c>
      <c r="R3022" t="n">
        <v>0</v>
      </c>
      <c r="S3022" t="n">
        <v>0</v>
      </c>
      <c r="T3022" t="n">
        <v>0</v>
      </c>
      <c r="U3022" t="n">
        <v>0</v>
      </c>
      <c r="V3022" s="2" t="inlineStr"/>
    </row>
    <row r="3023" ht="15" customHeight="1">
      <c r="A3023" t="inlineStr">
        <is>
          <t>A 13233-2024</t>
        </is>
      </c>
      <c r="B3023" t="inlineStr">
        <is>
          <t>avverkningsanmälan</t>
        </is>
      </c>
      <c r="C3023" t="inlineStr">
        <is>
          <t>Avverkning för annat ändamål</t>
        </is>
      </c>
      <c r="D3023" s="1" t="n">
        <v>45386</v>
      </c>
      <c r="E3023" s="1" t="n">
        <v>46313</v>
      </c>
      <c r="F3023" t="inlineStr">
        <is>
          <t>SÖDERMANLANDS LÄN</t>
        </is>
      </c>
      <c r="G3023" t="inlineStr">
        <is>
          <t>FLEN</t>
        </is>
      </c>
      <c r="I3023" t="n">
        <v>4.1</v>
      </c>
      <c r="J3023" t="n">
        <v>0</v>
      </c>
      <c r="K3023" t="n">
        <v>0</v>
      </c>
      <c r="L3023" t="n">
        <v>0</v>
      </c>
      <c r="M3023" t="n">
        <v>0</v>
      </c>
      <c r="N3023" t="n">
        <v>0</v>
      </c>
      <c r="O3023" t="n">
        <v>0</v>
      </c>
      <c r="P3023" t="n">
        <v>0</v>
      </c>
      <c r="Q3023" t="n">
        <v>0</v>
      </c>
      <c r="R3023" t="n">
        <v>0</v>
      </c>
      <c r="S3023" t="n">
        <v>0</v>
      </c>
      <c r="T3023" t="n">
        <v>0</v>
      </c>
      <c r="U3023" t="n">
        <v>0</v>
      </c>
      <c r="V3023" s="2" t="inlineStr"/>
    </row>
    <row r="3024" ht="15" customHeight="1">
      <c r="A3024" t="inlineStr">
        <is>
          <t>A 15572-2024</t>
        </is>
      </c>
      <c r="B3024" t="inlineStr">
        <is>
          <t>avverkningsanmälan</t>
        </is>
      </c>
      <c r="C3024" t="inlineStr">
        <is>
          <t>Föryngringsavverkning</t>
        </is>
      </c>
      <c r="D3024" s="1" t="n">
        <v>45401</v>
      </c>
      <c r="E3024" s="1" t="n">
        <v>46313</v>
      </c>
      <c r="F3024" t="inlineStr">
        <is>
          <t>SÖDERMANLANDS LÄN</t>
        </is>
      </c>
      <c r="G3024" t="inlineStr">
        <is>
          <t>STRÄNGNÄS</t>
        </is>
      </c>
      <c r="I3024" t="n">
        <v>7.4</v>
      </c>
      <c r="J3024" t="n">
        <v>0</v>
      </c>
      <c r="K3024" t="n">
        <v>0</v>
      </c>
      <c r="L3024" t="n">
        <v>0</v>
      </c>
      <c r="M3024" t="n">
        <v>0</v>
      </c>
      <c r="N3024" t="n">
        <v>0</v>
      </c>
      <c r="O3024" t="n">
        <v>0</v>
      </c>
      <c r="P3024" t="n">
        <v>0</v>
      </c>
      <c r="Q3024" t="n">
        <v>0</v>
      </c>
      <c r="R3024" t="n">
        <v>0</v>
      </c>
      <c r="S3024" t="n">
        <v>0</v>
      </c>
      <c r="T3024" t="n">
        <v>0</v>
      </c>
      <c r="U3024" t="n">
        <v>0</v>
      </c>
      <c r="V3024" s="2" t="inlineStr"/>
    </row>
    <row r="3025" ht="15" customHeight="1">
      <c r="A3025" t="inlineStr">
        <is>
          <t>A 61534-2022</t>
        </is>
      </c>
      <c r="B3025" t="inlineStr">
        <is>
          <t>avverkningsanmälan</t>
        </is>
      </c>
      <c r="C3025" t="inlineStr">
        <is>
          <t>Föryngringsavverkning</t>
        </is>
      </c>
      <c r="D3025" s="1" t="n">
        <v>44910</v>
      </c>
      <c r="E3025" s="1" t="n">
        <v>46313</v>
      </c>
      <c r="F3025" t="inlineStr">
        <is>
          <t>SÖDERMANLANDS LÄN</t>
        </is>
      </c>
      <c r="G3025" t="inlineStr">
        <is>
          <t>VINGÅKER</t>
        </is>
      </c>
      <c r="H3025" t="inlineStr">
        <is>
          <t>Kommuner</t>
        </is>
      </c>
      <c r="I3025" t="n">
        <v>4.6</v>
      </c>
      <c r="J3025" t="n">
        <v>0</v>
      </c>
      <c r="K3025" t="n">
        <v>0</v>
      </c>
      <c r="L3025" t="n">
        <v>0</v>
      </c>
      <c r="M3025" t="n">
        <v>0</v>
      </c>
      <c r="N3025" t="n">
        <v>0</v>
      </c>
      <c r="O3025" t="n">
        <v>0</v>
      </c>
      <c r="P3025" t="n">
        <v>0</v>
      </c>
      <c r="Q3025" t="n">
        <v>0</v>
      </c>
      <c r="R3025" t="n">
        <v>0</v>
      </c>
      <c r="S3025" t="n">
        <v>0</v>
      </c>
      <c r="T3025" t="n">
        <v>0</v>
      </c>
      <c r="U3025" t="n">
        <v>0</v>
      </c>
      <c r="V3025" s="2" t="inlineStr"/>
    </row>
    <row r="3026" ht="15" customHeight="1">
      <c r="A3026" t="inlineStr">
        <is>
          <t>A 57608-2024</t>
        </is>
      </c>
      <c r="B3026" t="inlineStr">
        <is>
          <t>avverkningsanmälan</t>
        </is>
      </c>
      <c r="C3026" t="inlineStr">
        <is>
          <t>Föryngringsavverkning</t>
        </is>
      </c>
      <c r="D3026" s="1" t="n">
        <v>45630</v>
      </c>
      <c r="E3026" s="1" t="n">
        <v>46313</v>
      </c>
      <c r="F3026" t="inlineStr">
        <is>
          <t>SÖDERMANLANDS LÄN</t>
        </is>
      </c>
      <c r="G3026" t="inlineStr">
        <is>
          <t>VINGÅKER</t>
        </is>
      </c>
      <c r="I3026" t="n">
        <v>1.8</v>
      </c>
      <c r="J3026" t="n">
        <v>0</v>
      </c>
      <c r="K3026" t="n">
        <v>0</v>
      </c>
      <c r="L3026" t="n">
        <v>0</v>
      </c>
      <c r="M3026" t="n">
        <v>0</v>
      </c>
      <c r="N3026" t="n">
        <v>0</v>
      </c>
      <c r="O3026" t="n">
        <v>0</v>
      </c>
      <c r="P3026" t="n">
        <v>0</v>
      </c>
      <c r="Q3026" t="n">
        <v>0</v>
      </c>
      <c r="R3026" t="n">
        <v>0</v>
      </c>
      <c r="S3026" t="n">
        <v>0</v>
      </c>
      <c r="T3026" t="n">
        <v>0</v>
      </c>
      <c r="U3026" t="n">
        <v>0</v>
      </c>
      <c r="V3026" s="2" t="inlineStr"/>
    </row>
    <row r="3027" ht="15" customHeight="1">
      <c r="A3027" t="inlineStr">
        <is>
          <t>A 26081-2024</t>
        </is>
      </c>
      <c r="B3027" t="inlineStr">
        <is>
          <t>avverkningsanmälan</t>
        </is>
      </c>
      <c r="C3027" t="inlineStr">
        <is>
          <t>Föryngringsavverkning</t>
        </is>
      </c>
      <c r="D3027" s="1" t="n">
        <v>45462</v>
      </c>
      <c r="E3027" s="1" t="n">
        <v>46313</v>
      </c>
      <c r="F3027" t="inlineStr">
        <is>
          <t>SÖDERMANLANDS LÄN</t>
        </is>
      </c>
      <c r="G3027" t="inlineStr">
        <is>
          <t>KATRINEHOLM</t>
        </is>
      </c>
      <c r="I3027" t="n">
        <v>4.1</v>
      </c>
      <c r="J3027" t="n">
        <v>0</v>
      </c>
      <c r="K3027" t="n">
        <v>0</v>
      </c>
      <c r="L3027" t="n">
        <v>0</v>
      </c>
      <c r="M3027" t="n">
        <v>0</v>
      </c>
      <c r="N3027" t="n">
        <v>0</v>
      </c>
      <c r="O3027" t="n">
        <v>0</v>
      </c>
      <c r="P3027" t="n">
        <v>0</v>
      </c>
      <c r="Q3027" t="n">
        <v>0</v>
      </c>
      <c r="R3027" t="n">
        <v>0</v>
      </c>
      <c r="S3027" t="n">
        <v>0</v>
      </c>
      <c r="T3027" t="n">
        <v>0</v>
      </c>
      <c r="U3027" t="n">
        <v>0</v>
      </c>
      <c r="V3027" s="2" t="inlineStr"/>
    </row>
    <row r="3028" ht="15" customHeight="1">
      <c r="A3028" t="inlineStr">
        <is>
          <t>A 34503-2026</t>
        </is>
      </c>
      <c r="B3028" t="inlineStr">
        <is>
          <t>avverkningsanmälan</t>
        </is>
      </c>
      <c r="C3028" t="inlineStr">
        <is>
          <t>Föryngringsavverkning</t>
        </is>
      </c>
      <c r="D3028" s="1" t="n">
        <v>46255</v>
      </c>
      <c r="E3028" s="1" t="n">
        <v>46313</v>
      </c>
      <c r="F3028" t="inlineStr">
        <is>
          <t>SÖDERMANLANDS LÄN</t>
        </is>
      </c>
      <c r="G3028" t="inlineStr">
        <is>
          <t>STRÄNGNÄS</t>
        </is>
      </c>
      <c r="H3028" t="inlineStr">
        <is>
          <t>Övriga Aktiebolag</t>
        </is>
      </c>
      <c r="I3028" t="n">
        <v>7.8</v>
      </c>
      <c r="J3028" t="n">
        <v>0</v>
      </c>
      <c r="K3028" t="n">
        <v>0</v>
      </c>
      <c r="L3028" t="n">
        <v>0</v>
      </c>
      <c r="M3028" t="n">
        <v>0</v>
      </c>
      <c r="N3028" t="n">
        <v>0</v>
      </c>
      <c r="O3028" t="n">
        <v>0</v>
      </c>
      <c r="P3028" t="n">
        <v>0</v>
      </c>
      <c r="Q3028" t="n">
        <v>0</v>
      </c>
      <c r="R3028" t="n">
        <v>0</v>
      </c>
      <c r="S3028" t="n">
        <v>0</v>
      </c>
      <c r="T3028" t="n">
        <v>0</v>
      </c>
      <c r="U3028" t="n">
        <v>0</v>
      </c>
      <c r="V3028" s="2" t="inlineStr"/>
    </row>
    <row r="3029" ht="15" customHeight="1">
      <c r="A3029" t="inlineStr">
        <is>
          <t>A 34485-2026</t>
        </is>
      </c>
      <c r="B3029" t="inlineStr">
        <is>
          <t>avverkningsanmälan</t>
        </is>
      </c>
      <c r="C3029" t="inlineStr">
        <is>
          <t>Föryngringsavverkning</t>
        </is>
      </c>
      <c r="D3029" s="1" t="n">
        <v>46254</v>
      </c>
      <c r="E3029" s="1" t="n">
        <v>46313</v>
      </c>
      <c r="F3029" t="inlineStr">
        <is>
          <t>SÖDERMANLANDS LÄN</t>
        </is>
      </c>
      <c r="G3029" t="inlineStr">
        <is>
          <t>ESKILSTUNA</t>
        </is>
      </c>
      <c r="H3029" t="inlineStr">
        <is>
          <t>Allmännings- och besparingsskogar</t>
        </is>
      </c>
      <c r="I3029" t="n">
        <v>3.7</v>
      </c>
      <c r="J3029" t="n">
        <v>0</v>
      </c>
      <c r="K3029" t="n">
        <v>0</v>
      </c>
      <c r="L3029" t="n">
        <v>0</v>
      </c>
      <c r="M3029" t="n">
        <v>0</v>
      </c>
      <c r="N3029" t="n">
        <v>0</v>
      </c>
      <c r="O3029" t="n">
        <v>0</v>
      </c>
      <c r="P3029" t="n">
        <v>0</v>
      </c>
      <c r="Q3029" t="n">
        <v>0</v>
      </c>
      <c r="R3029" t="n">
        <v>0</v>
      </c>
      <c r="S3029" t="n">
        <v>0</v>
      </c>
      <c r="T3029" t="n">
        <v>0</v>
      </c>
      <c r="U3029" t="n">
        <v>0</v>
      </c>
      <c r="V3029" s="2" t="inlineStr"/>
    </row>
    <row r="3030" ht="15" customHeight="1">
      <c r="A3030" t="inlineStr">
        <is>
          <t>A 8293-2022</t>
        </is>
      </c>
      <c r="B3030" t="inlineStr">
        <is>
          <t>avverkningsanmälan</t>
        </is>
      </c>
      <c r="C3030" t="inlineStr">
        <is>
          <t>Föryngringsavverkning</t>
        </is>
      </c>
      <c r="D3030" s="1" t="n">
        <v>44610</v>
      </c>
      <c r="E3030" s="1" t="n">
        <v>46313</v>
      </c>
      <c r="F3030" t="inlineStr">
        <is>
          <t>SÖDERMANLANDS LÄN</t>
        </is>
      </c>
      <c r="G3030" t="inlineStr">
        <is>
          <t>FLEN</t>
        </is>
      </c>
      <c r="I3030" t="n">
        <v>2</v>
      </c>
      <c r="J3030" t="n">
        <v>0</v>
      </c>
      <c r="K3030" t="n">
        <v>0</v>
      </c>
      <c r="L3030" t="n">
        <v>0</v>
      </c>
      <c r="M3030" t="n">
        <v>0</v>
      </c>
      <c r="N3030" t="n">
        <v>0</v>
      </c>
      <c r="O3030" t="n">
        <v>0</v>
      </c>
      <c r="P3030" t="n">
        <v>0</v>
      </c>
      <c r="Q3030" t="n">
        <v>0</v>
      </c>
      <c r="R3030" t="n">
        <v>0</v>
      </c>
      <c r="S3030" t="n">
        <v>0</v>
      </c>
      <c r="T3030" t="n">
        <v>0</v>
      </c>
      <c r="U3030" t="n">
        <v>0</v>
      </c>
      <c r="V3030" s="2" t="inlineStr"/>
    </row>
    <row r="3031" ht="15" customHeight="1">
      <c r="A3031" t="inlineStr">
        <is>
          <t>A 4667-2024</t>
        </is>
      </c>
      <c r="B3031" t="inlineStr">
        <is>
          <t>avverkningsanmälan</t>
        </is>
      </c>
      <c r="C3031" t="inlineStr">
        <is>
          <t>Föryngringsavverkning</t>
        </is>
      </c>
      <c r="D3031" s="1" t="n">
        <v>45328</v>
      </c>
      <c r="E3031" s="1" t="n">
        <v>46313</v>
      </c>
      <c r="F3031" t="inlineStr">
        <is>
          <t>SÖDERMANLANDS LÄN</t>
        </is>
      </c>
      <c r="G3031" t="inlineStr">
        <is>
          <t>KATRINEHOLM</t>
        </is>
      </c>
      <c r="H3031" t="inlineStr">
        <is>
          <t>Övriga Aktiebolag</t>
        </is>
      </c>
      <c r="I3031" t="n">
        <v>10.2</v>
      </c>
      <c r="J3031" t="n">
        <v>0</v>
      </c>
      <c r="K3031" t="n">
        <v>0</v>
      </c>
      <c r="L3031" t="n">
        <v>0</v>
      </c>
      <c r="M3031" t="n">
        <v>0</v>
      </c>
      <c r="N3031" t="n">
        <v>0</v>
      </c>
      <c r="O3031" t="n">
        <v>0</v>
      </c>
      <c r="P3031" t="n">
        <v>0</v>
      </c>
      <c r="Q3031" t="n">
        <v>0</v>
      </c>
      <c r="R3031" t="n">
        <v>0</v>
      </c>
      <c r="S3031" t="n">
        <v>0</v>
      </c>
      <c r="T3031" t="n">
        <v>0</v>
      </c>
      <c r="U3031" t="n">
        <v>0</v>
      </c>
      <c r="V3031" s="2" t="inlineStr"/>
    </row>
    <row r="3032" ht="15" customHeight="1">
      <c r="A3032" t="inlineStr">
        <is>
          <t>A 24285-2022</t>
        </is>
      </c>
      <c r="B3032" t="inlineStr">
        <is>
          <t>avverkningsanmälan</t>
        </is>
      </c>
      <c r="C3032" t="inlineStr">
        <is>
          <t>Föryngringsavverkning</t>
        </is>
      </c>
      <c r="D3032" s="1" t="n">
        <v>44725</v>
      </c>
      <c r="E3032" s="1" t="n">
        <v>46313</v>
      </c>
      <c r="F3032" t="inlineStr">
        <is>
          <t>SÖDERMANLANDS LÄN</t>
        </is>
      </c>
      <c r="G3032" t="inlineStr">
        <is>
          <t>NYKÖPING</t>
        </is>
      </c>
      <c r="I3032" t="n">
        <v>0.6</v>
      </c>
      <c r="J3032" t="n">
        <v>0</v>
      </c>
      <c r="K3032" t="n">
        <v>0</v>
      </c>
      <c r="L3032" t="n">
        <v>0</v>
      </c>
      <c r="M3032" t="n">
        <v>0</v>
      </c>
      <c r="N3032" t="n">
        <v>0</v>
      </c>
      <c r="O3032" t="n">
        <v>0</v>
      </c>
      <c r="P3032" t="n">
        <v>0</v>
      </c>
      <c r="Q3032" t="n">
        <v>0</v>
      </c>
      <c r="R3032" t="n">
        <v>0</v>
      </c>
      <c r="S3032" t="n">
        <v>0</v>
      </c>
      <c r="T3032" t="n">
        <v>0</v>
      </c>
      <c r="U3032" t="n">
        <v>0</v>
      </c>
      <c r="V3032" s="2" t="inlineStr"/>
    </row>
    <row r="3033" ht="15" customHeight="1">
      <c r="A3033" t="inlineStr">
        <is>
          <t>A 6824-2023</t>
        </is>
      </c>
      <c r="B3033" t="inlineStr">
        <is>
          <t>avverkningsanmälan</t>
        </is>
      </c>
      <c r="C3033" t="inlineStr">
        <is>
          <t>Föryngringsavverkning</t>
        </is>
      </c>
      <c r="D3033" s="1" t="n">
        <v>44967</v>
      </c>
      <c r="E3033" s="1" t="n">
        <v>46313</v>
      </c>
      <c r="F3033" t="inlineStr">
        <is>
          <t>SÖDERMANLANDS LÄN</t>
        </is>
      </c>
      <c r="G3033" t="inlineStr">
        <is>
          <t>VINGÅKER</t>
        </is>
      </c>
      <c r="I3033" t="n">
        <v>0.9</v>
      </c>
      <c r="J3033" t="n">
        <v>0</v>
      </c>
      <c r="K3033" t="n">
        <v>0</v>
      </c>
      <c r="L3033" t="n">
        <v>0</v>
      </c>
      <c r="M3033" t="n">
        <v>0</v>
      </c>
      <c r="N3033" t="n">
        <v>0</v>
      </c>
      <c r="O3033" t="n">
        <v>0</v>
      </c>
      <c r="P3033" t="n">
        <v>0</v>
      </c>
      <c r="Q3033" t="n">
        <v>0</v>
      </c>
      <c r="R3033" t="n">
        <v>0</v>
      </c>
      <c r="S3033" t="n">
        <v>0</v>
      </c>
      <c r="T3033" t="n">
        <v>0</v>
      </c>
      <c r="U3033" t="n">
        <v>0</v>
      </c>
      <c r="V3033" s="2" t="inlineStr"/>
    </row>
    <row r="3034" ht="15" customHeight="1">
      <c r="A3034" t="inlineStr">
        <is>
          <t>A 19107-2022</t>
        </is>
      </c>
      <c r="B3034" t="inlineStr">
        <is>
          <t>avverkningsanmälan</t>
        </is>
      </c>
      <c r="C3034" t="inlineStr">
        <is>
          <t>Föryngringsavverkning</t>
        </is>
      </c>
      <c r="D3034" s="1" t="n">
        <v>44691</v>
      </c>
      <c r="E3034" s="1" t="n">
        <v>46313</v>
      </c>
      <c r="F3034" t="inlineStr">
        <is>
          <t>SÖDERMANLANDS LÄN</t>
        </is>
      </c>
      <c r="G3034" t="inlineStr">
        <is>
          <t>KATRINEHOLM</t>
        </is>
      </c>
      <c r="I3034" t="n">
        <v>1</v>
      </c>
      <c r="J3034" t="n">
        <v>0</v>
      </c>
      <c r="K3034" t="n">
        <v>0</v>
      </c>
      <c r="L3034" t="n">
        <v>0</v>
      </c>
      <c r="M3034" t="n">
        <v>0</v>
      </c>
      <c r="N3034" t="n">
        <v>0</v>
      </c>
      <c r="O3034" t="n">
        <v>0</v>
      </c>
      <c r="P3034" t="n">
        <v>0</v>
      </c>
      <c r="Q3034" t="n">
        <v>0</v>
      </c>
      <c r="R3034" t="n">
        <v>0</v>
      </c>
      <c r="S3034" t="n">
        <v>0</v>
      </c>
      <c r="T3034" t="n">
        <v>0</v>
      </c>
      <c r="U3034" t="n">
        <v>0</v>
      </c>
      <c r="V3034" s="2" t="inlineStr"/>
    </row>
    <row r="3035" ht="15" customHeight="1">
      <c r="A3035" t="inlineStr">
        <is>
          <t>A 6491-2023</t>
        </is>
      </c>
      <c r="B3035" t="inlineStr">
        <is>
          <t>avverkningsanmälan</t>
        </is>
      </c>
      <c r="C3035" t="inlineStr">
        <is>
          <t>Föryngringsavverkning</t>
        </is>
      </c>
      <c r="D3035" s="1" t="n">
        <v>44966</v>
      </c>
      <c r="E3035" s="1" t="n">
        <v>46313</v>
      </c>
      <c r="F3035" t="inlineStr">
        <is>
          <t>SÖDERMANLANDS LÄN</t>
        </is>
      </c>
      <c r="G3035" t="inlineStr">
        <is>
          <t>NYKÖPING</t>
        </is>
      </c>
      <c r="H3035" t="inlineStr">
        <is>
          <t>Övriga Aktiebolag</t>
        </is>
      </c>
      <c r="I3035" t="n">
        <v>0.7</v>
      </c>
      <c r="J3035" t="n">
        <v>0</v>
      </c>
      <c r="K3035" t="n">
        <v>0</v>
      </c>
      <c r="L3035" t="n">
        <v>0</v>
      </c>
      <c r="M3035" t="n">
        <v>0</v>
      </c>
      <c r="N3035" t="n">
        <v>0</v>
      </c>
      <c r="O3035" t="n">
        <v>0</v>
      </c>
      <c r="P3035" t="n">
        <v>0</v>
      </c>
      <c r="Q3035" t="n">
        <v>0</v>
      </c>
      <c r="R3035" t="n">
        <v>0</v>
      </c>
      <c r="S3035" t="n">
        <v>0</v>
      </c>
      <c r="T3035" t="n">
        <v>0</v>
      </c>
      <c r="U3035" t="n">
        <v>0</v>
      </c>
      <c r="V3035" s="2" t="inlineStr"/>
    </row>
    <row r="3036" ht="15" customHeight="1">
      <c r="A3036" t="inlineStr">
        <is>
          <t>A 34019-2023</t>
        </is>
      </c>
      <c r="B3036" t="inlineStr">
        <is>
          <t>avverkningsanmälan</t>
        </is>
      </c>
      <c r="C3036" t="inlineStr">
        <is>
          <t>Föryngringsavverkning</t>
        </is>
      </c>
      <c r="D3036" s="1" t="n">
        <v>45135</v>
      </c>
      <c r="E3036" s="1" t="n">
        <v>46313</v>
      </c>
      <c r="F3036" t="inlineStr">
        <is>
          <t>SÖDERMANLANDS LÄN</t>
        </is>
      </c>
      <c r="G3036" t="inlineStr">
        <is>
          <t>VINGÅKER</t>
        </is>
      </c>
      <c r="H3036" t="inlineStr">
        <is>
          <t>Övriga Aktiebolag</t>
        </is>
      </c>
      <c r="I3036" t="n">
        <v>2</v>
      </c>
      <c r="J3036" t="n">
        <v>0</v>
      </c>
      <c r="K3036" t="n">
        <v>0</v>
      </c>
      <c r="L3036" t="n">
        <v>0</v>
      </c>
      <c r="M3036" t="n">
        <v>0</v>
      </c>
      <c r="N3036" t="n">
        <v>0</v>
      </c>
      <c r="O3036" t="n">
        <v>0</v>
      </c>
      <c r="P3036" t="n">
        <v>0</v>
      </c>
      <c r="Q3036" t="n">
        <v>0</v>
      </c>
      <c r="R3036" t="n">
        <v>0</v>
      </c>
      <c r="S3036" t="n">
        <v>0</v>
      </c>
      <c r="T3036" t="n">
        <v>0</v>
      </c>
      <c r="U3036" t="n">
        <v>0</v>
      </c>
      <c r="V3036" s="2" t="inlineStr"/>
    </row>
    <row r="3037" ht="15" customHeight="1">
      <c r="A3037" t="inlineStr">
        <is>
          <t>A 14755-2023</t>
        </is>
      </c>
      <c r="B3037" t="inlineStr">
        <is>
          <t>avverkningsanmälan</t>
        </is>
      </c>
      <c r="C3037" t="inlineStr">
        <is>
          <t>Föryngringsavverkning</t>
        </is>
      </c>
      <c r="D3037" s="1" t="n">
        <v>45014</v>
      </c>
      <c r="E3037" s="1" t="n">
        <v>46313</v>
      </c>
      <c r="F3037" t="inlineStr">
        <is>
          <t>SÖDERMANLANDS LÄN</t>
        </is>
      </c>
      <c r="G3037" t="inlineStr">
        <is>
          <t>FLEN</t>
        </is>
      </c>
      <c r="H3037" t="inlineStr">
        <is>
          <t>Holmen skog AB</t>
        </is>
      </c>
      <c r="I3037" t="n">
        <v>1.5</v>
      </c>
      <c r="J3037" t="n">
        <v>0</v>
      </c>
      <c r="K3037" t="n">
        <v>0</v>
      </c>
      <c r="L3037" t="n">
        <v>0</v>
      </c>
      <c r="M3037" t="n">
        <v>0</v>
      </c>
      <c r="N3037" t="n">
        <v>0</v>
      </c>
      <c r="O3037" t="n">
        <v>0</v>
      </c>
      <c r="P3037" t="n">
        <v>0</v>
      </c>
      <c r="Q3037" t="n">
        <v>0</v>
      </c>
      <c r="R3037" t="n">
        <v>0</v>
      </c>
      <c r="S3037" t="n">
        <v>0</v>
      </c>
      <c r="T3037" t="n">
        <v>0</v>
      </c>
      <c r="U3037" t="n">
        <v>0</v>
      </c>
      <c r="V3037" s="2" t="inlineStr"/>
    </row>
    <row r="3038" ht="15" customHeight="1">
      <c r="A3038" t="inlineStr">
        <is>
          <t>A 40567-2026</t>
        </is>
      </c>
      <c r="B3038" t="inlineStr">
        <is>
          <t>avverkningsanmälan</t>
        </is>
      </c>
      <c r="C3038" t="inlineStr">
        <is>
          <t>Föryngringsavverkning</t>
        </is>
      </c>
      <c r="D3038" s="1" t="n">
        <v>46295</v>
      </c>
      <c r="E3038" s="1" t="n">
        <v>46313</v>
      </c>
      <c r="F3038" t="inlineStr">
        <is>
          <t>SÖDERMANLANDS LÄN</t>
        </is>
      </c>
      <c r="G3038" t="inlineStr">
        <is>
          <t>FLEN</t>
        </is>
      </c>
      <c r="I3038" t="n">
        <v>2.3</v>
      </c>
      <c r="J3038" t="n">
        <v>0</v>
      </c>
      <c r="K3038" t="n">
        <v>0</v>
      </c>
      <c r="L3038" t="n">
        <v>0</v>
      </c>
      <c r="M3038" t="n">
        <v>0</v>
      </c>
      <c r="N3038" t="n">
        <v>0</v>
      </c>
      <c r="O3038" t="n">
        <v>0</v>
      </c>
      <c r="P3038" t="n">
        <v>0</v>
      </c>
      <c r="Q3038" t="n">
        <v>0</v>
      </c>
      <c r="R3038" t="n">
        <v>0</v>
      </c>
      <c r="S3038" t="n">
        <v>0</v>
      </c>
      <c r="T3038" t="n">
        <v>0</v>
      </c>
      <c r="U3038" t="n">
        <v>0</v>
      </c>
      <c r="V3038" s="2" t="inlineStr"/>
    </row>
    <row r="3039" ht="15" customHeight="1">
      <c r="A3039" t="inlineStr">
        <is>
          <t>A 71555-2021</t>
        </is>
      </c>
      <c r="B3039" t="inlineStr">
        <is>
          <t>avverkningsanmälan</t>
        </is>
      </c>
      <c r="C3039" t="inlineStr">
        <is>
          <t>Föryngringsavverkning</t>
        </is>
      </c>
      <c r="D3039" s="1" t="n">
        <v>44540</v>
      </c>
      <c r="E3039" s="1" t="n">
        <v>46313</v>
      </c>
      <c r="F3039" t="inlineStr">
        <is>
          <t>SÖDERMANLANDS LÄN</t>
        </is>
      </c>
      <c r="G3039" t="inlineStr">
        <is>
          <t>NYKÖPING</t>
        </is>
      </c>
      <c r="I3039" t="n">
        <v>1</v>
      </c>
      <c r="J3039" t="n">
        <v>0</v>
      </c>
      <c r="K3039" t="n">
        <v>0</v>
      </c>
      <c r="L3039" t="n">
        <v>0</v>
      </c>
      <c r="M3039" t="n">
        <v>0</v>
      </c>
      <c r="N3039" t="n">
        <v>0</v>
      </c>
      <c r="O3039" t="n">
        <v>0</v>
      </c>
      <c r="P3039" t="n">
        <v>0</v>
      </c>
      <c r="Q3039" t="n">
        <v>0</v>
      </c>
      <c r="R3039" t="n">
        <v>0</v>
      </c>
      <c r="S3039" t="n">
        <v>0</v>
      </c>
      <c r="T3039" t="n">
        <v>0</v>
      </c>
      <c r="U3039" t="n">
        <v>0</v>
      </c>
      <c r="V3039" s="2" t="inlineStr"/>
    </row>
    <row r="3040" ht="15" customHeight="1">
      <c r="A3040" t="inlineStr">
        <is>
          <t>A 19442-2023</t>
        </is>
      </c>
      <c r="B3040" t="inlineStr">
        <is>
          <t>avverkningsanmälan</t>
        </is>
      </c>
      <c r="C3040" t="inlineStr">
        <is>
          <t>Föryngringsavverkning</t>
        </is>
      </c>
      <c r="D3040" s="1" t="n">
        <v>45050</v>
      </c>
      <c r="E3040" s="1" t="n">
        <v>46313</v>
      </c>
      <c r="F3040" t="inlineStr">
        <is>
          <t>SÖDERMANLANDS LÄN</t>
        </is>
      </c>
      <c r="G3040" t="inlineStr">
        <is>
          <t>KATRINEHOLM</t>
        </is>
      </c>
      <c r="H3040" t="inlineStr">
        <is>
          <t>Holmen skog AB</t>
        </is>
      </c>
      <c r="I3040" t="n">
        <v>0.7</v>
      </c>
      <c r="J3040" t="n">
        <v>0</v>
      </c>
      <c r="K3040" t="n">
        <v>0</v>
      </c>
      <c r="L3040" t="n">
        <v>0</v>
      </c>
      <c r="M3040" t="n">
        <v>0</v>
      </c>
      <c r="N3040" t="n">
        <v>0</v>
      </c>
      <c r="O3040" t="n">
        <v>0</v>
      </c>
      <c r="P3040" t="n">
        <v>0</v>
      </c>
      <c r="Q3040" t="n">
        <v>0</v>
      </c>
      <c r="R3040" t="n">
        <v>0</v>
      </c>
      <c r="S3040" t="n">
        <v>0</v>
      </c>
      <c r="T3040" t="n">
        <v>0</v>
      </c>
      <c r="U3040" t="n">
        <v>0</v>
      </c>
      <c r="V3040" s="2" t="inlineStr"/>
    </row>
    <row r="3041" ht="15" customHeight="1">
      <c r="A3041" t="inlineStr">
        <is>
          <t>A 1899-2025</t>
        </is>
      </c>
      <c r="B3041" t="inlineStr">
        <is>
          <t>avverkningsanmälan</t>
        </is>
      </c>
      <c r="C3041" t="inlineStr">
        <is>
          <t>Föryngringsavverkning</t>
        </is>
      </c>
      <c r="D3041" s="1" t="n">
        <v>45671</v>
      </c>
      <c r="E3041" s="1" t="n">
        <v>46313</v>
      </c>
      <c r="F3041" t="inlineStr">
        <is>
          <t>SÖDERMANLANDS LÄN</t>
        </is>
      </c>
      <c r="G3041" t="inlineStr">
        <is>
          <t>FLEN</t>
        </is>
      </c>
      <c r="I3041" t="n">
        <v>0.6</v>
      </c>
      <c r="J3041" t="n">
        <v>0</v>
      </c>
      <c r="K3041" t="n">
        <v>0</v>
      </c>
      <c r="L3041" t="n">
        <v>0</v>
      </c>
      <c r="M3041" t="n">
        <v>0</v>
      </c>
      <c r="N3041" t="n">
        <v>0</v>
      </c>
      <c r="O3041" t="n">
        <v>0</v>
      </c>
      <c r="P3041" t="n">
        <v>0</v>
      </c>
      <c r="Q3041" t="n">
        <v>0</v>
      </c>
      <c r="R3041" t="n">
        <v>0</v>
      </c>
      <c r="S3041" t="n">
        <v>0</v>
      </c>
      <c r="T3041" t="n">
        <v>0</v>
      </c>
      <c r="U3041" t="n">
        <v>0</v>
      </c>
      <c r="V3041" s="2" t="inlineStr"/>
    </row>
    <row r="3042" ht="15" customHeight="1">
      <c r="A3042" t="inlineStr">
        <is>
          <t>A 38753-2023</t>
        </is>
      </c>
      <c r="B3042" t="inlineStr">
        <is>
          <t>avverkningsanmälan</t>
        </is>
      </c>
      <c r="C3042" t="inlineStr">
        <is>
          <t>Föryngringsavverkning</t>
        </is>
      </c>
      <c r="D3042" s="1" t="n">
        <v>45163</v>
      </c>
      <c r="E3042" s="1" t="n">
        <v>46313</v>
      </c>
      <c r="F3042" t="inlineStr">
        <is>
          <t>SÖDERMANLANDS LÄN</t>
        </is>
      </c>
      <c r="G3042" t="inlineStr">
        <is>
          <t>FLEN</t>
        </is>
      </c>
      <c r="I3042" t="n">
        <v>7.9</v>
      </c>
      <c r="J3042" t="n">
        <v>0</v>
      </c>
      <c r="K3042" t="n">
        <v>0</v>
      </c>
      <c r="L3042" t="n">
        <v>0</v>
      </c>
      <c r="M3042" t="n">
        <v>0</v>
      </c>
      <c r="N3042" t="n">
        <v>0</v>
      </c>
      <c r="O3042" t="n">
        <v>0</v>
      </c>
      <c r="P3042" t="n">
        <v>0</v>
      </c>
      <c r="Q3042" t="n">
        <v>0</v>
      </c>
      <c r="R3042" t="n">
        <v>0</v>
      </c>
      <c r="S3042" t="n">
        <v>0</v>
      </c>
      <c r="T3042" t="n">
        <v>0</v>
      </c>
      <c r="U3042" t="n">
        <v>0</v>
      </c>
      <c r="V3042" s="2" t="inlineStr"/>
    </row>
    <row r="3043" ht="15" customHeight="1">
      <c r="A3043" t="inlineStr">
        <is>
          <t>A 34161-2026</t>
        </is>
      </c>
      <c r="B3043" t="inlineStr">
        <is>
          <t>avverkningsanmälan</t>
        </is>
      </c>
      <c r="C3043" t="inlineStr">
        <is>
          <t>Föryngringsavverkning</t>
        </is>
      </c>
      <c r="D3043" s="1" t="n">
        <v>46253</v>
      </c>
      <c r="E3043" s="1" t="n">
        <v>46313</v>
      </c>
      <c r="F3043" t="inlineStr">
        <is>
          <t>SÖDERMANLANDS LÄN</t>
        </is>
      </c>
      <c r="G3043" t="inlineStr">
        <is>
          <t>NYKÖPING</t>
        </is>
      </c>
      <c r="I3043" t="n">
        <v>5</v>
      </c>
      <c r="J3043" t="n">
        <v>0</v>
      </c>
      <c r="K3043" t="n">
        <v>0</v>
      </c>
      <c r="L3043" t="n">
        <v>0</v>
      </c>
      <c r="M3043" t="n">
        <v>0</v>
      </c>
      <c r="N3043" t="n">
        <v>0</v>
      </c>
      <c r="O3043" t="n">
        <v>0</v>
      </c>
      <c r="P3043" t="n">
        <v>0</v>
      </c>
      <c r="Q3043" t="n">
        <v>0</v>
      </c>
      <c r="R3043" t="n">
        <v>0</v>
      </c>
      <c r="S3043" t="n">
        <v>0</v>
      </c>
      <c r="T3043" t="n">
        <v>0</v>
      </c>
      <c r="U3043" t="n">
        <v>0</v>
      </c>
      <c r="V3043" s="2" t="inlineStr"/>
    </row>
    <row r="3044" ht="15" customHeight="1">
      <c r="A3044" t="inlineStr">
        <is>
          <t>A 14384-2026</t>
        </is>
      </c>
      <c r="B3044" t="inlineStr">
        <is>
          <t>avverkningsanmälan</t>
        </is>
      </c>
      <c r="C3044" t="inlineStr">
        <is>
          <t>Föryngringsavverkning</t>
        </is>
      </c>
      <c r="D3044" s="1" t="n">
        <v>46100</v>
      </c>
      <c r="E3044" s="1" t="n">
        <v>46313</v>
      </c>
      <c r="F3044" t="inlineStr">
        <is>
          <t>SÖDERMANLANDS LÄN</t>
        </is>
      </c>
      <c r="G3044" t="inlineStr">
        <is>
          <t>NYKÖPING</t>
        </is>
      </c>
      <c r="H3044" t="inlineStr">
        <is>
          <t>Holmen skog AB</t>
        </is>
      </c>
      <c r="I3044" t="n">
        <v>1.7</v>
      </c>
      <c r="J3044" t="n">
        <v>0</v>
      </c>
      <c r="K3044" t="n">
        <v>0</v>
      </c>
      <c r="L3044" t="n">
        <v>0</v>
      </c>
      <c r="M3044" t="n">
        <v>0</v>
      </c>
      <c r="N3044" t="n">
        <v>0</v>
      </c>
      <c r="O3044" t="n">
        <v>0</v>
      </c>
      <c r="P3044" t="n">
        <v>0</v>
      </c>
      <c r="Q3044" t="n">
        <v>0</v>
      </c>
      <c r="R3044" t="n">
        <v>0</v>
      </c>
      <c r="S3044" t="n">
        <v>0</v>
      </c>
      <c r="T3044" t="n">
        <v>0</v>
      </c>
      <c r="U3044" t="n">
        <v>0</v>
      </c>
      <c r="V3044" s="2" t="inlineStr"/>
    </row>
    <row r="3045" ht="15" customHeight="1">
      <c r="A3045" t="inlineStr">
        <is>
          <t>A 34468-2026</t>
        </is>
      </c>
      <c r="B3045" t="inlineStr">
        <is>
          <t>avverkningsanmälan</t>
        </is>
      </c>
      <c r="C3045" t="inlineStr">
        <is>
          <t>Föryngringsavverkning</t>
        </is>
      </c>
      <c r="D3045" s="1" t="n">
        <v>46254</v>
      </c>
      <c r="E3045" s="1" t="n">
        <v>46313</v>
      </c>
      <c r="F3045" t="inlineStr">
        <is>
          <t>SÖDERMANLANDS LÄN</t>
        </is>
      </c>
      <c r="G3045" t="inlineStr">
        <is>
          <t>ESKILSTUNA</t>
        </is>
      </c>
      <c r="I3045" t="n">
        <v>4.9</v>
      </c>
      <c r="J3045" t="n">
        <v>0</v>
      </c>
      <c r="K3045" t="n">
        <v>0</v>
      </c>
      <c r="L3045" t="n">
        <v>0</v>
      </c>
      <c r="M3045" t="n">
        <v>0</v>
      </c>
      <c r="N3045" t="n">
        <v>0</v>
      </c>
      <c r="O3045" t="n">
        <v>0</v>
      </c>
      <c r="P3045" t="n">
        <v>0</v>
      </c>
      <c r="Q3045" t="n">
        <v>0</v>
      </c>
      <c r="R3045" t="n">
        <v>0</v>
      </c>
      <c r="S3045" t="n">
        <v>0</v>
      </c>
      <c r="T3045" t="n">
        <v>0</v>
      </c>
      <c r="U3045" t="n">
        <v>0</v>
      </c>
      <c r="V3045" s="2" t="inlineStr"/>
    </row>
    <row r="3046" ht="15" customHeight="1">
      <c r="A3046" t="inlineStr">
        <is>
          <t>A 34130-2026</t>
        </is>
      </c>
      <c r="B3046" t="inlineStr">
        <is>
          <t>avverkningsanmälan</t>
        </is>
      </c>
      <c r="C3046" t="inlineStr">
        <is>
          <t>Föryngringsavverkning</t>
        </is>
      </c>
      <c r="D3046" s="1" t="n">
        <v>46253</v>
      </c>
      <c r="E3046" s="1" t="n">
        <v>46313</v>
      </c>
      <c r="F3046" t="inlineStr">
        <is>
          <t>SÖDERMANLANDS LÄN</t>
        </is>
      </c>
      <c r="G3046" t="inlineStr">
        <is>
          <t>VINGÅKER</t>
        </is>
      </c>
      <c r="I3046" t="n">
        <v>0.8</v>
      </c>
      <c r="J3046" t="n">
        <v>0</v>
      </c>
      <c r="K3046" t="n">
        <v>0</v>
      </c>
      <c r="L3046" t="n">
        <v>0</v>
      </c>
      <c r="M3046" t="n">
        <v>0</v>
      </c>
      <c r="N3046" t="n">
        <v>0</v>
      </c>
      <c r="O3046" t="n">
        <v>0</v>
      </c>
      <c r="P3046" t="n">
        <v>0</v>
      </c>
      <c r="Q3046" t="n">
        <v>0</v>
      </c>
      <c r="R3046" t="n">
        <v>0</v>
      </c>
      <c r="S3046" t="n">
        <v>0</v>
      </c>
      <c r="T3046" t="n">
        <v>0</v>
      </c>
      <c r="U3046" t="n">
        <v>0</v>
      </c>
      <c r="V3046" s="2" t="inlineStr"/>
    </row>
    <row r="3047" ht="15" customHeight="1">
      <c r="A3047" t="inlineStr">
        <is>
          <t>A 59093-2024</t>
        </is>
      </c>
      <c r="B3047" t="inlineStr">
        <is>
          <t>avverkningsanmälan</t>
        </is>
      </c>
      <c r="C3047" t="inlineStr">
        <is>
          <t>Föryngringsavverkning</t>
        </is>
      </c>
      <c r="D3047" s="1" t="n">
        <v>45636</v>
      </c>
      <c r="E3047" s="1" t="n">
        <v>46313</v>
      </c>
      <c r="F3047" t="inlineStr">
        <is>
          <t>SÖDERMANLANDS LÄN</t>
        </is>
      </c>
      <c r="G3047" t="inlineStr">
        <is>
          <t>KATRINEHOLM</t>
        </is>
      </c>
      <c r="I3047" t="n">
        <v>2.8</v>
      </c>
      <c r="J3047" t="n">
        <v>0</v>
      </c>
      <c r="K3047" t="n">
        <v>0</v>
      </c>
      <c r="L3047" t="n">
        <v>0</v>
      </c>
      <c r="M3047" t="n">
        <v>0</v>
      </c>
      <c r="N3047" t="n">
        <v>0</v>
      </c>
      <c r="O3047" t="n">
        <v>0</v>
      </c>
      <c r="P3047" t="n">
        <v>0</v>
      </c>
      <c r="Q3047" t="n">
        <v>0</v>
      </c>
      <c r="R3047" t="n">
        <v>0</v>
      </c>
      <c r="S3047" t="n">
        <v>0</v>
      </c>
      <c r="T3047" t="n">
        <v>0</v>
      </c>
      <c r="U3047" t="n">
        <v>0</v>
      </c>
      <c r="V3047" s="2" t="inlineStr"/>
    </row>
    <row r="3048" ht="15" customHeight="1">
      <c r="A3048" t="inlineStr">
        <is>
          <t>A 34157-2026</t>
        </is>
      </c>
      <c r="B3048" t="inlineStr">
        <is>
          <t>avverkningsanmälan</t>
        </is>
      </c>
      <c r="C3048" t="inlineStr">
        <is>
          <t>Föryngringsavverkning</t>
        </is>
      </c>
      <c r="D3048" s="1" t="n">
        <v>46253</v>
      </c>
      <c r="E3048" s="1" t="n">
        <v>46313</v>
      </c>
      <c r="F3048" t="inlineStr">
        <is>
          <t>SÖDERMANLANDS LÄN</t>
        </is>
      </c>
      <c r="G3048" t="inlineStr">
        <is>
          <t>VINGÅKER</t>
        </is>
      </c>
      <c r="I3048" t="n">
        <v>1.4</v>
      </c>
      <c r="J3048" t="n">
        <v>0</v>
      </c>
      <c r="K3048" t="n">
        <v>0</v>
      </c>
      <c r="L3048" t="n">
        <v>0</v>
      </c>
      <c r="M3048" t="n">
        <v>0</v>
      </c>
      <c r="N3048" t="n">
        <v>0</v>
      </c>
      <c r="O3048" t="n">
        <v>0</v>
      </c>
      <c r="P3048" t="n">
        <v>0</v>
      </c>
      <c r="Q3048" t="n">
        <v>0</v>
      </c>
      <c r="R3048" t="n">
        <v>0</v>
      </c>
      <c r="S3048" t="n">
        <v>0</v>
      </c>
      <c r="T3048" t="n">
        <v>0</v>
      </c>
      <c r="U3048" t="n">
        <v>0</v>
      </c>
      <c r="V3048" s="2" t="inlineStr"/>
    </row>
    <row r="3049" ht="15" customHeight="1">
      <c r="A3049" t="inlineStr">
        <is>
          <t>A 20348-2023</t>
        </is>
      </c>
      <c r="B3049" t="inlineStr">
        <is>
          <t>avverkningsanmälan</t>
        </is>
      </c>
      <c r="C3049" t="inlineStr">
        <is>
          <t>Föryngringsavverkning</t>
        </is>
      </c>
      <c r="D3049" s="1" t="n">
        <v>45056</v>
      </c>
      <c r="E3049" s="1" t="n">
        <v>46313</v>
      </c>
      <c r="F3049" t="inlineStr">
        <is>
          <t>SÖDERMANLANDS LÄN</t>
        </is>
      </c>
      <c r="G3049" t="inlineStr">
        <is>
          <t>ESKILSTUNA</t>
        </is>
      </c>
      <c r="H3049" t="inlineStr">
        <is>
          <t>Allmännings- och besparingsskogar</t>
        </is>
      </c>
      <c r="I3049" t="n">
        <v>5.6</v>
      </c>
      <c r="J3049" t="n">
        <v>0</v>
      </c>
      <c r="K3049" t="n">
        <v>0</v>
      </c>
      <c r="L3049" t="n">
        <v>0</v>
      </c>
      <c r="M3049" t="n">
        <v>0</v>
      </c>
      <c r="N3049" t="n">
        <v>0</v>
      </c>
      <c r="O3049" t="n">
        <v>0</v>
      </c>
      <c r="P3049" t="n">
        <v>0</v>
      </c>
      <c r="Q3049" t="n">
        <v>0</v>
      </c>
      <c r="R3049" t="n">
        <v>0</v>
      </c>
      <c r="S3049" t="n">
        <v>0</v>
      </c>
      <c r="T3049" t="n">
        <v>0</v>
      </c>
      <c r="U3049" t="n">
        <v>0</v>
      </c>
      <c r="V3049" s="2" t="inlineStr"/>
    </row>
    <row r="3050" ht="15" customHeight="1">
      <c r="A3050" t="inlineStr">
        <is>
          <t>A 34169-2026</t>
        </is>
      </c>
      <c r="B3050" t="inlineStr">
        <is>
          <t>avverkningsanmälan</t>
        </is>
      </c>
      <c r="C3050" t="inlineStr">
        <is>
          <t>Avverkning för annat ändamål</t>
        </is>
      </c>
      <c r="D3050" s="1" t="n">
        <v>46253</v>
      </c>
      <c r="E3050" s="1" t="n">
        <v>46313</v>
      </c>
      <c r="F3050" t="inlineStr">
        <is>
          <t>SÖDERMANLANDS LÄN</t>
        </is>
      </c>
      <c r="G3050" t="inlineStr">
        <is>
          <t>NYKÖPING</t>
        </is>
      </c>
      <c r="H3050" t="inlineStr">
        <is>
          <t>Kyrkan</t>
        </is>
      </c>
      <c r="I3050" t="n">
        <v>0.3</v>
      </c>
      <c r="J3050" t="n">
        <v>0</v>
      </c>
      <c r="K3050" t="n">
        <v>0</v>
      </c>
      <c r="L3050" t="n">
        <v>0</v>
      </c>
      <c r="M3050" t="n">
        <v>0</v>
      </c>
      <c r="N3050" t="n">
        <v>0</v>
      </c>
      <c r="O3050" t="n">
        <v>0</v>
      </c>
      <c r="P3050" t="n">
        <v>0</v>
      </c>
      <c r="Q3050" t="n">
        <v>0</v>
      </c>
      <c r="R3050" t="n">
        <v>0</v>
      </c>
      <c r="S3050" t="n">
        <v>0</v>
      </c>
      <c r="T3050" t="n">
        <v>0</v>
      </c>
      <c r="U3050" t="n">
        <v>0</v>
      </c>
      <c r="V3050" s="2" t="inlineStr"/>
    </row>
    <row r="3051" ht="15" customHeight="1">
      <c r="A3051" t="inlineStr">
        <is>
          <t>A 2606-2025</t>
        </is>
      </c>
      <c r="B3051" t="inlineStr">
        <is>
          <t>avverkningsanmälan</t>
        </is>
      </c>
      <c r="C3051" t="inlineStr">
        <is>
          <t>Avverkning för annat ändamål</t>
        </is>
      </c>
      <c r="D3051" s="1" t="n">
        <v>45674</v>
      </c>
      <c r="E3051" s="1" t="n">
        <v>46313</v>
      </c>
      <c r="F3051" t="inlineStr">
        <is>
          <t>SÖDERMANLANDS LÄN</t>
        </is>
      </c>
      <c r="G3051" t="inlineStr">
        <is>
          <t>KATRINEHOLM</t>
        </is>
      </c>
      <c r="I3051" t="n">
        <v>1.2</v>
      </c>
      <c r="J3051" t="n">
        <v>0</v>
      </c>
      <c r="K3051" t="n">
        <v>0</v>
      </c>
      <c r="L3051" t="n">
        <v>0</v>
      </c>
      <c r="M3051" t="n">
        <v>0</v>
      </c>
      <c r="N3051" t="n">
        <v>0</v>
      </c>
      <c r="O3051" t="n">
        <v>0</v>
      </c>
      <c r="P3051" t="n">
        <v>0</v>
      </c>
      <c r="Q3051" t="n">
        <v>0</v>
      </c>
      <c r="R3051" t="n">
        <v>0</v>
      </c>
      <c r="S3051" t="n">
        <v>0</v>
      </c>
      <c r="T3051" t="n">
        <v>0</v>
      </c>
      <c r="U3051" t="n">
        <v>0</v>
      </c>
      <c r="V3051" s="2" t="inlineStr"/>
    </row>
    <row r="3052" ht="15" customHeight="1">
      <c r="A3052" t="inlineStr">
        <is>
          <t>A 40619-2026</t>
        </is>
      </c>
      <c r="B3052" t="inlineStr">
        <is>
          <t>avverkningsanmälan</t>
        </is>
      </c>
      <c r="C3052" t="inlineStr">
        <is>
          <t>Föryngringsavverkning</t>
        </is>
      </c>
      <c r="D3052" s="1" t="n">
        <v>46295</v>
      </c>
      <c r="E3052" s="1" t="n">
        <v>46313</v>
      </c>
      <c r="F3052" t="inlineStr">
        <is>
          <t>SÖDERMANLANDS LÄN</t>
        </is>
      </c>
      <c r="G3052" t="inlineStr">
        <is>
          <t>KATRINEHOLM</t>
        </is>
      </c>
      <c r="I3052" t="n">
        <v>0.9</v>
      </c>
      <c r="J3052" t="n">
        <v>0</v>
      </c>
      <c r="K3052" t="n">
        <v>0</v>
      </c>
      <c r="L3052" t="n">
        <v>0</v>
      </c>
      <c r="M3052" t="n">
        <v>0</v>
      </c>
      <c r="N3052" t="n">
        <v>0</v>
      </c>
      <c r="O3052" t="n">
        <v>0</v>
      </c>
      <c r="P3052" t="n">
        <v>0</v>
      </c>
      <c r="Q3052" t="n">
        <v>0</v>
      </c>
      <c r="R3052" t="n">
        <v>0</v>
      </c>
      <c r="S3052" t="n">
        <v>0</v>
      </c>
      <c r="T3052" t="n">
        <v>0</v>
      </c>
      <c r="U3052" t="n">
        <v>0</v>
      </c>
      <c r="V3052" s="2" t="inlineStr"/>
    </row>
    <row r="3053" ht="15" customHeight="1">
      <c r="A3053" t="inlineStr">
        <is>
          <t>A 4899-2023</t>
        </is>
      </c>
      <c r="B3053" t="inlineStr">
        <is>
          <t>avverkningsanmälan</t>
        </is>
      </c>
      <c r="C3053" t="inlineStr">
        <is>
          <t>Avverkning för att bevara och utveckla /försöksver</t>
        </is>
      </c>
      <c r="D3053" s="1" t="n">
        <v>44958</v>
      </c>
      <c r="E3053" s="1" t="n">
        <v>46313</v>
      </c>
      <c r="F3053" t="inlineStr">
        <is>
          <t>SÖDERMANLANDS LÄN</t>
        </is>
      </c>
      <c r="G3053" t="inlineStr">
        <is>
          <t>FLEN</t>
        </is>
      </c>
      <c r="H3053" t="inlineStr">
        <is>
          <t>Kyrkan</t>
        </is>
      </c>
      <c r="I3053" t="n">
        <v>0.3</v>
      </c>
      <c r="J3053" t="n">
        <v>0</v>
      </c>
      <c r="K3053" t="n">
        <v>0</v>
      </c>
      <c r="L3053" t="n">
        <v>0</v>
      </c>
      <c r="M3053" t="n">
        <v>0</v>
      </c>
      <c r="N3053" t="n">
        <v>0</v>
      </c>
      <c r="O3053" t="n">
        <v>0</v>
      </c>
      <c r="P3053" t="n">
        <v>0</v>
      </c>
      <c r="Q3053" t="n">
        <v>0</v>
      </c>
      <c r="R3053" t="n">
        <v>0</v>
      </c>
      <c r="S3053" t="n">
        <v>0</v>
      </c>
      <c r="T3053" t="n">
        <v>0</v>
      </c>
      <c r="U3053" t="n">
        <v>0</v>
      </c>
      <c r="V3053" s="2" t="inlineStr"/>
    </row>
    <row r="3054" ht="15" customHeight="1">
      <c r="A3054" t="inlineStr">
        <is>
          <t>A 48763-2024</t>
        </is>
      </c>
      <c r="B3054" t="inlineStr">
        <is>
          <t>avverkningsanmälan</t>
        </is>
      </c>
      <c r="C3054" t="inlineStr">
        <is>
          <t>Föryngringsavverkning</t>
        </is>
      </c>
      <c r="D3054" s="1" t="n">
        <v>45593</v>
      </c>
      <c r="E3054" s="1" t="n">
        <v>46313</v>
      </c>
      <c r="F3054" t="inlineStr">
        <is>
          <t>SÖDERMANLANDS LÄN</t>
        </is>
      </c>
      <c r="G3054" t="inlineStr">
        <is>
          <t>KATRINEHOLM</t>
        </is>
      </c>
      <c r="I3054" t="n">
        <v>1.3</v>
      </c>
      <c r="J3054" t="n">
        <v>0</v>
      </c>
      <c r="K3054" t="n">
        <v>0</v>
      </c>
      <c r="L3054" t="n">
        <v>0</v>
      </c>
      <c r="M3054" t="n">
        <v>0</v>
      </c>
      <c r="N3054" t="n">
        <v>0</v>
      </c>
      <c r="O3054" t="n">
        <v>0</v>
      </c>
      <c r="P3054" t="n">
        <v>0</v>
      </c>
      <c r="Q3054" t="n">
        <v>0</v>
      </c>
      <c r="R3054" t="n">
        <v>0</v>
      </c>
      <c r="S3054" t="n">
        <v>0</v>
      </c>
      <c r="T3054" t="n">
        <v>0</v>
      </c>
      <c r="U3054" t="n">
        <v>0</v>
      </c>
      <c r="V3054" s="2" t="inlineStr"/>
    </row>
    <row r="3055" ht="15" customHeight="1">
      <c r="A3055" t="inlineStr">
        <is>
          <t>A 17372-2023</t>
        </is>
      </c>
      <c r="B3055" t="inlineStr">
        <is>
          <t>avverkningsanmälan</t>
        </is>
      </c>
      <c r="C3055" t="inlineStr">
        <is>
          <t>Föryngringsavverkning</t>
        </is>
      </c>
      <c r="D3055" s="1" t="n">
        <v>45034</v>
      </c>
      <c r="E3055" s="1" t="n">
        <v>46313</v>
      </c>
      <c r="F3055" t="inlineStr">
        <is>
          <t>SÖDERMANLANDS LÄN</t>
        </is>
      </c>
      <c r="G3055" t="inlineStr">
        <is>
          <t>NYKÖPING</t>
        </is>
      </c>
      <c r="I3055" t="n">
        <v>1</v>
      </c>
      <c r="J3055" t="n">
        <v>0</v>
      </c>
      <c r="K3055" t="n">
        <v>0</v>
      </c>
      <c r="L3055" t="n">
        <v>0</v>
      </c>
      <c r="M3055" t="n">
        <v>0</v>
      </c>
      <c r="N3055" t="n">
        <v>0</v>
      </c>
      <c r="O3055" t="n">
        <v>0</v>
      </c>
      <c r="P3055" t="n">
        <v>0</v>
      </c>
      <c r="Q3055" t="n">
        <v>0</v>
      </c>
      <c r="R3055" t="n">
        <v>0</v>
      </c>
      <c r="S3055" t="n">
        <v>0</v>
      </c>
      <c r="T3055" t="n">
        <v>0</v>
      </c>
      <c r="U3055" t="n">
        <v>0</v>
      </c>
      <c r="V3055" s="2" t="inlineStr"/>
    </row>
    <row r="3056" ht="15" customHeight="1">
      <c r="A3056" t="inlineStr">
        <is>
          <t>A 42251-2022</t>
        </is>
      </c>
      <c r="B3056" t="inlineStr">
        <is>
          <t>avverkningsanmälan</t>
        </is>
      </c>
      <c r="C3056" t="inlineStr">
        <is>
          <t>Föryngringsavverkning</t>
        </is>
      </c>
      <c r="D3056" s="1" t="n">
        <v>44830</v>
      </c>
      <c r="E3056" s="1" t="n">
        <v>46313</v>
      </c>
      <c r="F3056" t="inlineStr">
        <is>
          <t>SÖDERMANLANDS LÄN</t>
        </is>
      </c>
      <c r="G3056" t="inlineStr">
        <is>
          <t>NYKÖPING</t>
        </is>
      </c>
      <c r="I3056" t="n">
        <v>2.3</v>
      </c>
      <c r="J3056" t="n">
        <v>0</v>
      </c>
      <c r="K3056" t="n">
        <v>0</v>
      </c>
      <c r="L3056" t="n">
        <v>0</v>
      </c>
      <c r="M3056" t="n">
        <v>0</v>
      </c>
      <c r="N3056" t="n">
        <v>0</v>
      </c>
      <c r="O3056" t="n">
        <v>0</v>
      </c>
      <c r="P3056" t="n">
        <v>0</v>
      </c>
      <c r="Q3056" t="n">
        <v>0</v>
      </c>
      <c r="R3056" t="n">
        <v>0</v>
      </c>
      <c r="S3056" t="n">
        <v>0</v>
      </c>
      <c r="T3056" t="n">
        <v>0</v>
      </c>
      <c r="U3056" t="n">
        <v>0</v>
      </c>
      <c r="V3056" s="2" t="inlineStr"/>
    </row>
    <row r="3057" ht="15" customHeight="1">
      <c r="A3057" t="inlineStr">
        <is>
          <t>A 60578-2021</t>
        </is>
      </c>
      <c r="B3057" t="inlineStr">
        <is>
          <t>avverkningsanmälan</t>
        </is>
      </c>
      <c r="C3057" t="inlineStr">
        <is>
          <t>Föryngringsavverkning</t>
        </is>
      </c>
      <c r="D3057" s="1" t="n">
        <v>44496</v>
      </c>
      <c r="E3057" s="1" t="n">
        <v>46313</v>
      </c>
      <c r="F3057" t="inlineStr">
        <is>
          <t>SÖDERMANLANDS LÄN</t>
        </is>
      </c>
      <c r="G3057" t="inlineStr">
        <is>
          <t>VINGÅKER</t>
        </is>
      </c>
      <c r="I3057" t="n">
        <v>1.9</v>
      </c>
      <c r="J3057" t="n">
        <v>0</v>
      </c>
      <c r="K3057" t="n">
        <v>0</v>
      </c>
      <c r="L3057" t="n">
        <v>0</v>
      </c>
      <c r="M3057" t="n">
        <v>0</v>
      </c>
      <c r="N3057" t="n">
        <v>0</v>
      </c>
      <c r="O3057" t="n">
        <v>0</v>
      </c>
      <c r="P3057" t="n">
        <v>0</v>
      </c>
      <c r="Q3057" t="n">
        <v>0</v>
      </c>
      <c r="R3057" t="n">
        <v>0</v>
      </c>
      <c r="S3057" t="n">
        <v>0</v>
      </c>
      <c r="T3057" t="n">
        <v>0</v>
      </c>
      <c r="U3057" t="n">
        <v>0</v>
      </c>
      <c r="V3057" s="2" t="inlineStr"/>
    </row>
    <row r="3058" ht="15" customHeight="1">
      <c r="A3058" t="inlineStr">
        <is>
          <t>A 22605-2023</t>
        </is>
      </c>
      <c r="B3058" t="inlineStr">
        <is>
          <t>avverkningsanmälan</t>
        </is>
      </c>
      <c r="C3058" t="inlineStr">
        <is>
          <t>Avverkning för annat ändamål</t>
        </is>
      </c>
      <c r="D3058" s="1" t="n">
        <v>45071</v>
      </c>
      <c r="E3058" s="1" t="n">
        <v>46313</v>
      </c>
      <c r="F3058" t="inlineStr">
        <is>
          <t>SÖDERMANLANDS LÄN</t>
        </is>
      </c>
      <c r="G3058" t="inlineStr">
        <is>
          <t>ESKILSTUNA</t>
        </is>
      </c>
      <c r="H3058" t="inlineStr">
        <is>
          <t>Kyrkan</t>
        </is>
      </c>
      <c r="I3058" t="n">
        <v>0.1</v>
      </c>
      <c r="J3058" t="n">
        <v>0</v>
      </c>
      <c r="K3058" t="n">
        <v>0</v>
      </c>
      <c r="L3058" t="n">
        <v>0</v>
      </c>
      <c r="M3058" t="n">
        <v>0</v>
      </c>
      <c r="N3058" t="n">
        <v>0</v>
      </c>
      <c r="O3058" t="n">
        <v>0</v>
      </c>
      <c r="P3058" t="n">
        <v>0</v>
      </c>
      <c r="Q3058" t="n">
        <v>0</v>
      </c>
      <c r="R3058" t="n">
        <v>0</v>
      </c>
      <c r="S3058" t="n">
        <v>0</v>
      </c>
      <c r="T3058" t="n">
        <v>0</v>
      </c>
      <c r="U3058" t="n">
        <v>0</v>
      </c>
      <c r="V3058" s="2" t="inlineStr"/>
    </row>
    <row r="3059" ht="15" customHeight="1">
      <c r="A3059" t="inlineStr">
        <is>
          <t>A 36714-2023</t>
        </is>
      </c>
      <c r="B3059" t="inlineStr">
        <is>
          <t>avverkningsanmälan</t>
        </is>
      </c>
      <c r="C3059" t="inlineStr">
        <is>
          <t>Föryngringsavverkning</t>
        </is>
      </c>
      <c r="D3059" s="1" t="n">
        <v>45153</v>
      </c>
      <c r="E3059" s="1" t="n">
        <v>46313</v>
      </c>
      <c r="F3059" t="inlineStr">
        <is>
          <t>SÖDERMANLANDS LÄN</t>
        </is>
      </c>
      <c r="G3059" t="inlineStr">
        <is>
          <t>NYKÖPING</t>
        </is>
      </c>
      <c r="H3059" t="inlineStr">
        <is>
          <t>Kommuner</t>
        </is>
      </c>
      <c r="I3059" t="n">
        <v>4.7</v>
      </c>
      <c r="J3059" t="n">
        <v>0</v>
      </c>
      <c r="K3059" t="n">
        <v>0</v>
      </c>
      <c r="L3059" t="n">
        <v>0</v>
      </c>
      <c r="M3059" t="n">
        <v>0</v>
      </c>
      <c r="N3059" t="n">
        <v>0</v>
      </c>
      <c r="O3059" t="n">
        <v>0</v>
      </c>
      <c r="P3059" t="n">
        <v>0</v>
      </c>
      <c r="Q3059" t="n">
        <v>0</v>
      </c>
      <c r="R3059" t="n">
        <v>0</v>
      </c>
      <c r="S3059" t="n">
        <v>0</v>
      </c>
      <c r="T3059" t="n">
        <v>0</v>
      </c>
      <c r="U3059" t="n">
        <v>0</v>
      </c>
      <c r="V3059" s="2" t="inlineStr"/>
    </row>
    <row r="3060" ht="15" customHeight="1">
      <c r="A3060" t="inlineStr">
        <is>
          <t>A 1431-2023</t>
        </is>
      </c>
      <c r="B3060" t="inlineStr">
        <is>
          <t>avverkningsanmälan</t>
        </is>
      </c>
      <c r="C3060" t="inlineStr">
        <is>
          <t>Föryngringsavverkning</t>
        </is>
      </c>
      <c r="D3060" s="1" t="n">
        <v>44937</v>
      </c>
      <c r="E3060" s="1" t="n">
        <v>46313</v>
      </c>
      <c r="F3060" t="inlineStr">
        <is>
          <t>SÖDERMANLANDS LÄN</t>
        </is>
      </c>
      <c r="G3060" t="inlineStr">
        <is>
          <t>TROSA</t>
        </is>
      </c>
      <c r="I3060" t="n">
        <v>1.3</v>
      </c>
      <c r="J3060" t="n">
        <v>0</v>
      </c>
      <c r="K3060" t="n">
        <v>0</v>
      </c>
      <c r="L3060" t="n">
        <v>0</v>
      </c>
      <c r="M3060" t="n">
        <v>0</v>
      </c>
      <c r="N3060" t="n">
        <v>0</v>
      </c>
      <c r="O3060" t="n">
        <v>0</v>
      </c>
      <c r="P3060" t="n">
        <v>0</v>
      </c>
      <c r="Q3060" t="n">
        <v>0</v>
      </c>
      <c r="R3060" t="n">
        <v>0</v>
      </c>
      <c r="S3060" t="n">
        <v>0</v>
      </c>
      <c r="T3060" t="n">
        <v>0</v>
      </c>
      <c r="U3060" t="n">
        <v>0</v>
      </c>
      <c r="V3060" s="2" t="inlineStr"/>
    </row>
    <row r="3061" ht="15" customHeight="1">
      <c r="A3061" t="inlineStr">
        <is>
          <t>A 1460-2023</t>
        </is>
      </c>
      <c r="B3061" t="inlineStr">
        <is>
          <t>avverkningsanmälan</t>
        </is>
      </c>
      <c r="C3061" t="inlineStr">
        <is>
          <t>Föryngringsavverkning</t>
        </is>
      </c>
      <c r="D3061" s="1" t="n">
        <v>44937</v>
      </c>
      <c r="E3061" s="1" t="n">
        <v>46313</v>
      </c>
      <c r="F3061" t="inlineStr">
        <is>
          <t>SÖDERMANLANDS LÄN</t>
        </is>
      </c>
      <c r="G3061" t="inlineStr">
        <is>
          <t>VINGÅKER</t>
        </is>
      </c>
      <c r="I3061" t="n">
        <v>1.5</v>
      </c>
      <c r="J3061" t="n">
        <v>0</v>
      </c>
      <c r="K3061" t="n">
        <v>0</v>
      </c>
      <c r="L3061" t="n">
        <v>0</v>
      </c>
      <c r="M3061" t="n">
        <v>0</v>
      </c>
      <c r="N3061" t="n">
        <v>0</v>
      </c>
      <c r="O3061" t="n">
        <v>0</v>
      </c>
      <c r="P3061" t="n">
        <v>0</v>
      </c>
      <c r="Q3061" t="n">
        <v>0</v>
      </c>
      <c r="R3061" t="n">
        <v>0</v>
      </c>
      <c r="S3061" t="n">
        <v>0</v>
      </c>
      <c r="T3061" t="n">
        <v>0</v>
      </c>
      <c r="U3061" t="n">
        <v>0</v>
      </c>
      <c r="V3061" s="2" t="inlineStr"/>
    </row>
    <row r="3062" ht="15" customHeight="1">
      <c r="A3062" t="inlineStr">
        <is>
          <t>A 1721-2023</t>
        </is>
      </c>
      <c r="B3062" t="inlineStr">
        <is>
          <t>avverkningsanmälan</t>
        </is>
      </c>
      <c r="C3062" t="inlineStr">
        <is>
          <t>Föryngringsavverkning</t>
        </is>
      </c>
      <c r="D3062" s="1" t="n">
        <v>44938</v>
      </c>
      <c r="E3062" s="1" t="n">
        <v>46313</v>
      </c>
      <c r="F3062" t="inlineStr">
        <is>
          <t>SÖDERMANLANDS LÄN</t>
        </is>
      </c>
      <c r="G3062" t="inlineStr">
        <is>
          <t>VINGÅKER</t>
        </is>
      </c>
      <c r="I3062" t="n">
        <v>1.7</v>
      </c>
      <c r="J3062" t="n">
        <v>0</v>
      </c>
      <c r="K3062" t="n">
        <v>0</v>
      </c>
      <c r="L3062" t="n">
        <v>0</v>
      </c>
      <c r="M3062" t="n">
        <v>0</v>
      </c>
      <c r="N3062" t="n">
        <v>0</v>
      </c>
      <c r="O3062" t="n">
        <v>0</v>
      </c>
      <c r="P3062" t="n">
        <v>0</v>
      </c>
      <c r="Q3062" t="n">
        <v>0</v>
      </c>
      <c r="R3062" t="n">
        <v>0</v>
      </c>
      <c r="S3062" t="n">
        <v>0</v>
      </c>
      <c r="T3062" t="n">
        <v>0</v>
      </c>
      <c r="U3062" t="n">
        <v>0</v>
      </c>
      <c r="V3062" s="2" t="inlineStr"/>
    </row>
    <row r="3063" ht="15" customHeight="1">
      <c r="A3063" t="inlineStr">
        <is>
          <t>A 41472-2026</t>
        </is>
      </c>
      <c r="B3063" t="inlineStr">
        <is>
          <t>avverkningsanmälan</t>
        </is>
      </c>
      <c r="C3063" t="inlineStr">
        <is>
          <t>Föryngringsavverkning</t>
        </is>
      </c>
      <c r="D3063" s="1" t="n">
        <v>46301</v>
      </c>
      <c r="E3063" s="1" t="n">
        <v>46313</v>
      </c>
      <c r="F3063" t="inlineStr">
        <is>
          <t>SÖDERMANLANDS LÄN</t>
        </is>
      </c>
      <c r="G3063" t="inlineStr">
        <is>
          <t>KATRINEHOLM</t>
        </is>
      </c>
      <c r="I3063" t="n">
        <v>1.2</v>
      </c>
      <c r="J3063" t="n">
        <v>0</v>
      </c>
      <c r="K3063" t="n">
        <v>0</v>
      </c>
      <c r="L3063" t="n">
        <v>0</v>
      </c>
      <c r="M3063" t="n">
        <v>0</v>
      </c>
      <c r="N3063" t="n">
        <v>0</v>
      </c>
      <c r="O3063" t="n">
        <v>0</v>
      </c>
      <c r="P3063" t="n">
        <v>0</v>
      </c>
      <c r="Q3063" t="n">
        <v>0</v>
      </c>
      <c r="R3063" t="n">
        <v>0</v>
      </c>
      <c r="S3063" t="n">
        <v>0</v>
      </c>
      <c r="T3063" t="n">
        <v>0</v>
      </c>
      <c r="U3063" t="n">
        <v>0</v>
      </c>
      <c r="V3063" s="2" t="inlineStr"/>
    </row>
    <row r="3064" ht="15" customHeight="1">
      <c r="A3064" t="inlineStr">
        <is>
          <t>A 58857-2021</t>
        </is>
      </c>
      <c r="B3064" t="inlineStr">
        <is>
          <t>avverkningsanmälan</t>
        </is>
      </c>
      <c r="C3064" t="inlineStr">
        <is>
          <t>Föryngringsavverkning</t>
        </is>
      </c>
      <c r="D3064" s="1" t="n">
        <v>44489</v>
      </c>
      <c r="E3064" s="1" t="n">
        <v>46313</v>
      </c>
      <c r="F3064" t="inlineStr">
        <is>
          <t>SÖDERMANLANDS LÄN</t>
        </is>
      </c>
      <c r="G3064" t="inlineStr">
        <is>
          <t>NYKÖPING</t>
        </is>
      </c>
      <c r="I3064" t="n">
        <v>2.1</v>
      </c>
      <c r="J3064" t="n">
        <v>0</v>
      </c>
      <c r="K3064" t="n">
        <v>0</v>
      </c>
      <c r="L3064" t="n">
        <v>0</v>
      </c>
      <c r="M3064" t="n">
        <v>0</v>
      </c>
      <c r="N3064" t="n">
        <v>0</v>
      </c>
      <c r="O3064" t="n">
        <v>0</v>
      </c>
      <c r="P3064" t="n">
        <v>0</v>
      </c>
      <c r="Q3064" t="n">
        <v>0</v>
      </c>
      <c r="R3064" t="n">
        <v>0</v>
      </c>
      <c r="S3064" t="n">
        <v>0</v>
      </c>
      <c r="T3064" t="n">
        <v>0</v>
      </c>
      <c r="U3064" t="n">
        <v>0</v>
      </c>
      <c r="V3064" s="2" t="inlineStr"/>
    </row>
    <row r="3065" ht="15" customHeight="1">
      <c r="A3065" t="inlineStr">
        <is>
          <t>A 41229-2022</t>
        </is>
      </c>
      <c r="B3065" t="inlineStr">
        <is>
          <t>avverkningsanmälan</t>
        </is>
      </c>
      <c r="C3065" t="inlineStr">
        <is>
          <t>Föryngringsavverkning</t>
        </is>
      </c>
      <c r="D3065" s="1" t="n">
        <v>44825</v>
      </c>
      <c r="E3065" s="1" t="n">
        <v>46313</v>
      </c>
      <c r="F3065" t="inlineStr">
        <is>
          <t>SÖDERMANLANDS LÄN</t>
        </is>
      </c>
      <c r="G3065" t="inlineStr">
        <is>
          <t>KATRINEHOLM</t>
        </is>
      </c>
      <c r="I3065" t="n">
        <v>3.8</v>
      </c>
      <c r="J3065" t="n">
        <v>0</v>
      </c>
      <c r="K3065" t="n">
        <v>0</v>
      </c>
      <c r="L3065" t="n">
        <v>0</v>
      </c>
      <c r="M3065" t="n">
        <v>0</v>
      </c>
      <c r="N3065" t="n">
        <v>0</v>
      </c>
      <c r="O3065" t="n">
        <v>0</v>
      </c>
      <c r="P3065" t="n">
        <v>0</v>
      </c>
      <c r="Q3065" t="n">
        <v>0</v>
      </c>
      <c r="R3065" t="n">
        <v>0</v>
      </c>
      <c r="S3065" t="n">
        <v>0</v>
      </c>
      <c r="T3065" t="n">
        <v>0</v>
      </c>
      <c r="U3065" t="n">
        <v>0</v>
      </c>
      <c r="V3065" s="2" t="inlineStr"/>
    </row>
    <row r="3066" ht="15" customHeight="1">
      <c r="A3066" t="inlineStr">
        <is>
          <t>A 20482-2025</t>
        </is>
      </c>
      <c r="B3066" t="inlineStr">
        <is>
          <t>avverkningsanmälan</t>
        </is>
      </c>
      <c r="C3066" t="inlineStr">
        <is>
          <t>Föryngringsavverkning</t>
        </is>
      </c>
      <c r="D3066" s="1" t="n">
        <v>45775</v>
      </c>
      <c r="E3066" s="1" t="n">
        <v>46313</v>
      </c>
      <c r="F3066" t="inlineStr">
        <is>
          <t>SÖDERMANLANDS LÄN</t>
        </is>
      </c>
      <c r="G3066" t="inlineStr">
        <is>
          <t>NYKÖPING</t>
        </is>
      </c>
      <c r="H3066" t="inlineStr">
        <is>
          <t>Kommuner</t>
        </is>
      </c>
      <c r="I3066" t="n">
        <v>4.8</v>
      </c>
      <c r="J3066" t="n">
        <v>0</v>
      </c>
      <c r="K3066" t="n">
        <v>0</v>
      </c>
      <c r="L3066" t="n">
        <v>0</v>
      </c>
      <c r="M3066" t="n">
        <v>0</v>
      </c>
      <c r="N3066" t="n">
        <v>0</v>
      </c>
      <c r="O3066" t="n">
        <v>0</v>
      </c>
      <c r="P3066" t="n">
        <v>0</v>
      </c>
      <c r="Q3066" t="n">
        <v>0</v>
      </c>
      <c r="R3066" t="n">
        <v>0</v>
      </c>
      <c r="S3066" t="n">
        <v>0</v>
      </c>
      <c r="T3066" t="n">
        <v>0</v>
      </c>
      <c r="U3066" t="n">
        <v>0</v>
      </c>
      <c r="V3066" s="2" t="inlineStr"/>
    </row>
    <row r="3067" ht="15" customHeight="1">
      <c r="A3067" t="inlineStr">
        <is>
          <t>A 34844-2026</t>
        </is>
      </c>
      <c r="B3067" t="inlineStr">
        <is>
          <t>avverkningsanmälan</t>
        </is>
      </c>
      <c r="C3067" t="inlineStr">
        <is>
          <t>Föryngringsavverkning</t>
        </is>
      </c>
      <c r="D3067" s="1" t="n">
        <v>46258</v>
      </c>
      <c r="E3067" s="1" t="n">
        <v>46313</v>
      </c>
      <c r="F3067" t="inlineStr">
        <is>
          <t>SÖDERMANLANDS LÄN</t>
        </is>
      </c>
      <c r="G3067" t="inlineStr">
        <is>
          <t>FLEN</t>
        </is>
      </c>
      <c r="H3067" t="inlineStr">
        <is>
          <t>Holmen skog AB</t>
        </is>
      </c>
      <c r="I3067" t="n">
        <v>3.4</v>
      </c>
      <c r="J3067" t="n">
        <v>0</v>
      </c>
      <c r="K3067" t="n">
        <v>0</v>
      </c>
      <c r="L3067" t="n">
        <v>0</v>
      </c>
      <c r="M3067" t="n">
        <v>0</v>
      </c>
      <c r="N3067" t="n">
        <v>0</v>
      </c>
      <c r="O3067" t="n">
        <v>0</v>
      </c>
      <c r="P3067" t="n">
        <v>0</v>
      </c>
      <c r="Q3067" t="n">
        <v>0</v>
      </c>
      <c r="R3067" t="n">
        <v>0</v>
      </c>
      <c r="S3067" t="n">
        <v>0</v>
      </c>
      <c r="T3067" t="n">
        <v>0</v>
      </c>
      <c r="U3067" t="n">
        <v>0</v>
      </c>
      <c r="V3067" s="2" t="inlineStr"/>
    </row>
    <row r="3068" ht="15" customHeight="1">
      <c r="A3068" t="inlineStr">
        <is>
          <t>A 43261-2023</t>
        </is>
      </c>
      <c r="B3068" t="inlineStr">
        <is>
          <t>avverkningsanmälan</t>
        </is>
      </c>
      <c r="C3068" t="inlineStr">
        <is>
          <t>Föryngringsavverkning</t>
        </is>
      </c>
      <c r="D3068" s="1" t="n">
        <v>45183</v>
      </c>
      <c r="E3068" s="1" t="n">
        <v>46313</v>
      </c>
      <c r="F3068" t="inlineStr">
        <is>
          <t>SÖDERMANLANDS LÄN</t>
        </is>
      </c>
      <c r="G3068" t="inlineStr">
        <is>
          <t>ESKILSTUNA</t>
        </is>
      </c>
      <c r="H3068" t="inlineStr">
        <is>
          <t>Allmännings- och besparingsskogar</t>
        </is>
      </c>
      <c r="I3068" t="n">
        <v>2.7</v>
      </c>
      <c r="J3068" t="n">
        <v>0</v>
      </c>
      <c r="K3068" t="n">
        <v>0</v>
      </c>
      <c r="L3068" t="n">
        <v>0</v>
      </c>
      <c r="M3068" t="n">
        <v>0</v>
      </c>
      <c r="N3068" t="n">
        <v>0</v>
      </c>
      <c r="O3068" t="n">
        <v>0</v>
      </c>
      <c r="P3068" t="n">
        <v>0</v>
      </c>
      <c r="Q3068" t="n">
        <v>0</v>
      </c>
      <c r="R3068" t="n">
        <v>0</v>
      </c>
      <c r="S3068" t="n">
        <v>0</v>
      </c>
      <c r="T3068" t="n">
        <v>0</v>
      </c>
      <c r="U3068" t="n">
        <v>0</v>
      </c>
      <c r="V3068" s="2" t="inlineStr"/>
    </row>
    <row r="3069" ht="15" customHeight="1">
      <c r="A3069" t="inlineStr">
        <is>
          <t>A 28104-2025</t>
        </is>
      </c>
      <c r="B3069" t="inlineStr">
        <is>
          <t>avverkningsanmälan</t>
        </is>
      </c>
      <c r="C3069" t="inlineStr">
        <is>
          <t>Föryngringsavverkning</t>
        </is>
      </c>
      <c r="D3069" s="1" t="n">
        <v>45817</v>
      </c>
      <c r="E3069" s="1" t="n">
        <v>46313</v>
      </c>
      <c r="F3069" t="inlineStr">
        <is>
          <t>SÖDERMANLANDS LÄN</t>
        </is>
      </c>
      <c r="G3069" t="inlineStr">
        <is>
          <t>STRÄNGNÄS</t>
        </is>
      </c>
      <c r="I3069" t="n">
        <v>0.8</v>
      </c>
      <c r="J3069" t="n">
        <v>0</v>
      </c>
      <c r="K3069" t="n">
        <v>0</v>
      </c>
      <c r="L3069" t="n">
        <v>0</v>
      </c>
      <c r="M3069" t="n">
        <v>0</v>
      </c>
      <c r="N3069" t="n">
        <v>0</v>
      </c>
      <c r="O3069" t="n">
        <v>0</v>
      </c>
      <c r="P3069" t="n">
        <v>0</v>
      </c>
      <c r="Q3069" t="n">
        <v>0</v>
      </c>
      <c r="R3069" t="n">
        <v>0</v>
      </c>
      <c r="S3069" t="n">
        <v>0</v>
      </c>
      <c r="T3069" t="n">
        <v>0</v>
      </c>
      <c r="U3069" t="n">
        <v>0</v>
      </c>
      <c r="V3069" s="2" t="inlineStr"/>
    </row>
    <row r="3070" ht="15" customHeight="1">
      <c r="A3070" t="inlineStr">
        <is>
          <t>A 20952-2025</t>
        </is>
      </c>
      <c r="B3070" t="inlineStr">
        <is>
          <t>avverkningsanmälan</t>
        </is>
      </c>
      <c r="C3070" t="inlineStr">
        <is>
          <t>Föryngringsavverkning</t>
        </is>
      </c>
      <c r="D3070" s="1" t="n">
        <v>45777</v>
      </c>
      <c r="E3070" s="1" t="n">
        <v>46313</v>
      </c>
      <c r="F3070" t="inlineStr">
        <is>
          <t>SÖDERMANLANDS LÄN</t>
        </is>
      </c>
      <c r="G3070" t="inlineStr">
        <is>
          <t>FLEN</t>
        </is>
      </c>
      <c r="H3070" t="inlineStr">
        <is>
          <t>Holmen skog AB</t>
        </is>
      </c>
      <c r="I3070" t="n">
        <v>3.3</v>
      </c>
      <c r="J3070" t="n">
        <v>0</v>
      </c>
      <c r="K3070" t="n">
        <v>0</v>
      </c>
      <c r="L3070" t="n">
        <v>0</v>
      </c>
      <c r="M3070" t="n">
        <v>0</v>
      </c>
      <c r="N3070" t="n">
        <v>0</v>
      </c>
      <c r="O3070" t="n">
        <v>0</v>
      </c>
      <c r="P3070" t="n">
        <v>0</v>
      </c>
      <c r="Q3070" t="n">
        <v>0</v>
      </c>
      <c r="R3070" t="n">
        <v>0</v>
      </c>
      <c r="S3070" t="n">
        <v>0</v>
      </c>
      <c r="T3070" t="n">
        <v>0</v>
      </c>
      <c r="U3070" t="n">
        <v>0</v>
      </c>
      <c r="V3070" s="2" t="inlineStr"/>
    </row>
    <row r="3071" ht="15" customHeight="1">
      <c r="A3071" t="inlineStr">
        <is>
          <t>A 34851-2026</t>
        </is>
      </c>
      <c r="B3071" t="inlineStr">
        <is>
          <t>avverkningsanmälan</t>
        </is>
      </c>
      <c r="C3071" t="inlineStr">
        <is>
          <t>Föryngringsavverkning</t>
        </is>
      </c>
      <c r="D3071" s="1" t="n">
        <v>46258</v>
      </c>
      <c r="E3071" s="1" t="n">
        <v>46313</v>
      </c>
      <c r="F3071" t="inlineStr">
        <is>
          <t>SÖDERMANLANDS LÄN</t>
        </is>
      </c>
      <c r="G3071" t="inlineStr">
        <is>
          <t>FLEN</t>
        </is>
      </c>
      <c r="H3071" t="inlineStr">
        <is>
          <t>Holmen skog AB</t>
        </is>
      </c>
      <c r="I3071" t="n">
        <v>3.2</v>
      </c>
      <c r="J3071" t="n">
        <v>0</v>
      </c>
      <c r="K3071" t="n">
        <v>0</v>
      </c>
      <c r="L3071" t="n">
        <v>0</v>
      </c>
      <c r="M3071" t="n">
        <v>0</v>
      </c>
      <c r="N3071" t="n">
        <v>0</v>
      </c>
      <c r="O3071" t="n">
        <v>0</v>
      </c>
      <c r="P3071" t="n">
        <v>0</v>
      </c>
      <c r="Q3071" t="n">
        <v>0</v>
      </c>
      <c r="R3071" t="n">
        <v>0</v>
      </c>
      <c r="S3071" t="n">
        <v>0</v>
      </c>
      <c r="T3071" t="n">
        <v>0</v>
      </c>
      <c r="U3071" t="n">
        <v>0</v>
      </c>
      <c r="V3071" s="2" t="inlineStr"/>
    </row>
    <row r="3072" ht="15" customHeight="1">
      <c r="A3072" t="inlineStr">
        <is>
          <t>A 44824-2023</t>
        </is>
      </c>
      <c r="B3072" t="inlineStr">
        <is>
          <t>avverkningsanmälan</t>
        </is>
      </c>
      <c r="C3072" t="inlineStr">
        <is>
          <t>Föryngringsavverkning</t>
        </is>
      </c>
      <c r="D3072" s="1" t="n">
        <v>45190</v>
      </c>
      <c r="E3072" s="1" t="n">
        <v>46313</v>
      </c>
      <c r="F3072" t="inlineStr">
        <is>
          <t>SÖDERMANLANDS LÄN</t>
        </is>
      </c>
      <c r="G3072" t="inlineStr">
        <is>
          <t>NYKÖPING</t>
        </is>
      </c>
      <c r="H3072" t="inlineStr">
        <is>
          <t>Holmen skog AB</t>
        </is>
      </c>
      <c r="I3072" t="n">
        <v>2.1</v>
      </c>
      <c r="J3072" t="n">
        <v>0</v>
      </c>
      <c r="K3072" t="n">
        <v>0</v>
      </c>
      <c r="L3072" t="n">
        <v>0</v>
      </c>
      <c r="M3072" t="n">
        <v>0</v>
      </c>
      <c r="N3072" t="n">
        <v>0</v>
      </c>
      <c r="O3072" t="n">
        <v>0</v>
      </c>
      <c r="P3072" t="n">
        <v>0</v>
      </c>
      <c r="Q3072" t="n">
        <v>0</v>
      </c>
      <c r="R3072" t="n">
        <v>0</v>
      </c>
      <c r="S3072" t="n">
        <v>0</v>
      </c>
      <c r="T3072" t="n">
        <v>0</v>
      </c>
      <c r="U3072" t="n">
        <v>0</v>
      </c>
      <c r="V3072" s="2" t="inlineStr"/>
    </row>
    <row r="3073" ht="15" customHeight="1">
      <c r="A3073" t="inlineStr">
        <is>
          <t>A 53933-2024</t>
        </is>
      </c>
      <c r="B3073" t="inlineStr">
        <is>
          <t>avverkningsanmälan</t>
        </is>
      </c>
      <c r="C3073" t="inlineStr">
        <is>
          <t>Föryngringsavverkning</t>
        </is>
      </c>
      <c r="D3073" s="1" t="n">
        <v>45615</v>
      </c>
      <c r="E3073" s="1" t="n">
        <v>46313</v>
      </c>
      <c r="F3073" t="inlineStr">
        <is>
          <t>SÖDERMANLANDS LÄN</t>
        </is>
      </c>
      <c r="G3073" t="inlineStr">
        <is>
          <t>ESKILSTUNA</t>
        </is>
      </c>
      <c r="I3073" t="n">
        <v>1.5</v>
      </c>
      <c r="J3073" t="n">
        <v>0</v>
      </c>
      <c r="K3073" t="n">
        <v>0</v>
      </c>
      <c r="L3073" t="n">
        <v>0</v>
      </c>
      <c r="M3073" t="n">
        <v>0</v>
      </c>
      <c r="N3073" t="n">
        <v>0</v>
      </c>
      <c r="O3073" t="n">
        <v>0</v>
      </c>
      <c r="P3073" t="n">
        <v>0</v>
      </c>
      <c r="Q3073" t="n">
        <v>0</v>
      </c>
      <c r="R3073" t="n">
        <v>0</v>
      </c>
      <c r="S3073" t="n">
        <v>0</v>
      </c>
      <c r="T3073" t="n">
        <v>0</v>
      </c>
      <c r="U3073" t="n">
        <v>0</v>
      </c>
      <c r="V3073" s="2" t="inlineStr"/>
    </row>
    <row r="3074" ht="15" customHeight="1">
      <c r="A3074" t="inlineStr">
        <is>
          <t>A 7045-2023</t>
        </is>
      </c>
      <c r="B3074" t="inlineStr">
        <is>
          <t>avverkningsanmälan</t>
        </is>
      </c>
      <c r="C3074" t="inlineStr">
        <is>
          <t>Föryngringsavverkning</t>
        </is>
      </c>
      <c r="D3074" s="1" t="n">
        <v>44968</v>
      </c>
      <c r="E3074" s="1" t="n">
        <v>46313</v>
      </c>
      <c r="F3074" t="inlineStr">
        <is>
          <t>SÖDERMANLANDS LÄN</t>
        </is>
      </c>
      <c r="G3074" t="inlineStr">
        <is>
          <t>NYKÖPING</t>
        </is>
      </c>
      <c r="I3074" t="n">
        <v>1.9</v>
      </c>
      <c r="J3074" t="n">
        <v>0</v>
      </c>
      <c r="K3074" t="n">
        <v>0</v>
      </c>
      <c r="L3074" t="n">
        <v>0</v>
      </c>
      <c r="M3074" t="n">
        <v>0</v>
      </c>
      <c r="N3074" t="n">
        <v>0</v>
      </c>
      <c r="O3074" t="n">
        <v>0</v>
      </c>
      <c r="P3074" t="n">
        <v>0</v>
      </c>
      <c r="Q3074" t="n">
        <v>0</v>
      </c>
      <c r="R3074" t="n">
        <v>0</v>
      </c>
      <c r="S3074" t="n">
        <v>0</v>
      </c>
      <c r="T3074" t="n">
        <v>0</v>
      </c>
      <c r="U3074" t="n">
        <v>0</v>
      </c>
      <c r="V3074" s="2" t="inlineStr"/>
    </row>
    <row r="3075" ht="15" customHeight="1">
      <c r="A3075" t="inlineStr">
        <is>
          <t>A 25915-2024</t>
        </is>
      </c>
      <c r="B3075" t="inlineStr">
        <is>
          <t>avverkningsanmälan</t>
        </is>
      </c>
      <c r="C3075" t="inlineStr">
        <is>
          <t>Föryngringsavverkning</t>
        </is>
      </c>
      <c r="D3075" s="1" t="n">
        <v>45467</v>
      </c>
      <c r="E3075" s="1" t="n">
        <v>46313</v>
      </c>
      <c r="F3075" t="inlineStr">
        <is>
          <t>SÖDERMANLANDS LÄN</t>
        </is>
      </c>
      <c r="G3075" t="inlineStr">
        <is>
          <t>GNESTA</t>
        </is>
      </c>
      <c r="I3075" t="n">
        <v>2.1</v>
      </c>
      <c r="J3075" t="n">
        <v>0</v>
      </c>
      <c r="K3075" t="n">
        <v>0</v>
      </c>
      <c r="L3075" t="n">
        <v>0</v>
      </c>
      <c r="M3075" t="n">
        <v>0</v>
      </c>
      <c r="N3075" t="n">
        <v>0</v>
      </c>
      <c r="O3075" t="n">
        <v>0</v>
      </c>
      <c r="P3075" t="n">
        <v>0</v>
      </c>
      <c r="Q3075" t="n">
        <v>0</v>
      </c>
      <c r="R3075" t="n">
        <v>0</v>
      </c>
      <c r="S3075" t="n">
        <v>0</v>
      </c>
      <c r="T3075" t="n">
        <v>0</v>
      </c>
      <c r="U3075" t="n">
        <v>0</v>
      </c>
      <c r="V3075" s="2" t="inlineStr"/>
    </row>
    <row r="3076" ht="15" customHeight="1">
      <c r="A3076" t="inlineStr">
        <is>
          <t>A 48793-2024</t>
        </is>
      </c>
      <c r="B3076" t="inlineStr">
        <is>
          <t>avverkningsanmälan</t>
        </is>
      </c>
      <c r="C3076" t="inlineStr">
        <is>
          <t>Avverkning för annat ändamål</t>
        </is>
      </c>
      <c r="D3076" s="1" t="n">
        <v>45593</v>
      </c>
      <c r="E3076" s="1" t="n">
        <v>46313</v>
      </c>
      <c r="F3076" t="inlineStr">
        <is>
          <t>SÖDERMANLANDS LÄN</t>
        </is>
      </c>
      <c r="G3076" t="inlineStr">
        <is>
          <t>TROSA</t>
        </is>
      </c>
      <c r="I3076" t="n">
        <v>3.2</v>
      </c>
      <c r="J3076" t="n">
        <v>0</v>
      </c>
      <c r="K3076" t="n">
        <v>0</v>
      </c>
      <c r="L3076" t="n">
        <v>0</v>
      </c>
      <c r="M3076" t="n">
        <v>0</v>
      </c>
      <c r="N3076" t="n">
        <v>0</v>
      </c>
      <c r="O3076" t="n">
        <v>0</v>
      </c>
      <c r="P3076" t="n">
        <v>0</v>
      </c>
      <c r="Q3076" t="n">
        <v>0</v>
      </c>
      <c r="R3076" t="n">
        <v>0</v>
      </c>
      <c r="S3076" t="n">
        <v>0</v>
      </c>
      <c r="T3076" t="n">
        <v>0</v>
      </c>
      <c r="U3076" t="n">
        <v>0</v>
      </c>
      <c r="V3076" s="2" t="inlineStr"/>
    </row>
    <row r="3077" ht="15" customHeight="1">
      <c r="A3077" t="inlineStr">
        <is>
          <t>A 34839-2026</t>
        </is>
      </c>
      <c r="B3077" t="inlineStr">
        <is>
          <t>avverkningsanmälan</t>
        </is>
      </c>
      <c r="C3077" t="inlineStr">
        <is>
          <t>Föryngringsavverkning</t>
        </is>
      </c>
      <c r="D3077" s="1" t="n">
        <v>46258</v>
      </c>
      <c r="E3077" s="1" t="n">
        <v>46313</v>
      </c>
      <c r="F3077" t="inlineStr">
        <is>
          <t>SÖDERMANLANDS LÄN</t>
        </is>
      </c>
      <c r="G3077" t="inlineStr">
        <is>
          <t>FLEN</t>
        </is>
      </c>
      <c r="H3077" t="inlineStr">
        <is>
          <t>Holmen skog AB</t>
        </is>
      </c>
      <c r="I3077" t="n">
        <v>8.5</v>
      </c>
      <c r="J3077" t="n">
        <v>0</v>
      </c>
      <c r="K3077" t="n">
        <v>0</v>
      </c>
      <c r="L3077" t="n">
        <v>0</v>
      </c>
      <c r="M3077" t="n">
        <v>0</v>
      </c>
      <c r="N3077" t="n">
        <v>0</v>
      </c>
      <c r="O3077" t="n">
        <v>0</v>
      </c>
      <c r="P3077" t="n">
        <v>0</v>
      </c>
      <c r="Q3077" t="n">
        <v>0</v>
      </c>
      <c r="R3077" t="n">
        <v>0</v>
      </c>
      <c r="S3077" t="n">
        <v>0</v>
      </c>
      <c r="T3077" t="n">
        <v>0</v>
      </c>
      <c r="U3077" t="n">
        <v>0</v>
      </c>
      <c r="V3077" s="2" t="inlineStr"/>
    </row>
    <row r="3078" ht="15" customHeight="1">
      <c r="A3078" t="inlineStr">
        <is>
          <t>A 6311-2025</t>
        </is>
      </c>
      <c r="B3078" t="inlineStr">
        <is>
          <t>avverkningsanmälan</t>
        </is>
      </c>
      <c r="C3078" t="inlineStr">
        <is>
          <t>Avverkning för annat ändamål</t>
        </is>
      </c>
      <c r="D3078" s="1" t="n">
        <v>45698</v>
      </c>
      <c r="E3078" s="1" t="n">
        <v>46313</v>
      </c>
      <c r="F3078" t="inlineStr">
        <is>
          <t>SÖDERMANLANDS LÄN</t>
        </is>
      </c>
      <c r="G3078" t="inlineStr">
        <is>
          <t>KATRINEHOLM</t>
        </is>
      </c>
      <c r="I3078" t="n">
        <v>0.3</v>
      </c>
      <c r="J3078" t="n">
        <v>0</v>
      </c>
      <c r="K3078" t="n">
        <v>0</v>
      </c>
      <c r="L3078" t="n">
        <v>0</v>
      </c>
      <c r="M3078" t="n">
        <v>0</v>
      </c>
      <c r="N3078" t="n">
        <v>0</v>
      </c>
      <c r="O3078" t="n">
        <v>0</v>
      </c>
      <c r="P3078" t="n">
        <v>0</v>
      </c>
      <c r="Q3078" t="n">
        <v>0</v>
      </c>
      <c r="R3078" t="n">
        <v>0</v>
      </c>
      <c r="S3078" t="n">
        <v>0</v>
      </c>
      <c r="T3078" t="n">
        <v>0</v>
      </c>
      <c r="U3078" t="n">
        <v>0</v>
      </c>
      <c r="V3078" s="2" t="inlineStr"/>
    </row>
    <row r="3079" ht="15" customHeight="1">
      <c r="A3079" t="inlineStr">
        <is>
          <t>A 40663-2026</t>
        </is>
      </c>
      <c r="B3079" t="inlineStr">
        <is>
          <t>avverkningsanmälan</t>
        </is>
      </c>
      <c r="C3079" t="inlineStr">
        <is>
          <t>Föryngringsavverkning</t>
        </is>
      </c>
      <c r="D3079" s="1" t="n">
        <v>46296</v>
      </c>
      <c r="E3079" s="1" t="n">
        <v>46313</v>
      </c>
      <c r="F3079" t="inlineStr">
        <is>
          <t>SÖDERMANLANDS LÄN</t>
        </is>
      </c>
      <c r="G3079" t="inlineStr">
        <is>
          <t>FLEN</t>
        </is>
      </c>
      <c r="I3079" t="n">
        <v>1.2</v>
      </c>
      <c r="J3079" t="n">
        <v>0</v>
      </c>
      <c r="K3079" t="n">
        <v>0</v>
      </c>
      <c r="L3079" t="n">
        <v>0</v>
      </c>
      <c r="M3079" t="n">
        <v>0</v>
      </c>
      <c r="N3079" t="n">
        <v>0</v>
      </c>
      <c r="O3079" t="n">
        <v>0</v>
      </c>
      <c r="P3079" t="n">
        <v>0</v>
      </c>
      <c r="Q3079" t="n">
        <v>0</v>
      </c>
      <c r="R3079" t="n">
        <v>0</v>
      </c>
      <c r="S3079" t="n">
        <v>0</v>
      </c>
      <c r="T3079" t="n">
        <v>0</v>
      </c>
      <c r="U3079" t="n">
        <v>0</v>
      </c>
      <c r="V3079" s="2" t="inlineStr"/>
    </row>
    <row r="3080" ht="15" customHeight="1">
      <c r="A3080" t="inlineStr">
        <is>
          <t>A 34486-2026</t>
        </is>
      </c>
      <c r="B3080" t="inlineStr">
        <is>
          <t>avverkningsanmälan</t>
        </is>
      </c>
      <c r="C3080" t="inlineStr">
        <is>
          <t>Föryngringsavverkning</t>
        </is>
      </c>
      <c r="D3080" s="1" t="n">
        <v>46255</v>
      </c>
      <c r="E3080" s="1" t="n">
        <v>46313</v>
      </c>
      <c r="F3080" t="inlineStr">
        <is>
          <t>SÖDERMANLANDS LÄN</t>
        </is>
      </c>
      <c r="G3080" t="inlineStr">
        <is>
          <t>STRÄNGNÄS</t>
        </is>
      </c>
      <c r="H3080" t="inlineStr">
        <is>
          <t>Allmännings- och besparingsskogar</t>
        </is>
      </c>
      <c r="I3080" t="n">
        <v>8</v>
      </c>
      <c r="J3080" t="n">
        <v>0</v>
      </c>
      <c r="K3080" t="n">
        <v>0</v>
      </c>
      <c r="L3080" t="n">
        <v>0</v>
      </c>
      <c r="M3080" t="n">
        <v>0</v>
      </c>
      <c r="N3080" t="n">
        <v>0</v>
      </c>
      <c r="O3080" t="n">
        <v>0</v>
      </c>
      <c r="P3080" t="n">
        <v>0</v>
      </c>
      <c r="Q3080" t="n">
        <v>0</v>
      </c>
      <c r="R3080" t="n">
        <v>0</v>
      </c>
      <c r="S3080" t="n">
        <v>0</v>
      </c>
      <c r="T3080" t="n">
        <v>0</v>
      </c>
      <c r="U3080" t="n">
        <v>0</v>
      </c>
      <c r="V3080" s="2" t="inlineStr"/>
    </row>
    <row r="3081" ht="15" customHeight="1">
      <c r="A3081" t="inlineStr">
        <is>
          <t>A 41105-2026</t>
        </is>
      </c>
      <c r="B3081" t="inlineStr">
        <is>
          <t>avverkningsanmälan</t>
        </is>
      </c>
      <c r="C3081" t="inlineStr">
        <is>
          <t>Föryngringsavverkning</t>
        </is>
      </c>
      <c r="D3081" s="1" t="n">
        <v>46300</v>
      </c>
      <c r="E3081" s="1" t="n">
        <v>46313</v>
      </c>
      <c r="F3081" t="inlineStr">
        <is>
          <t>SÖDERMANLANDS LÄN</t>
        </is>
      </c>
      <c r="G3081" t="inlineStr">
        <is>
          <t>GNESTA</t>
        </is>
      </c>
      <c r="I3081" t="n">
        <v>1.3</v>
      </c>
      <c r="J3081" t="n">
        <v>0</v>
      </c>
      <c r="K3081" t="n">
        <v>0</v>
      </c>
      <c r="L3081" t="n">
        <v>0</v>
      </c>
      <c r="M3081" t="n">
        <v>0</v>
      </c>
      <c r="N3081" t="n">
        <v>0</v>
      </c>
      <c r="O3081" t="n">
        <v>0</v>
      </c>
      <c r="P3081" t="n">
        <v>0</v>
      </c>
      <c r="Q3081" t="n">
        <v>0</v>
      </c>
      <c r="R3081" t="n">
        <v>0</v>
      </c>
      <c r="S3081" t="n">
        <v>0</v>
      </c>
      <c r="T3081" t="n">
        <v>0</v>
      </c>
      <c r="U3081" t="n">
        <v>0</v>
      </c>
      <c r="V3081" s="2" t="inlineStr"/>
    </row>
    <row r="3082" ht="15" customHeight="1">
      <c r="A3082" t="inlineStr">
        <is>
          <t>A 41502-2026</t>
        </is>
      </c>
      <c r="B3082" t="inlineStr">
        <is>
          <t>avverkningsanmälan</t>
        </is>
      </c>
      <c r="C3082" t="inlineStr">
        <is>
          <t>Föryngringsavverkning</t>
        </is>
      </c>
      <c r="D3082" s="1" t="n">
        <v>46301</v>
      </c>
      <c r="E3082" s="1" t="n">
        <v>46313</v>
      </c>
      <c r="F3082" t="inlineStr">
        <is>
          <t>SÖDERMANLANDS LÄN</t>
        </is>
      </c>
      <c r="G3082" t="inlineStr">
        <is>
          <t>KATRINEHOLM</t>
        </is>
      </c>
      <c r="I3082" t="n">
        <v>1.9</v>
      </c>
      <c r="J3082" t="n">
        <v>0</v>
      </c>
      <c r="K3082" t="n">
        <v>0</v>
      </c>
      <c r="L3082" t="n">
        <v>0</v>
      </c>
      <c r="M3082" t="n">
        <v>0</v>
      </c>
      <c r="N3082" t="n">
        <v>0</v>
      </c>
      <c r="O3082" t="n">
        <v>0</v>
      </c>
      <c r="P3082" t="n">
        <v>0</v>
      </c>
      <c r="Q3082" t="n">
        <v>0</v>
      </c>
      <c r="R3082" t="n">
        <v>0</v>
      </c>
      <c r="S3082" t="n">
        <v>0</v>
      </c>
      <c r="T3082" t="n">
        <v>0</v>
      </c>
      <c r="U3082" t="n">
        <v>0</v>
      </c>
      <c r="V3082" s="2" t="inlineStr"/>
    </row>
    <row r="3083" ht="15" customHeight="1">
      <c r="A3083" t="inlineStr">
        <is>
          <t>A 17290-2024</t>
        </is>
      </c>
      <c r="B3083" t="inlineStr">
        <is>
          <t>avverkningsanmälan</t>
        </is>
      </c>
      <c r="C3083" t="inlineStr">
        <is>
          <t>Föryngringsavverkning</t>
        </is>
      </c>
      <c r="D3083" s="1" t="n">
        <v>45414</v>
      </c>
      <c r="E3083" s="1" t="n">
        <v>46313</v>
      </c>
      <c r="F3083" t="inlineStr">
        <is>
          <t>SÖDERMANLANDS LÄN</t>
        </is>
      </c>
      <c r="G3083" t="inlineStr">
        <is>
          <t>FLEN</t>
        </is>
      </c>
      <c r="I3083" t="n">
        <v>3</v>
      </c>
      <c r="J3083" t="n">
        <v>0</v>
      </c>
      <c r="K3083" t="n">
        <v>0</v>
      </c>
      <c r="L3083" t="n">
        <v>0</v>
      </c>
      <c r="M3083" t="n">
        <v>0</v>
      </c>
      <c r="N3083" t="n">
        <v>0</v>
      </c>
      <c r="O3083" t="n">
        <v>0</v>
      </c>
      <c r="P3083" t="n">
        <v>0</v>
      </c>
      <c r="Q3083" t="n">
        <v>0</v>
      </c>
      <c r="R3083" t="n">
        <v>0</v>
      </c>
      <c r="S3083" t="n">
        <v>0</v>
      </c>
      <c r="T3083" t="n">
        <v>0</v>
      </c>
      <c r="U3083" t="n">
        <v>0</v>
      </c>
      <c r="V3083" s="2" t="inlineStr"/>
    </row>
    <row r="3084" ht="15" customHeight="1">
      <c r="A3084" t="inlineStr">
        <is>
          <t>A 28003-2022</t>
        </is>
      </c>
      <c r="B3084" t="inlineStr">
        <is>
          <t>avverkningsanmälan</t>
        </is>
      </c>
      <c r="C3084" t="inlineStr">
        <is>
          <t>Föryngringsavverkning</t>
        </is>
      </c>
      <c r="D3084" s="1" t="n">
        <v>44744</v>
      </c>
      <c r="E3084" s="1" t="n">
        <v>46313</v>
      </c>
      <c r="F3084" t="inlineStr">
        <is>
          <t>SÖDERMANLANDS LÄN</t>
        </is>
      </c>
      <c r="G3084" t="inlineStr">
        <is>
          <t>VINGÅKER</t>
        </is>
      </c>
      <c r="I3084" t="n">
        <v>5.5</v>
      </c>
      <c r="J3084" t="n">
        <v>0</v>
      </c>
      <c r="K3084" t="n">
        <v>0</v>
      </c>
      <c r="L3084" t="n">
        <v>0</v>
      </c>
      <c r="M3084" t="n">
        <v>0</v>
      </c>
      <c r="N3084" t="n">
        <v>0</v>
      </c>
      <c r="O3084" t="n">
        <v>0</v>
      </c>
      <c r="P3084" t="n">
        <v>0</v>
      </c>
      <c r="Q3084" t="n">
        <v>0</v>
      </c>
      <c r="R3084" t="n">
        <v>0</v>
      </c>
      <c r="S3084" t="n">
        <v>0</v>
      </c>
      <c r="T3084" t="n">
        <v>0</v>
      </c>
      <c r="U3084" t="n">
        <v>0</v>
      </c>
      <c r="V3084" s="2" t="inlineStr"/>
    </row>
    <row r="3085" ht="15" customHeight="1">
      <c r="A3085" t="inlineStr">
        <is>
          <t>A 12818-2023</t>
        </is>
      </c>
      <c r="B3085" t="inlineStr">
        <is>
          <t>avverkningsanmälan</t>
        </is>
      </c>
      <c r="C3085" t="inlineStr">
        <is>
          <t>Avverkning för annat ändamål</t>
        </is>
      </c>
      <c r="D3085" s="1" t="n">
        <v>45001</v>
      </c>
      <c r="E3085" s="1" t="n">
        <v>46313</v>
      </c>
      <c r="F3085" t="inlineStr">
        <is>
          <t>SÖDERMANLANDS LÄN</t>
        </is>
      </c>
      <c r="G3085" t="inlineStr">
        <is>
          <t>STRÄNGNÄS</t>
        </is>
      </c>
      <c r="I3085" t="n">
        <v>3.3</v>
      </c>
      <c r="J3085" t="n">
        <v>0</v>
      </c>
      <c r="K3085" t="n">
        <v>0</v>
      </c>
      <c r="L3085" t="n">
        <v>0</v>
      </c>
      <c r="M3085" t="n">
        <v>0</v>
      </c>
      <c r="N3085" t="n">
        <v>0</v>
      </c>
      <c r="O3085" t="n">
        <v>0</v>
      </c>
      <c r="P3085" t="n">
        <v>0</v>
      </c>
      <c r="Q3085" t="n">
        <v>0</v>
      </c>
      <c r="R3085" t="n">
        <v>0</v>
      </c>
      <c r="S3085" t="n">
        <v>0</v>
      </c>
      <c r="T3085" t="n">
        <v>0</v>
      </c>
      <c r="U3085" t="n">
        <v>0</v>
      </c>
      <c r="V3085" s="2" t="inlineStr"/>
    </row>
    <row r="3086" ht="15" customHeight="1">
      <c r="A3086" t="inlineStr">
        <is>
          <t>A 58553-2024</t>
        </is>
      </c>
      <c r="B3086" t="inlineStr">
        <is>
          <t>avverkningsanmälan</t>
        </is>
      </c>
      <c r="C3086" t="inlineStr">
        <is>
          <t>Föryngringsavverkning</t>
        </is>
      </c>
      <c r="D3086" s="1" t="n">
        <v>45635</v>
      </c>
      <c r="E3086" s="1" t="n">
        <v>46313</v>
      </c>
      <c r="F3086" t="inlineStr">
        <is>
          <t>SÖDERMANLANDS LÄN</t>
        </is>
      </c>
      <c r="G3086" t="inlineStr">
        <is>
          <t>NYKÖPING</t>
        </is>
      </c>
      <c r="I3086" t="n">
        <v>1.8</v>
      </c>
      <c r="J3086" t="n">
        <v>0</v>
      </c>
      <c r="K3086" t="n">
        <v>0</v>
      </c>
      <c r="L3086" t="n">
        <v>0</v>
      </c>
      <c r="M3086" t="n">
        <v>0</v>
      </c>
      <c r="N3086" t="n">
        <v>0</v>
      </c>
      <c r="O3086" t="n">
        <v>0</v>
      </c>
      <c r="P3086" t="n">
        <v>0</v>
      </c>
      <c r="Q3086" t="n">
        <v>0</v>
      </c>
      <c r="R3086" t="n">
        <v>0</v>
      </c>
      <c r="S3086" t="n">
        <v>0</v>
      </c>
      <c r="T3086" t="n">
        <v>0</v>
      </c>
      <c r="U3086" t="n">
        <v>0</v>
      </c>
      <c r="V3086" s="2" t="inlineStr"/>
    </row>
    <row r="3087" ht="15" customHeight="1">
      <c r="A3087" t="inlineStr">
        <is>
          <t>A 59051-2023</t>
        </is>
      </c>
      <c r="B3087" t="inlineStr">
        <is>
          <t>avverkningsanmälan</t>
        </is>
      </c>
      <c r="C3087" t="inlineStr">
        <is>
          <t>Föryngringsavverkning</t>
        </is>
      </c>
      <c r="D3087" s="1" t="n">
        <v>45252</v>
      </c>
      <c r="E3087" s="1" t="n">
        <v>46313</v>
      </c>
      <c r="F3087" t="inlineStr">
        <is>
          <t>SÖDERMANLANDS LÄN</t>
        </is>
      </c>
      <c r="G3087" t="inlineStr">
        <is>
          <t>FLEN</t>
        </is>
      </c>
      <c r="I3087" t="n">
        <v>4.1</v>
      </c>
      <c r="J3087" t="n">
        <v>0</v>
      </c>
      <c r="K3087" t="n">
        <v>0</v>
      </c>
      <c r="L3087" t="n">
        <v>0</v>
      </c>
      <c r="M3087" t="n">
        <v>0</v>
      </c>
      <c r="N3087" t="n">
        <v>0</v>
      </c>
      <c r="O3087" t="n">
        <v>0</v>
      </c>
      <c r="P3087" t="n">
        <v>0</v>
      </c>
      <c r="Q3087" t="n">
        <v>0</v>
      </c>
      <c r="R3087" t="n">
        <v>0</v>
      </c>
      <c r="S3087" t="n">
        <v>0</v>
      </c>
      <c r="T3087" t="n">
        <v>0</v>
      </c>
      <c r="U3087" t="n">
        <v>0</v>
      </c>
      <c r="V3087" s="2" t="inlineStr"/>
    </row>
    <row r="3088" ht="15" customHeight="1">
      <c r="A3088" t="inlineStr">
        <is>
          <t>A 7960-2024</t>
        </is>
      </c>
      <c r="B3088" t="inlineStr">
        <is>
          <t>avverkningsanmälan</t>
        </is>
      </c>
      <c r="C3088" t="inlineStr">
        <is>
          <t>Föryngringsavverkning</t>
        </is>
      </c>
      <c r="D3088" s="1" t="n">
        <v>45350</v>
      </c>
      <c r="E3088" s="1" t="n">
        <v>46313</v>
      </c>
      <c r="F3088" t="inlineStr">
        <is>
          <t>SÖDERMANLANDS LÄN</t>
        </is>
      </c>
      <c r="G3088" t="inlineStr">
        <is>
          <t>FLEN</t>
        </is>
      </c>
      <c r="I3088" t="n">
        <v>10.4</v>
      </c>
      <c r="J3088" t="n">
        <v>0</v>
      </c>
      <c r="K3088" t="n">
        <v>0</v>
      </c>
      <c r="L3088" t="n">
        <v>0</v>
      </c>
      <c r="M3088" t="n">
        <v>0</v>
      </c>
      <c r="N3088" t="n">
        <v>0</v>
      </c>
      <c r="O3088" t="n">
        <v>0</v>
      </c>
      <c r="P3088" t="n">
        <v>0</v>
      </c>
      <c r="Q3088" t="n">
        <v>0</v>
      </c>
      <c r="R3088" t="n">
        <v>0</v>
      </c>
      <c r="S3088" t="n">
        <v>0</v>
      </c>
      <c r="T3088" t="n">
        <v>0</v>
      </c>
      <c r="U3088" t="n">
        <v>0</v>
      </c>
      <c r="V3088" s="2" t="inlineStr"/>
    </row>
    <row r="3089" ht="15" customHeight="1">
      <c r="A3089" t="inlineStr">
        <is>
          <t>A 34203-2024</t>
        </is>
      </c>
      <c r="B3089" t="inlineStr">
        <is>
          <t>avverkningsanmälan</t>
        </is>
      </c>
      <c r="C3089" t="inlineStr">
        <is>
          <t>Avverkning för annat ändamål</t>
        </is>
      </c>
      <c r="D3089" s="1" t="n">
        <v>45524</v>
      </c>
      <c r="E3089" s="1" t="n">
        <v>46313</v>
      </c>
      <c r="F3089" t="inlineStr">
        <is>
          <t>SÖDERMANLANDS LÄN</t>
        </is>
      </c>
      <c r="G3089" t="inlineStr">
        <is>
          <t>NYKÖPING</t>
        </is>
      </c>
      <c r="I3089" t="n">
        <v>2.9</v>
      </c>
      <c r="J3089" t="n">
        <v>0</v>
      </c>
      <c r="K3089" t="n">
        <v>0</v>
      </c>
      <c r="L3089" t="n">
        <v>0</v>
      </c>
      <c r="M3089" t="n">
        <v>0</v>
      </c>
      <c r="N3089" t="n">
        <v>0</v>
      </c>
      <c r="O3089" t="n">
        <v>0</v>
      </c>
      <c r="P3089" t="n">
        <v>0</v>
      </c>
      <c r="Q3089" t="n">
        <v>0</v>
      </c>
      <c r="R3089" t="n">
        <v>0</v>
      </c>
      <c r="S3089" t="n">
        <v>0</v>
      </c>
      <c r="T3089" t="n">
        <v>0</v>
      </c>
      <c r="U3089" t="n">
        <v>0</v>
      </c>
      <c r="V3089" s="2" t="inlineStr"/>
    </row>
    <row r="3090" ht="15" customHeight="1">
      <c r="A3090" t="inlineStr">
        <is>
          <t>A 54736-2022</t>
        </is>
      </c>
      <c r="B3090" t="inlineStr">
        <is>
          <t>avverkningsanmälan</t>
        </is>
      </c>
      <c r="C3090" t="inlineStr">
        <is>
          <t>Föryngringsavverkning</t>
        </is>
      </c>
      <c r="D3090" s="1" t="n">
        <v>44883</v>
      </c>
      <c r="E3090" s="1" t="n">
        <v>46313</v>
      </c>
      <c r="F3090" t="inlineStr">
        <is>
          <t>SÖDERMANLANDS LÄN</t>
        </is>
      </c>
      <c r="G3090" t="inlineStr">
        <is>
          <t>FLEN</t>
        </is>
      </c>
      <c r="I3090" t="n">
        <v>3.1</v>
      </c>
      <c r="J3090" t="n">
        <v>0</v>
      </c>
      <c r="K3090" t="n">
        <v>0</v>
      </c>
      <c r="L3090" t="n">
        <v>0</v>
      </c>
      <c r="M3090" t="n">
        <v>0</v>
      </c>
      <c r="N3090" t="n">
        <v>0</v>
      </c>
      <c r="O3090" t="n">
        <v>0</v>
      </c>
      <c r="P3090" t="n">
        <v>0</v>
      </c>
      <c r="Q3090" t="n">
        <v>0</v>
      </c>
      <c r="R3090" t="n">
        <v>0</v>
      </c>
      <c r="S3090" t="n">
        <v>0</v>
      </c>
      <c r="T3090" t="n">
        <v>0</v>
      </c>
      <c r="U3090" t="n">
        <v>0</v>
      </c>
      <c r="V3090" s="2" t="inlineStr"/>
    </row>
    <row r="3091" ht="15" customHeight="1">
      <c r="A3091" t="inlineStr">
        <is>
          <t>A 47055-2022</t>
        </is>
      </c>
      <c r="B3091" t="inlineStr">
        <is>
          <t>avverkningsanmälan</t>
        </is>
      </c>
      <c r="C3091" t="inlineStr">
        <is>
          <t>Föryngringsavverkning</t>
        </is>
      </c>
      <c r="D3091" s="1" t="n">
        <v>44852</v>
      </c>
      <c r="E3091" s="1" t="n">
        <v>46313</v>
      </c>
      <c r="F3091" t="inlineStr">
        <is>
          <t>SÖDERMANLANDS LÄN</t>
        </is>
      </c>
      <c r="G3091" t="inlineStr">
        <is>
          <t>FLEN</t>
        </is>
      </c>
      <c r="I3091" t="n">
        <v>8.699999999999999</v>
      </c>
      <c r="J3091" t="n">
        <v>0</v>
      </c>
      <c r="K3091" t="n">
        <v>0</v>
      </c>
      <c r="L3091" t="n">
        <v>0</v>
      </c>
      <c r="M3091" t="n">
        <v>0</v>
      </c>
      <c r="N3091" t="n">
        <v>0</v>
      </c>
      <c r="O3091" t="n">
        <v>0</v>
      </c>
      <c r="P3091" t="n">
        <v>0</v>
      </c>
      <c r="Q3091" t="n">
        <v>0</v>
      </c>
      <c r="R3091" t="n">
        <v>0</v>
      </c>
      <c r="S3091" t="n">
        <v>0</v>
      </c>
      <c r="T3091" t="n">
        <v>0</v>
      </c>
      <c r="U3091" t="n">
        <v>0</v>
      </c>
      <c r="V3091" s="2" t="inlineStr"/>
    </row>
    <row r="3092" ht="15" customHeight="1">
      <c r="A3092" t="inlineStr">
        <is>
          <t>A 60276-2024</t>
        </is>
      </c>
      <c r="B3092" t="inlineStr">
        <is>
          <t>avverkningsanmälan</t>
        </is>
      </c>
      <c r="C3092" t="inlineStr">
        <is>
          <t>Föryngringsavverkning</t>
        </is>
      </c>
      <c r="D3092" s="1" t="n">
        <v>45642</v>
      </c>
      <c r="E3092" s="1" t="n">
        <v>46313</v>
      </c>
      <c r="F3092" t="inlineStr">
        <is>
          <t>SÖDERMANLANDS LÄN</t>
        </is>
      </c>
      <c r="G3092" t="inlineStr">
        <is>
          <t>ESKILSTUNA</t>
        </is>
      </c>
      <c r="H3092" t="inlineStr">
        <is>
          <t>Allmännings- och besparingsskogar</t>
        </is>
      </c>
      <c r="I3092" t="n">
        <v>0.8</v>
      </c>
      <c r="J3092" t="n">
        <v>0</v>
      </c>
      <c r="K3092" t="n">
        <v>0</v>
      </c>
      <c r="L3092" t="n">
        <v>0</v>
      </c>
      <c r="M3092" t="n">
        <v>0</v>
      </c>
      <c r="N3092" t="n">
        <v>0</v>
      </c>
      <c r="O3092" t="n">
        <v>0</v>
      </c>
      <c r="P3092" t="n">
        <v>0</v>
      </c>
      <c r="Q3092" t="n">
        <v>0</v>
      </c>
      <c r="R3092" t="n">
        <v>0</v>
      </c>
      <c r="S3092" t="n">
        <v>0</v>
      </c>
      <c r="T3092" t="n">
        <v>0</v>
      </c>
      <c r="U3092" t="n">
        <v>0</v>
      </c>
      <c r="V3092" s="2" t="inlineStr"/>
    </row>
    <row r="3093" ht="15" customHeight="1">
      <c r="A3093" t="inlineStr">
        <is>
          <t>A 28848-2026</t>
        </is>
      </c>
      <c r="B3093" t="inlineStr">
        <is>
          <t>avverkningsanmälan</t>
        </is>
      </c>
      <c r="C3093" t="inlineStr">
        <is>
          <t>Föryngringsavverkning</t>
        </is>
      </c>
      <c r="D3093" s="1" t="n">
        <v>46198</v>
      </c>
      <c r="E3093" s="1" t="n">
        <v>46313</v>
      </c>
      <c r="F3093" t="inlineStr">
        <is>
          <t>SÖDERMANLANDS LÄN</t>
        </is>
      </c>
      <c r="G3093" t="inlineStr">
        <is>
          <t>GNESTA</t>
        </is>
      </c>
      <c r="I3093" t="n">
        <v>3.3</v>
      </c>
      <c r="J3093" t="n">
        <v>0</v>
      </c>
      <c r="K3093" t="n">
        <v>0</v>
      </c>
      <c r="L3093" t="n">
        <v>0</v>
      </c>
      <c r="M3093" t="n">
        <v>0</v>
      </c>
      <c r="N3093" t="n">
        <v>0</v>
      </c>
      <c r="O3093" t="n">
        <v>0</v>
      </c>
      <c r="P3093" t="n">
        <v>0</v>
      </c>
      <c r="Q3093" t="n">
        <v>0</v>
      </c>
      <c r="R3093" t="n">
        <v>0</v>
      </c>
      <c r="S3093" t="n">
        <v>0</v>
      </c>
      <c r="T3093" t="n">
        <v>0</v>
      </c>
      <c r="U3093" t="n">
        <v>0</v>
      </c>
      <c r="V3093" s="2" t="inlineStr"/>
    </row>
    <row r="3094" ht="15" customHeight="1">
      <c r="A3094" t="inlineStr">
        <is>
          <t>A 36811-2022</t>
        </is>
      </c>
      <c r="B3094" t="inlineStr">
        <is>
          <t>avverkningsanmälan</t>
        </is>
      </c>
      <c r="C3094" t="inlineStr">
        <is>
          <t>Föryngringsavverkning</t>
        </is>
      </c>
      <c r="D3094" s="1" t="n">
        <v>44805</v>
      </c>
      <c r="E3094" s="1" t="n">
        <v>46313</v>
      </c>
      <c r="F3094" t="inlineStr">
        <is>
          <t>SÖDERMANLANDS LÄN</t>
        </is>
      </c>
      <c r="G3094" t="inlineStr">
        <is>
          <t>STRÄNGNÄS</t>
        </is>
      </c>
      <c r="I3094" t="n">
        <v>11.6</v>
      </c>
      <c r="J3094" t="n">
        <v>0</v>
      </c>
      <c r="K3094" t="n">
        <v>0</v>
      </c>
      <c r="L3094" t="n">
        <v>0</v>
      </c>
      <c r="M3094" t="n">
        <v>0</v>
      </c>
      <c r="N3094" t="n">
        <v>0</v>
      </c>
      <c r="O3094" t="n">
        <v>0</v>
      </c>
      <c r="P3094" t="n">
        <v>0</v>
      </c>
      <c r="Q3094" t="n">
        <v>0</v>
      </c>
      <c r="R3094" t="n">
        <v>0</v>
      </c>
      <c r="S3094" t="n">
        <v>0</v>
      </c>
      <c r="T3094" t="n">
        <v>0</v>
      </c>
      <c r="U3094" t="n">
        <v>0</v>
      </c>
      <c r="V3094" s="2" t="inlineStr"/>
    </row>
    <row r="3095" ht="15" customHeight="1">
      <c r="A3095" t="inlineStr">
        <is>
          <t>A 13826-2025</t>
        </is>
      </c>
      <c r="B3095" t="inlineStr">
        <is>
          <t>avverkningsanmälan</t>
        </is>
      </c>
      <c r="C3095" t="inlineStr">
        <is>
          <t>Föryngringsavverkning</t>
        </is>
      </c>
      <c r="D3095" s="1" t="n">
        <v>45737</v>
      </c>
      <c r="E3095" s="1" t="n">
        <v>46313</v>
      </c>
      <c r="F3095" t="inlineStr">
        <is>
          <t>SÖDERMANLANDS LÄN</t>
        </is>
      </c>
      <c r="G3095" t="inlineStr">
        <is>
          <t>ESKILSTUNA</t>
        </is>
      </c>
      <c r="I3095" t="n">
        <v>2.3</v>
      </c>
      <c r="J3095" t="n">
        <v>0</v>
      </c>
      <c r="K3095" t="n">
        <v>0</v>
      </c>
      <c r="L3095" t="n">
        <v>0</v>
      </c>
      <c r="M3095" t="n">
        <v>0</v>
      </c>
      <c r="N3095" t="n">
        <v>0</v>
      </c>
      <c r="O3095" t="n">
        <v>0</v>
      </c>
      <c r="P3095" t="n">
        <v>0</v>
      </c>
      <c r="Q3095" t="n">
        <v>0</v>
      </c>
      <c r="R3095" t="n">
        <v>0</v>
      </c>
      <c r="S3095" t="n">
        <v>0</v>
      </c>
      <c r="T3095" t="n">
        <v>0</v>
      </c>
      <c r="U3095" t="n">
        <v>0</v>
      </c>
      <c r="V3095" s="2" t="inlineStr"/>
    </row>
    <row r="3096" ht="15" customHeight="1">
      <c r="A3096" t="inlineStr">
        <is>
          <t>A 13909-2023</t>
        </is>
      </c>
      <c r="B3096" t="inlineStr">
        <is>
          <t>avverkningsanmälan</t>
        </is>
      </c>
      <c r="C3096" t="inlineStr">
        <is>
          <t>Föryngringsavverkning</t>
        </is>
      </c>
      <c r="D3096" s="1" t="n">
        <v>45008</v>
      </c>
      <c r="E3096" s="1" t="n">
        <v>46313</v>
      </c>
      <c r="F3096" t="inlineStr">
        <is>
          <t>SÖDERMANLANDS LÄN</t>
        </is>
      </c>
      <c r="G3096" t="inlineStr">
        <is>
          <t>FLEN</t>
        </is>
      </c>
      <c r="I3096" t="n">
        <v>5.3</v>
      </c>
      <c r="J3096" t="n">
        <v>0</v>
      </c>
      <c r="K3096" t="n">
        <v>0</v>
      </c>
      <c r="L3096" t="n">
        <v>0</v>
      </c>
      <c r="M3096" t="n">
        <v>0</v>
      </c>
      <c r="N3096" t="n">
        <v>0</v>
      </c>
      <c r="O3096" t="n">
        <v>0</v>
      </c>
      <c r="P3096" t="n">
        <v>0</v>
      </c>
      <c r="Q3096" t="n">
        <v>0</v>
      </c>
      <c r="R3096" t="n">
        <v>0</v>
      </c>
      <c r="S3096" t="n">
        <v>0</v>
      </c>
      <c r="T3096" t="n">
        <v>0</v>
      </c>
      <c r="U3096" t="n">
        <v>0</v>
      </c>
      <c r="V3096" s="2" t="inlineStr"/>
    </row>
    <row r="3097" ht="15" customHeight="1">
      <c r="A3097" t="inlineStr">
        <is>
          <t>A 24983-2024</t>
        </is>
      </c>
      <c r="B3097" t="inlineStr">
        <is>
          <t>avverkningsanmälan</t>
        </is>
      </c>
      <c r="C3097" t="inlineStr">
        <is>
          <t>Föryngringsavverkning</t>
        </is>
      </c>
      <c r="D3097" s="1" t="n">
        <v>45461</v>
      </c>
      <c r="E3097" s="1" t="n">
        <v>46313</v>
      </c>
      <c r="F3097" t="inlineStr">
        <is>
          <t>SÖDERMANLANDS LÄN</t>
        </is>
      </c>
      <c r="G3097" t="inlineStr">
        <is>
          <t>KATRINEHOLM</t>
        </is>
      </c>
      <c r="I3097" t="n">
        <v>2.6</v>
      </c>
      <c r="J3097" t="n">
        <v>0</v>
      </c>
      <c r="K3097" t="n">
        <v>0</v>
      </c>
      <c r="L3097" t="n">
        <v>0</v>
      </c>
      <c r="M3097" t="n">
        <v>0</v>
      </c>
      <c r="N3097" t="n">
        <v>0</v>
      </c>
      <c r="O3097" t="n">
        <v>0</v>
      </c>
      <c r="P3097" t="n">
        <v>0</v>
      </c>
      <c r="Q3097" t="n">
        <v>0</v>
      </c>
      <c r="R3097" t="n">
        <v>0</v>
      </c>
      <c r="S3097" t="n">
        <v>0</v>
      </c>
      <c r="T3097" t="n">
        <v>0</v>
      </c>
      <c r="U3097" t="n">
        <v>0</v>
      </c>
      <c r="V3097" s="2" t="inlineStr"/>
    </row>
    <row r="3098" ht="15" customHeight="1">
      <c r="A3098" t="inlineStr">
        <is>
          <t>A 59148-2024</t>
        </is>
      </c>
      <c r="B3098" t="inlineStr">
        <is>
          <t>avverkningsanmälan</t>
        </is>
      </c>
      <c r="C3098" t="inlineStr">
        <is>
          <t>Föryngringsavverkning</t>
        </is>
      </c>
      <c r="D3098" s="1" t="n">
        <v>45637</v>
      </c>
      <c r="E3098" s="1" t="n">
        <v>46313</v>
      </c>
      <c r="F3098" t="inlineStr">
        <is>
          <t>SÖDERMANLANDS LÄN</t>
        </is>
      </c>
      <c r="G3098" t="inlineStr">
        <is>
          <t>NYKÖPING</t>
        </is>
      </c>
      <c r="I3098" t="n">
        <v>1.1</v>
      </c>
      <c r="J3098" t="n">
        <v>0</v>
      </c>
      <c r="K3098" t="n">
        <v>0</v>
      </c>
      <c r="L3098" t="n">
        <v>0</v>
      </c>
      <c r="M3098" t="n">
        <v>0</v>
      </c>
      <c r="N3098" t="n">
        <v>0</v>
      </c>
      <c r="O3098" t="n">
        <v>0</v>
      </c>
      <c r="P3098" t="n">
        <v>0</v>
      </c>
      <c r="Q3098" t="n">
        <v>0</v>
      </c>
      <c r="R3098" t="n">
        <v>0</v>
      </c>
      <c r="S3098" t="n">
        <v>0</v>
      </c>
      <c r="T3098" t="n">
        <v>0</v>
      </c>
      <c r="U3098" t="n">
        <v>0</v>
      </c>
      <c r="V3098" s="2" t="inlineStr"/>
    </row>
    <row r="3099" ht="15" customHeight="1">
      <c r="A3099" t="inlineStr">
        <is>
          <t>A 41603-2026</t>
        </is>
      </c>
      <c r="B3099" t="inlineStr">
        <is>
          <t>avverkningsanmälan</t>
        </is>
      </c>
      <c r="C3099" t="inlineStr">
        <is>
          <t>Föryngringsavverkning</t>
        </is>
      </c>
      <c r="D3099" s="1" t="n">
        <v>46302</v>
      </c>
      <c r="E3099" s="1" t="n">
        <v>46313</v>
      </c>
      <c r="F3099" t="inlineStr">
        <is>
          <t>SÖDERMANLANDS LÄN</t>
        </is>
      </c>
      <c r="G3099" t="inlineStr">
        <is>
          <t>VINGÅKER</t>
        </is>
      </c>
      <c r="I3099" t="n">
        <v>2.1</v>
      </c>
      <c r="J3099" t="n">
        <v>0</v>
      </c>
      <c r="K3099" t="n">
        <v>0</v>
      </c>
      <c r="L3099" t="n">
        <v>0</v>
      </c>
      <c r="M3099" t="n">
        <v>0</v>
      </c>
      <c r="N3099" t="n">
        <v>0</v>
      </c>
      <c r="O3099" t="n">
        <v>0</v>
      </c>
      <c r="P3099" t="n">
        <v>0</v>
      </c>
      <c r="Q3099" t="n">
        <v>0</v>
      </c>
      <c r="R3099" t="n">
        <v>0</v>
      </c>
      <c r="S3099" t="n">
        <v>0</v>
      </c>
      <c r="T3099" t="n">
        <v>0</v>
      </c>
      <c r="U3099" t="n">
        <v>0</v>
      </c>
      <c r="V3099" s="2" t="inlineStr"/>
    </row>
    <row r="3100" ht="15" customHeight="1">
      <c r="A3100" t="inlineStr">
        <is>
          <t>A 32943-2024</t>
        </is>
      </c>
      <c r="B3100" t="inlineStr">
        <is>
          <t>avverkningsanmälan</t>
        </is>
      </c>
      <c r="C3100" t="inlineStr">
        <is>
          <t>Föryngringsavverkning</t>
        </is>
      </c>
      <c r="D3100" s="1" t="n">
        <v>45517</v>
      </c>
      <c r="E3100" s="1" t="n">
        <v>46313</v>
      </c>
      <c r="F3100" t="inlineStr">
        <is>
          <t>SÖDERMANLANDS LÄN</t>
        </is>
      </c>
      <c r="G3100" t="inlineStr">
        <is>
          <t>KATRINEHOLM</t>
        </is>
      </c>
      <c r="I3100" t="n">
        <v>1.8</v>
      </c>
      <c r="J3100" t="n">
        <v>0</v>
      </c>
      <c r="K3100" t="n">
        <v>0</v>
      </c>
      <c r="L3100" t="n">
        <v>0</v>
      </c>
      <c r="M3100" t="n">
        <v>0</v>
      </c>
      <c r="N3100" t="n">
        <v>0</v>
      </c>
      <c r="O3100" t="n">
        <v>0</v>
      </c>
      <c r="P3100" t="n">
        <v>0</v>
      </c>
      <c r="Q3100" t="n">
        <v>0</v>
      </c>
      <c r="R3100" t="n">
        <v>0</v>
      </c>
      <c r="S3100" t="n">
        <v>0</v>
      </c>
      <c r="T3100" t="n">
        <v>0</v>
      </c>
      <c r="U3100" t="n">
        <v>0</v>
      </c>
      <c r="V3100" s="2" t="inlineStr"/>
    </row>
    <row r="3101" ht="15" customHeight="1">
      <c r="A3101" t="inlineStr">
        <is>
          <t>A 10352-2024</t>
        </is>
      </c>
      <c r="B3101" t="inlineStr">
        <is>
          <t>avverkningsanmälan</t>
        </is>
      </c>
      <c r="C3101" t="inlineStr">
        <is>
          <t>Föryngringsavverkning</t>
        </is>
      </c>
      <c r="D3101" s="1" t="n">
        <v>45365</v>
      </c>
      <c r="E3101" s="1" t="n">
        <v>46313</v>
      </c>
      <c r="F3101" t="inlineStr">
        <is>
          <t>SÖDERMANLANDS LÄN</t>
        </is>
      </c>
      <c r="G3101" t="inlineStr">
        <is>
          <t>ESKILSTUNA</t>
        </is>
      </c>
      <c r="I3101" t="n">
        <v>5.3</v>
      </c>
      <c r="J3101" t="n">
        <v>0</v>
      </c>
      <c r="K3101" t="n">
        <v>0</v>
      </c>
      <c r="L3101" t="n">
        <v>0</v>
      </c>
      <c r="M3101" t="n">
        <v>0</v>
      </c>
      <c r="N3101" t="n">
        <v>0</v>
      </c>
      <c r="O3101" t="n">
        <v>0</v>
      </c>
      <c r="P3101" t="n">
        <v>0</v>
      </c>
      <c r="Q3101" t="n">
        <v>0</v>
      </c>
      <c r="R3101" t="n">
        <v>0</v>
      </c>
      <c r="S3101" t="n">
        <v>0</v>
      </c>
      <c r="T3101" t="n">
        <v>0</v>
      </c>
      <c r="U3101" t="n">
        <v>0</v>
      </c>
      <c r="V3101" s="2" t="inlineStr"/>
    </row>
    <row r="3102" ht="15" customHeight="1">
      <c r="A3102" t="inlineStr">
        <is>
          <t>A 4334-2023</t>
        </is>
      </c>
      <c r="B3102" t="inlineStr">
        <is>
          <t>avverkningsanmälan</t>
        </is>
      </c>
      <c r="C3102" t="inlineStr">
        <is>
          <t>Föryngringsavverkning</t>
        </is>
      </c>
      <c r="D3102" s="1" t="n">
        <v>44953</v>
      </c>
      <c r="E3102" s="1" t="n">
        <v>46313</v>
      </c>
      <c r="F3102" t="inlineStr">
        <is>
          <t>SÖDERMANLANDS LÄN</t>
        </is>
      </c>
      <c r="G3102" t="inlineStr">
        <is>
          <t>ESKILSTUNA</t>
        </is>
      </c>
      <c r="H3102" t="inlineStr">
        <is>
          <t>Allmännings- och besparingsskogar</t>
        </is>
      </c>
      <c r="I3102" t="n">
        <v>9.6</v>
      </c>
      <c r="J3102" t="n">
        <v>0</v>
      </c>
      <c r="K3102" t="n">
        <v>0</v>
      </c>
      <c r="L3102" t="n">
        <v>0</v>
      </c>
      <c r="M3102" t="n">
        <v>0</v>
      </c>
      <c r="N3102" t="n">
        <v>0</v>
      </c>
      <c r="O3102" t="n">
        <v>0</v>
      </c>
      <c r="P3102" t="n">
        <v>0</v>
      </c>
      <c r="Q3102" t="n">
        <v>0</v>
      </c>
      <c r="R3102" t="n">
        <v>0</v>
      </c>
      <c r="S3102" t="n">
        <v>0</v>
      </c>
      <c r="T3102" t="n">
        <v>0</v>
      </c>
      <c r="U3102" t="n">
        <v>0</v>
      </c>
      <c r="V3102" s="2" t="inlineStr"/>
    </row>
    <row r="3103" ht="15" customHeight="1">
      <c r="A3103" t="inlineStr">
        <is>
          <t>A 60246-2024</t>
        </is>
      </c>
      <c r="B3103" t="inlineStr">
        <is>
          <t>avverkningsanmälan</t>
        </is>
      </c>
      <c r="C3103" t="inlineStr">
        <is>
          <t>Föryngringsavverkning</t>
        </is>
      </c>
      <c r="D3103" s="1" t="n">
        <v>45642</v>
      </c>
      <c r="E3103" s="1" t="n">
        <v>46313</v>
      </c>
      <c r="F3103" t="inlineStr">
        <is>
          <t>SÖDERMANLANDS LÄN</t>
        </is>
      </c>
      <c r="G3103" t="inlineStr">
        <is>
          <t>ESKILSTUNA</t>
        </is>
      </c>
      <c r="H3103" t="inlineStr">
        <is>
          <t>Allmännings- och besparingsskogar</t>
        </is>
      </c>
      <c r="I3103" t="n">
        <v>0.8</v>
      </c>
      <c r="J3103" t="n">
        <v>0</v>
      </c>
      <c r="K3103" t="n">
        <v>0</v>
      </c>
      <c r="L3103" t="n">
        <v>0</v>
      </c>
      <c r="M3103" t="n">
        <v>0</v>
      </c>
      <c r="N3103" t="n">
        <v>0</v>
      </c>
      <c r="O3103" t="n">
        <v>0</v>
      </c>
      <c r="P3103" t="n">
        <v>0</v>
      </c>
      <c r="Q3103" t="n">
        <v>0</v>
      </c>
      <c r="R3103" t="n">
        <v>0</v>
      </c>
      <c r="S3103" t="n">
        <v>0</v>
      </c>
      <c r="T3103" t="n">
        <v>0</v>
      </c>
      <c r="U3103" t="n">
        <v>0</v>
      </c>
      <c r="V3103" s="2" t="inlineStr"/>
    </row>
    <row r="3104" ht="15" customHeight="1">
      <c r="A3104" t="inlineStr">
        <is>
          <t>A 64-2024</t>
        </is>
      </c>
      <c r="B3104" t="inlineStr">
        <is>
          <t>avverkningsanmälan</t>
        </is>
      </c>
      <c r="C3104" t="inlineStr">
        <is>
          <t>Föryngringsavverkning</t>
        </is>
      </c>
      <c r="D3104" s="1" t="n">
        <v>45293</v>
      </c>
      <c r="E3104" s="1" t="n">
        <v>46313</v>
      </c>
      <c r="F3104" t="inlineStr">
        <is>
          <t>SÖDERMANLANDS LÄN</t>
        </is>
      </c>
      <c r="G3104" t="inlineStr">
        <is>
          <t>GNESTA</t>
        </is>
      </c>
      <c r="I3104" t="n">
        <v>1.6</v>
      </c>
      <c r="J3104" t="n">
        <v>0</v>
      </c>
      <c r="K3104" t="n">
        <v>0</v>
      </c>
      <c r="L3104" t="n">
        <v>0</v>
      </c>
      <c r="M3104" t="n">
        <v>0</v>
      </c>
      <c r="N3104" t="n">
        <v>0</v>
      </c>
      <c r="O3104" t="n">
        <v>0</v>
      </c>
      <c r="P3104" t="n">
        <v>0</v>
      </c>
      <c r="Q3104" t="n">
        <v>0</v>
      </c>
      <c r="R3104" t="n">
        <v>0</v>
      </c>
      <c r="S3104" t="n">
        <v>0</v>
      </c>
      <c r="T3104" t="n">
        <v>0</v>
      </c>
      <c r="U3104" t="n">
        <v>0</v>
      </c>
      <c r="V3104" s="2" t="inlineStr"/>
    </row>
    <row r="3105" ht="15" customHeight="1">
      <c r="A3105" t="inlineStr">
        <is>
          <t>A 4954-2022</t>
        </is>
      </c>
      <c r="B3105" t="inlineStr">
        <is>
          <t>avverkningsanmälan</t>
        </is>
      </c>
      <c r="C3105" t="inlineStr">
        <is>
          <t>Föryngringsavverkning</t>
        </is>
      </c>
      <c r="D3105" s="1" t="n">
        <v>44593</v>
      </c>
      <c r="E3105" s="1" t="n">
        <v>46313</v>
      </c>
      <c r="F3105" t="inlineStr">
        <is>
          <t>SÖDERMANLANDS LÄN</t>
        </is>
      </c>
      <c r="G3105" t="inlineStr">
        <is>
          <t>ESKILSTUNA</t>
        </is>
      </c>
      <c r="I3105" t="n">
        <v>2</v>
      </c>
      <c r="J3105" t="n">
        <v>0</v>
      </c>
      <c r="K3105" t="n">
        <v>0</v>
      </c>
      <c r="L3105" t="n">
        <v>0</v>
      </c>
      <c r="M3105" t="n">
        <v>0</v>
      </c>
      <c r="N3105" t="n">
        <v>0</v>
      </c>
      <c r="O3105" t="n">
        <v>0</v>
      </c>
      <c r="P3105" t="n">
        <v>0</v>
      </c>
      <c r="Q3105" t="n">
        <v>0</v>
      </c>
      <c r="R3105" t="n">
        <v>0</v>
      </c>
      <c r="S3105" t="n">
        <v>0</v>
      </c>
      <c r="T3105" t="n">
        <v>0</v>
      </c>
      <c r="U3105" t="n">
        <v>0</v>
      </c>
      <c r="V3105" s="2" t="inlineStr"/>
    </row>
    <row r="3106" ht="15" customHeight="1">
      <c r="A3106" t="inlineStr">
        <is>
          <t>A 14073-2025</t>
        </is>
      </c>
      <c r="B3106" t="inlineStr">
        <is>
          <t>avverkningsanmälan</t>
        </is>
      </c>
      <c r="C3106" t="inlineStr">
        <is>
          <t>Föryngringsavverkning</t>
        </is>
      </c>
      <c r="D3106" s="1" t="n">
        <v>45740</v>
      </c>
      <c r="E3106" s="1" t="n">
        <v>46313</v>
      </c>
      <c r="F3106" t="inlineStr">
        <is>
          <t>SÖDERMANLANDS LÄN</t>
        </is>
      </c>
      <c r="G3106" t="inlineStr">
        <is>
          <t>VINGÅKER</t>
        </is>
      </c>
      <c r="H3106" t="inlineStr">
        <is>
          <t>Sveaskog</t>
        </is>
      </c>
      <c r="I3106" t="n">
        <v>2.2</v>
      </c>
      <c r="J3106" t="n">
        <v>0</v>
      </c>
      <c r="K3106" t="n">
        <v>0</v>
      </c>
      <c r="L3106" t="n">
        <v>0</v>
      </c>
      <c r="M3106" t="n">
        <v>0</v>
      </c>
      <c r="N3106" t="n">
        <v>0</v>
      </c>
      <c r="O3106" t="n">
        <v>0</v>
      </c>
      <c r="P3106" t="n">
        <v>0</v>
      </c>
      <c r="Q3106" t="n">
        <v>0</v>
      </c>
      <c r="R3106" t="n">
        <v>0</v>
      </c>
      <c r="S3106" t="n">
        <v>0</v>
      </c>
      <c r="T3106" t="n">
        <v>0</v>
      </c>
      <c r="U3106" t="n">
        <v>0</v>
      </c>
      <c r="V3106" s="2" t="inlineStr"/>
    </row>
    <row r="3107" ht="15" customHeight="1">
      <c r="A3107" t="inlineStr">
        <is>
          <t>A 19285-2023</t>
        </is>
      </c>
      <c r="B3107" t="inlineStr">
        <is>
          <t>avverkningsanmälan</t>
        </is>
      </c>
      <c r="C3107" t="inlineStr">
        <is>
          <t>Föryngringsavverkning</t>
        </is>
      </c>
      <c r="D3107" s="1" t="n">
        <v>45049</v>
      </c>
      <c r="E3107" s="1" t="n">
        <v>46313</v>
      </c>
      <c r="F3107" t="inlineStr">
        <is>
          <t>SÖDERMANLANDS LÄN</t>
        </is>
      </c>
      <c r="G3107" t="inlineStr">
        <is>
          <t>ESKILSTUNA</t>
        </is>
      </c>
      <c r="I3107" t="n">
        <v>3</v>
      </c>
      <c r="J3107" t="n">
        <v>0</v>
      </c>
      <c r="K3107" t="n">
        <v>0</v>
      </c>
      <c r="L3107" t="n">
        <v>0</v>
      </c>
      <c r="M3107" t="n">
        <v>0</v>
      </c>
      <c r="N3107" t="n">
        <v>0</v>
      </c>
      <c r="O3107" t="n">
        <v>0</v>
      </c>
      <c r="P3107" t="n">
        <v>0</v>
      </c>
      <c r="Q3107" t="n">
        <v>0</v>
      </c>
      <c r="R3107" t="n">
        <v>0</v>
      </c>
      <c r="S3107" t="n">
        <v>0</v>
      </c>
      <c r="T3107" t="n">
        <v>0</v>
      </c>
      <c r="U3107" t="n">
        <v>0</v>
      </c>
      <c r="V3107" s="2" t="inlineStr"/>
    </row>
    <row r="3108" ht="15" customHeight="1">
      <c r="A3108" t="inlineStr">
        <is>
          <t>A 22509-2026</t>
        </is>
      </c>
      <c r="B3108" t="inlineStr">
        <is>
          <t>avverkningsanmälan</t>
        </is>
      </c>
      <c r="C3108" t="inlineStr">
        <is>
          <t>Avverkning för annat ändamål</t>
        </is>
      </c>
      <c r="D3108" s="1" t="n">
        <v>46155</v>
      </c>
      <c r="E3108" s="1" t="n">
        <v>46313</v>
      </c>
      <c r="F3108" t="inlineStr">
        <is>
          <t>SÖDERMANLANDS LÄN</t>
        </is>
      </c>
      <c r="G3108" t="inlineStr">
        <is>
          <t>KATRINEHOLM</t>
        </is>
      </c>
      <c r="I3108" t="n">
        <v>0.8</v>
      </c>
      <c r="J3108" t="n">
        <v>0</v>
      </c>
      <c r="K3108" t="n">
        <v>0</v>
      </c>
      <c r="L3108" t="n">
        <v>0</v>
      </c>
      <c r="M3108" t="n">
        <v>0</v>
      </c>
      <c r="N3108" t="n">
        <v>0</v>
      </c>
      <c r="O3108" t="n">
        <v>0</v>
      </c>
      <c r="P3108" t="n">
        <v>0</v>
      </c>
      <c r="Q3108" t="n">
        <v>0</v>
      </c>
      <c r="R3108" t="n">
        <v>0</v>
      </c>
      <c r="S3108" t="n">
        <v>0</v>
      </c>
      <c r="T3108" t="n">
        <v>0</v>
      </c>
      <c r="U3108" t="n">
        <v>0</v>
      </c>
      <c r="V3108" s="2" t="inlineStr"/>
    </row>
    <row r="3109" ht="15" customHeight="1">
      <c r="A3109" t="inlineStr">
        <is>
          <t>A 16069-2025</t>
        </is>
      </c>
      <c r="B3109" t="inlineStr">
        <is>
          <t>avverkningsanmälan</t>
        </is>
      </c>
      <c r="C3109" t="inlineStr">
        <is>
          <t>Föryngringsavverkning</t>
        </is>
      </c>
      <c r="D3109" s="1" t="n">
        <v>45749</v>
      </c>
      <c r="E3109" s="1" t="n">
        <v>46313</v>
      </c>
      <c r="F3109" t="inlineStr">
        <is>
          <t>SÖDERMANLANDS LÄN</t>
        </is>
      </c>
      <c r="G3109" t="inlineStr">
        <is>
          <t>VINGÅKER</t>
        </is>
      </c>
      <c r="I3109" t="n">
        <v>6.7</v>
      </c>
      <c r="J3109" t="n">
        <v>0</v>
      </c>
      <c r="K3109" t="n">
        <v>0</v>
      </c>
      <c r="L3109" t="n">
        <v>0</v>
      </c>
      <c r="M3109" t="n">
        <v>0</v>
      </c>
      <c r="N3109" t="n">
        <v>0</v>
      </c>
      <c r="O3109" t="n">
        <v>0</v>
      </c>
      <c r="P3109" t="n">
        <v>0</v>
      </c>
      <c r="Q3109" t="n">
        <v>0</v>
      </c>
      <c r="R3109" t="n">
        <v>0</v>
      </c>
      <c r="S3109" t="n">
        <v>0</v>
      </c>
      <c r="T3109" t="n">
        <v>0</v>
      </c>
      <c r="U3109" t="n">
        <v>0</v>
      </c>
      <c r="V3109" s="2" t="inlineStr"/>
    </row>
    <row r="3110" ht="15" customHeight="1">
      <c r="A3110" t="inlineStr">
        <is>
          <t>A 54390-2023</t>
        </is>
      </c>
      <c r="B3110" t="inlineStr">
        <is>
          <t>avverkningsanmälan</t>
        </is>
      </c>
      <c r="C3110" t="inlineStr">
        <is>
          <t>Föryngringsavverkning</t>
        </is>
      </c>
      <c r="D3110" s="1" t="n">
        <v>45226</v>
      </c>
      <c r="E3110" s="1" t="n">
        <v>46313</v>
      </c>
      <c r="F3110" t="inlineStr">
        <is>
          <t>SÖDERMANLANDS LÄN</t>
        </is>
      </c>
      <c r="G3110" t="inlineStr">
        <is>
          <t>VINGÅKER</t>
        </is>
      </c>
      <c r="I3110" t="n">
        <v>1.3</v>
      </c>
      <c r="J3110" t="n">
        <v>0</v>
      </c>
      <c r="K3110" t="n">
        <v>0</v>
      </c>
      <c r="L3110" t="n">
        <v>0</v>
      </c>
      <c r="M3110" t="n">
        <v>0</v>
      </c>
      <c r="N3110" t="n">
        <v>0</v>
      </c>
      <c r="O3110" t="n">
        <v>0</v>
      </c>
      <c r="P3110" t="n">
        <v>0</v>
      </c>
      <c r="Q3110" t="n">
        <v>0</v>
      </c>
      <c r="R3110" t="n">
        <v>0</v>
      </c>
      <c r="S3110" t="n">
        <v>0</v>
      </c>
      <c r="T3110" t="n">
        <v>0</v>
      </c>
      <c r="U3110" t="n">
        <v>0</v>
      </c>
      <c r="V3110" s="2" t="inlineStr"/>
    </row>
    <row r="3111" ht="15" customHeight="1">
      <c r="A3111" t="inlineStr">
        <is>
          <t>A 55864-2023</t>
        </is>
      </c>
      <c r="B3111" t="inlineStr">
        <is>
          <t>avverkningsanmälan</t>
        </is>
      </c>
      <c r="C3111" t="inlineStr">
        <is>
          <t>Föryngringsavverkning</t>
        </is>
      </c>
      <c r="D3111" s="1" t="n">
        <v>45239</v>
      </c>
      <c r="E3111" s="1" t="n">
        <v>46313</v>
      </c>
      <c r="F3111" t="inlineStr">
        <is>
          <t>SÖDERMANLANDS LÄN</t>
        </is>
      </c>
      <c r="G3111" t="inlineStr">
        <is>
          <t>GNESTA</t>
        </is>
      </c>
      <c r="I3111" t="n">
        <v>8</v>
      </c>
      <c r="J3111" t="n">
        <v>0</v>
      </c>
      <c r="K3111" t="n">
        <v>0</v>
      </c>
      <c r="L3111" t="n">
        <v>0</v>
      </c>
      <c r="M3111" t="n">
        <v>0</v>
      </c>
      <c r="N3111" t="n">
        <v>0</v>
      </c>
      <c r="O3111" t="n">
        <v>0</v>
      </c>
      <c r="P3111" t="n">
        <v>0</v>
      </c>
      <c r="Q3111" t="n">
        <v>0</v>
      </c>
      <c r="R3111" t="n">
        <v>0</v>
      </c>
      <c r="S3111" t="n">
        <v>0</v>
      </c>
      <c r="T3111" t="n">
        <v>0</v>
      </c>
      <c r="U3111" t="n">
        <v>0</v>
      </c>
      <c r="V3111" s="2" t="inlineStr"/>
    </row>
    <row r="3112" ht="15" customHeight="1">
      <c r="A3112" t="inlineStr">
        <is>
          <t>A 22989-2025</t>
        </is>
      </c>
      <c r="B3112" t="inlineStr">
        <is>
          <t>avverkningsanmälan</t>
        </is>
      </c>
      <c r="C3112" t="inlineStr">
        <is>
          <t>Föryngringsavverkning</t>
        </is>
      </c>
      <c r="D3112" s="1" t="n">
        <v>45790</v>
      </c>
      <c r="E3112" s="1" t="n">
        <v>46313</v>
      </c>
      <c r="F3112" t="inlineStr">
        <is>
          <t>SÖDERMANLANDS LÄN</t>
        </is>
      </c>
      <c r="G3112" t="inlineStr">
        <is>
          <t>FLEN</t>
        </is>
      </c>
      <c r="I3112" t="n">
        <v>1.2</v>
      </c>
      <c r="J3112" t="n">
        <v>0</v>
      </c>
      <c r="K3112" t="n">
        <v>0</v>
      </c>
      <c r="L3112" t="n">
        <v>0</v>
      </c>
      <c r="M3112" t="n">
        <v>0</v>
      </c>
      <c r="N3112" t="n">
        <v>0</v>
      </c>
      <c r="O3112" t="n">
        <v>0</v>
      </c>
      <c r="P3112" t="n">
        <v>0</v>
      </c>
      <c r="Q3112" t="n">
        <v>0</v>
      </c>
      <c r="R3112" t="n">
        <v>0</v>
      </c>
      <c r="S3112" t="n">
        <v>0</v>
      </c>
      <c r="T3112" t="n">
        <v>0</v>
      </c>
      <c r="U3112" t="n">
        <v>0</v>
      </c>
      <c r="V3112" s="2" t="inlineStr"/>
    </row>
    <row r="3113" ht="15" customHeight="1">
      <c r="A3113" t="inlineStr">
        <is>
          <t>A 16986-2025</t>
        </is>
      </c>
      <c r="B3113" t="inlineStr">
        <is>
          <t>avverkningsanmälan</t>
        </is>
      </c>
      <c r="C3113" t="inlineStr">
        <is>
          <t>Föryngringsavverkning</t>
        </is>
      </c>
      <c r="D3113" s="1" t="n">
        <v>45755</v>
      </c>
      <c r="E3113" s="1" t="n">
        <v>46313</v>
      </c>
      <c r="F3113" t="inlineStr">
        <is>
          <t>SÖDERMANLANDS LÄN</t>
        </is>
      </c>
      <c r="G3113" t="inlineStr">
        <is>
          <t>VINGÅKER</t>
        </is>
      </c>
      <c r="I3113" t="n">
        <v>2.2</v>
      </c>
      <c r="J3113" t="n">
        <v>0</v>
      </c>
      <c r="K3113" t="n">
        <v>0</v>
      </c>
      <c r="L3113" t="n">
        <v>0</v>
      </c>
      <c r="M3113" t="n">
        <v>0</v>
      </c>
      <c r="N3113" t="n">
        <v>0</v>
      </c>
      <c r="O3113" t="n">
        <v>0</v>
      </c>
      <c r="P3113" t="n">
        <v>0</v>
      </c>
      <c r="Q3113" t="n">
        <v>0</v>
      </c>
      <c r="R3113" t="n">
        <v>0</v>
      </c>
      <c r="S3113" t="n">
        <v>0</v>
      </c>
      <c r="T3113" t="n">
        <v>0</v>
      </c>
      <c r="U3113" t="n">
        <v>0</v>
      </c>
      <c r="V3113" s="2" t="inlineStr"/>
    </row>
    <row r="3114" ht="15" customHeight="1">
      <c r="A3114" t="inlineStr">
        <is>
          <t>A 35106-2026</t>
        </is>
      </c>
      <c r="B3114" t="inlineStr">
        <is>
          <t>avverkningsanmälan</t>
        </is>
      </c>
      <c r="C3114" t="inlineStr">
        <is>
          <t>Avverkning för annat ändamål</t>
        </is>
      </c>
      <c r="D3114" s="1" t="n">
        <v>46260</v>
      </c>
      <c r="E3114" s="1" t="n">
        <v>46313</v>
      </c>
      <c r="F3114" t="inlineStr">
        <is>
          <t>SÖDERMANLANDS LÄN</t>
        </is>
      </c>
      <c r="G3114" t="inlineStr">
        <is>
          <t>KATRINEHOLM</t>
        </is>
      </c>
      <c r="H3114" t="inlineStr">
        <is>
          <t>Holmen skog AB</t>
        </is>
      </c>
      <c r="I3114" t="n">
        <v>1.7</v>
      </c>
      <c r="J3114" t="n">
        <v>0</v>
      </c>
      <c r="K3114" t="n">
        <v>0</v>
      </c>
      <c r="L3114" t="n">
        <v>0</v>
      </c>
      <c r="M3114" t="n">
        <v>0</v>
      </c>
      <c r="N3114" t="n">
        <v>0</v>
      </c>
      <c r="O3114" t="n">
        <v>0</v>
      </c>
      <c r="P3114" t="n">
        <v>0</v>
      </c>
      <c r="Q3114" t="n">
        <v>0</v>
      </c>
      <c r="R3114" t="n">
        <v>0</v>
      </c>
      <c r="S3114" t="n">
        <v>0</v>
      </c>
      <c r="T3114" t="n">
        <v>0</v>
      </c>
      <c r="U3114" t="n">
        <v>0</v>
      </c>
      <c r="V3114" s="2" t="inlineStr"/>
    </row>
    <row r="3115" ht="15" customHeight="1">
      <c r="A3115" t="inlineStr">
        <is>
          <t>A 45426-2024</t>
        </is>
      </c>
      <c r="B3115" t="inlineStr">
        <is>
          <t>avverkningsanmälan</t>
        </is>
      </c>
      <c r="C3115" t="inlineStr">
        <is>
          <t>Föryngringsavverkning</t>
        </is>
      </c>
      <c r="D3115" s="1" t="n">
        <v>45576</v>
      </c>
      <c r="E3115" s="1" t="n">
        <v>46313</v>
      </c>
      <c r="F3115" t="inlineStr">
        <is>
          <t>SÖDERMANLANDS LÄN</t>
        </is>
      </c>
      <c r="G3115" t="inlineStr">
        <is>
          <t>VINGÅKER</t>
        </is>
      </c>
      <c r="I3115" t="n">
        <v>1.8</v>
      </c>
      <c r="J3115" t="n">
        <v>0</v>
      </c>
      <c r="K3115" t="n">
        <v>0</v>
      </c>
      <c r="L3115" t="n">
        <v>0</v>
      </c>
      <c r="M3115" t="n">
        <v>0</v>
      </c>
      <c r="N3115" t="n">
        <v>0</v>
      </c>
      <c r="O3115" t="n">
        <v>0</v>
      </c>
      <c r="P3115" t="n">
        <v>0</v>
      </c>
      <c r="Q3115" t="n">
        <v>0</v>
      </c>
      <c r="R3115" t="n">
        <v>0</v>
      </c>
      <c r="S3115" t="n">
        <v>0</v>
      </c>
      <c r="T3115" t="n">
        <v>0</v>
      </c>
      <c r="U3115" t="n">
        <v>0</v>
      </c>
      <c r="V3115" s="2" t="inlineStr"/>
    </row>
    <row r="3116" ht="15" customHeight="1">
      <c r="A3116" t="inlineStr">
        <is>
          <t>A 35444-2026</t>
        </is>
      </c>
      <c r="B3116" t="inlineStr">
        <is>
          <t>avverkningsanmälan</t>
        </is>
      </c>
      <c r="C3116" t="inlineStr">
        <is>
          <t>Föryngringsavverkning</t>
        </is>
      </c>
      <c r="D3116" s="1" t="n">
        <v>46261</v>
      </c>
      <c r="E3116" s="1" t="n">
        <v>46313</v>
      </c>
      <c r="F3116" t="inlineStr">
        <is>
          <t>SÖDERMANLANDS LÄN</t>
        </is>
      </c>
      <c r="G3116" t="inlineStr">
        <is>
          <t>GNESTA</t>
        </is>
      </c>
      <c r="I3116" t="n">
        <v>1.9</v>
      </c>
      <c r="J3116" t="n">
        <v>0</v>
      </c>
      <c r="K3116" t="n">
        <v>0</v>
      </c>
      <c r="L3116" t="n">
        <v>0</v>
      </c>
      <c r="M3116" t="n">
        <v>0</v>
      </c>
      <c r="N3116" t="n">
        <v>0</v>
      </c>
      <c r="O3116" t="n">
        <v>0</v>
      </c>
      <c r="P3116" t="n">
        <v>0</v>
      </c>
      <c r="Q3116" t="n">
        <v>0</v>
      </c>
      <c r="R3116" t="n">
        <v>0</v>
      </c>
      <c r="S3116" t="n">
        <v>0</v>
      </c>
      <c r="T3116" t="n">
        <v>0</v>
      </c>
      <c r="U3116" t="n">
        <v>0</v>
      </c>
      <c r="V3116" s="2" t="inlineStr"/>
    </row>
    <row r="3117" ht="15" customHeight="1">
      <c r="A3117" t="inlineStr">
        <is>
          <t>A 22998-2025</t>
        </is>
      </c>
      <c r="B3117" t="inlineStr">
        <is>
          <t>avverkningsanmälan</t>
        </is>
      </c>
      <c r="C3117" t="inlineStr">
        <is>
          <t>Föryngringsavverkning</t>
        </is>
      </c>
      <c r="D3117" s="1" t="n">
        <v>45790</v>
      </c>
      <c r="E3117" s="1" t="n">
        <v>46313</v>
      </c>
      <c r="F3117" t="inlineStr">
        <is>
          <t>SÖDERMANLANDS LÄN</t>
        </is>
      </c>
      <c r="G3117" t="inlineStr">
        <is>
          <t>FLEN</t>
        </is>
      </c>
      <c r="I3117" t="n">
        <v>0.6</v>
      </c>
      <c r="J3117" t="n">
        <v>0</v>
      </c>
      <c r="K3117" t="n">
        <v>0</v>
      </c>
      <c r="L3117" t="n">
        <v>0</v>
      </c>
      <c r="M3117" t="n">
        <v>0</v>
      </c>
      <c r="N3117" t="n">
        <v>0</v>
      </c>
      <c r="O3117" t="n">
        <v>0</v>
      </c>
      <c r="P3117" t="n">
        <v>0</v>
      </c>
      <c r="Q3117" t="n">
        <v>0</v>
      </c>
      <c r="R3117" t="n">
        <v>0</v>
      </c>
      <c r="S3117" t="n">
        <v>0</v>
      </c>
      <c r="T3117" t="n">
        <v>0</v>
      </c>
      <c r="U3117" t="n">
        <v>0</v>
      </c>
      <c r="V3117" s="2" t="inlineStr"/>
    </row>
    <row r="3118" ht="15" customHeight="1">
      <c r="A3118" t="inlineStr">
        <is>
          <t>A 22867-2025</t>
        </is>
      </c>
      <c r="B3118" t="inlineStr">
        <is>
          <t>avverkningsanmälan</t>
        </is>
      </c>
      <c r="C3118" t="inlineStr">
        <is>
          <t>Föryngringsavverkning</t>
        </is>
      </c>
      <c r="D3118" s="1" t="n">
        <v>45790</v>
      </c>
      <c r="E3118" s="1" t="n">
        <v>46313</v>
      </c>
      <c r="F3118" t="inlineStr">
        <is>
          <t>SÖDERMANLANDS LÄN</t>
        </is>
      </c>
      <c r="G3118" t="inlineStr">
        <is>
          <t>FLEN</t>
        </is>
      </c>
      <c r="I3118" t="n">
        <v>1.1</v>
      </c>
      <c r="J3118" t="n">
        <v>0</v>
      </c>
      <c r="K3118" t="n">
        <v>0</v>
      </c>
      <c r="L3118" t="n">
        <v>0</v>
      </c>
      <c r="M3118" t="n">
        <v>0</v>
      </c>
      <c r="N3118" t="n">
        <v>0</v>
      </c>
      <c r="O3118" t="n">
        <v>0</v>
      </c>
      <c r="P3118" t="n">
        <v>0</v>
      </c>
      <c r="Q3118" t="n">
        <v>0</v>
      </c>
      <c r="R3118" t="n">
        <v>0</v>
      </c>
      <c r="S3118" t="n">
        <v>0</v>
      </c>
      <c r="T3118" t="n">
        <v>0</v>
      </c>
      <c r="U3118" t="n">
        <v>0</v>
      </c>
      <c r="V3118" s="2" t="inlineStr"/>
    </row>
    <row r="3119" ht="15" customHeight="1">
      <c r="A3119" t="inlineStr">
        <is>
          <t>A 50100-2024</t>
        </is>
      </c>
      <c r="B3119" t="inlineStr">
        <is>
          <t>avverkningsanmälan</t>
        </is>
      </c>
      <c r="C3119" t="inlineStr">
        <is>
          <t>Föryngringsavverkning</t>
        </is>
      </c>
      <c r="D3119" s="1" t="n">
        <v>45598</v>
      </c>
      <c r="E3119" s="1" t="n">
        <v>46313</v>
      </c>
      <c r="F3119" t="inlineStr">
        <is>
          <t>SÖDERMANLANDS LÄN</t>
        </is>
      </c>
      <c r="G3119" t="inlineStr">
        <is>
          <t>VINGÅKER</t>
        </is>
      </c>
      <c r="I3119" t="n">
        <v>1.8</v>
      </c>
      <c r="J3119" t="n">
        <v>0</v>
      </c>
      <c r="K3119" t="n">
        <v>0</v>
      </c>
      <c r="L3119" t="n">
        <v>0</v>
      </c>
      <c r="M3119" t="n">
        <v>0</v>
      </c>
      <c r="N3119" t="n">
        <v>0</v>
      </c>
      <c r="O3119" t="n">
        <v>0</v>
      </c>
      <c r="P3119" t="n">
        <v>0</v>
      </c>
      <c r="Q3119" t="n">
        <v>0</v>
      </c>
      <c r="R3119" t="n">
        <v>0</v>
      </c>
      <c r="S3119" t="n">
        <v>0</v>
      </c>
      <c r="T3119" t="n">
        <v>0</v>
      </c>
      <c r="U3119" t="n">
        <v>0</v>
      </c>
      <c r="V3119" s="2" t="inlineStr"/>
    </row>
    <row r="3120" ht="15" customHeight="1">
      <c r="A3120" t="inlineStr">
        <is>
          <t>A 48875-2024</t>
        </is>
      </c>
      <c r="B3120" t="inlineStr">
        <is>
          <t>avverkningsanmälan</t>
        </is>
      </c>
      <c r="C3120" t="inlineStr">
        <is>
          <t>Avverkning för annat ändamål</t>
        </is>
      </c>
      <c r="D3120" s="1" t="n">
        <v>45594</v>
      </c>
      <c r="E3120" s="1" t="n">
        <v>46313</v>
      </c>
      <c r="F3120" t="inlineStr">
        <is>
          <t>SÖDERMANLANDS LÄN</t>
        </is>
      </c>
      <c r="G3120" t="inlineStr">
        <is>
          <t>VINGÅKER</t>
        </is>
      </c>
      <c r="H3120" t="inlineStr">
        <is>
          <t>Övriga Aktiebolag</t>
        </is>
      </c>
      <c r="I3120" t="n">
        <v>5</v>
      </c>
      <c r="J3120" t="n">
        <v>0</v>
      </c>
      <c r="K3120" t="n">
        <v>0</v>
      </c>
      <c r="L3120" t="n">
        <v>0</v>
      </c>
      <c r="M3120" t="n">
        <v>0</v>
      </c>
      <c r="N3120" t="n">
        <v>0</v>
      </c>
      <c r="O3120" t="n">
        <v>0</v>
      </c>
      <c r="P3120" t="n">
        <v>0</v>
      </c>
      <c r="Q3120" t="n">
        <v>0</v>
      </c>
      <c r="R3120" t="n">
        <v>0</v>
      </c>
      <c r="S3120" t="n">
        <v>0</v>
      </c>
      <c r="T3120" t="n">
        <v>0</v>
      </c>
      <c r="U3120" t="n">
        <v>0</v>
      </c>
      <c r="V3120" s="2" t="inlineStr"/>
    </row>
    <row r="3121" ht="15" customHeight="1">
      <c r="A3121" t="inlineStr">
        <is>
          <t>A 42391-2026</t>
        </is>
      </c>
      <c r="B3121" t="inlineStr">
        <is>
          <t>avverkningsanmälan</t>
        </is>
      </c>
      <c r="C3121" t="inlineStr">
        <is>
          <t>Föryngringsavverkning</t>
        </is>
      </c>
      <c r="D3121" s="1" t="n">
        <v>46307</v>
      </c>
      <c r="E3121" s="1" t="n">
        <v>46313</v>
      </c>
      <c r="F3121" t="inlineStr">
        <is>
          <t>SÖDERMANLANDS LÄN</t>
        </is>
      </c>
      <c r="G3121" t="inlineStr">
        <is>
          <t>NYKÖPING</t>
        </is>
      </c>
      <c r="H3121" t="inlineStr">
        <is>
          <t>Holmen skog AB</t>
        </is>
      </c>
      <c r="I3121" t="n">
        <v>1.6</v>
      </c>
      <c r="J3121" t="n">
        <v>0</v>
      </c>
      <c r="K3121" t="n">
        <v>0</v>
      </c>
      <c r="L3121" t="n">
        <v>0</v>
      </c>
      <c r="M3121" t="n">
        <v>0</v>
      </c>
      <c r="N3121" t="n">
        <v>0</v>
      </c>
      <c r="O3121" t="n">
        <v>0</v>
      </c>
      <c r="P3121" t="n">
        <v>0</v>
      </c>
      <c r="Q3121" t="n">
        <v>0</v>
      </c>
      <c r="R3121" t="n">
        <v>0</v>
      </c>
      <c r="S3121" t="n">
        <v>0</v>
      </c>
      <c r="T3121" t="n">
        <v>0</v>
      </c>
      <c r="U3121" t="n">
        <v>0</v>
      </c>
      <c r="V3121" s="2" t="inlineStr"/>
    </row>
    <row r="3122" ht="15" customHeight="1">
      <c r="A3122" t="inlineStr">
        <is>
          <t>A 24172-2025</t>
        </is>
      </c>
      <c r="B3122" t="inlineStr">
        <is>
          <t>avverkningsanmälan</t>
        </is>
      </c>
      <c r="C3122" t="inlineStr">
        <is>
          <t>Föryngringsavverkning</t>
        </is>
      </c>
      <c r="D3122" s="1" t="n">
        <v>45796</v>
      </c>
      <c r="E3122" s="1" t="n">
        <v>46313</v>
      </c>
      <c r="F3122" t="inlineStr">
        <is>
          <t>SÖDERMANLANDS LÄN</t>
        </is>
      </c>
      <c r="G3122" t="inlineStr">
        <is>
          <t>GNESTA</t>
        </is>
      </c>
      <c r="I3122" t="n">
        <v>1</v>
      </c>
      <c r="J3122" t="n">
        <v>0</v>
      </c>
      <c r="K3122" t="n">
        <v>0</v>
      </c>
      <c r="L3122" t="n">
        <v>0</v>
      </c>
      <c r="M3122" t="n">
        <v>0</v>
      </c>
      <c r="N3122" t="n">
        <v>0</v>
      </c>
      <c r="O3122" t="n">
        <v>0</v>
      </c>
      <c r="P3122" t="n">
        <v>0</v>
      </c>
      <c r="Q3122" t="n">
        <v>0</v>
      </c>
      <c r="R3122" t="n">
        <v>0</v>
      </c>
      <c r="S3122" t="n">
        <v>0</v>
      </c>
      <c r="T3122" t="n">
        <v>0</v>
      </c>
      <c r="U3122" t="n">
        <v>0</v>
      </c>
      <c r="V3122" s="2" t="inlineStr"/>
    </row>
    <row r="3123" ht="15" customHeight="1">
      <c r="A3123" t="inlineStr">
        <is>
          <t>A 34055-2026</t>
        </is>
      </c>
      <c r="B3123" t="inlineStr">
        <is>
          <t>avverkningsanmälan</t>
        </is>
      </c>
      <c r="C3123" t="inlineStr">
        <is>
          <t>Föryngringsavverkning</t>
        </is>
      </c>
      <c r="D3123" s="1" t="n">
        <v>46252</v>
      </c>
      <c r="E3123" s="1" t="n">
        <v>46313</v>
      </c>
      <c r="F3123" t="inlineStr">
        <is>
          <t>SÖDERMANLANDS LÄN</t>
        </is>
      </c>
      <c r="G3123" t="inlineStr">
        <is>
          <t>FLEN</t>
        </is>
      </c>
      <c r="I3123" t="n">
        <v>2.2</v>
      </c>
      <c r="J3123" t="n">
        <v>0</v>
      </c>
      <c r="K3123" t="n">
        <v>0</v>
      </c>
      <c r="L3123" t="n">
        <v>0</v>
      </c>
      <c r="M3123" t="n">
        <v>0</v>
      </c>
      <c r="N3123" t="n">
        <v>0</v>
      </c>
      <c r="O3123" t="n">
        <v>0</v>
      </c>
      <c r="P3123" t="n">
        <v>0</v>
      </c>
      <c r="Q3123" t="n">
        <v>0</v>
      </c>
      <c r="R3123" t="n">
        <v>0</v>
      </c>
      <c r="S3123" t="n">
        <v>0</v>
      </c>
      <c r="T3123" t="n">
        <v>0</v>
      </c>
      <c r="U3123" t="n">
        <v>0</v>
      </c>
      <c r="V3123" s="2" t="inlineStr"/>
    </row>
    <row r="3124" ht="15" customHeight="1">
      <c r="A3124" t="inlineStr">
        <is>
          <t>A 24170-2025</t>
        </is>
      </c>
      <c r="B3124" t="inlineStr">
        <is>
          <t>avverkningsanmälan</t>
        </is>
      </c>
      <c r="C3124" t="inlineStr">
        <is>
          <t>Föryngringsavverkning</t>
        </is>
      </c>
      <c r="D3124" s="1" t="n">
        <v>45796</v>
      </c>
      <c r="E3124" s="1" t="n">
        <v>46313</v>
      </c>
      <c r="F3124" t="inlineStr">
        <is>
          <t>SÖDERMANLANDS LÄN</t>
        </is>
      </c>
      <c r="G3124" t="inlineStr">
        <is>
          <t>GNESTA</t>
        </is>
      </c>
      <c r="I3124" t="n">
        <v>3.5</v>
      </c>
      <c r="J3124" t="n">
        <v>0</v>
      </c>
      <c r="K3124" t="n">
        <v>0</v>
      </c>
      <c r="L3124" t="n">
        <v>0</v>
      </c>
      <c r="M3124" t="n">
        <v>0</v>
      </c>
      <c r="N3124" t="n">
        <v>0</v>
      </c>
      <c r="O3124" t="n">
        <v>0</v>
      </c>
      <c r="P3124" t="n">
        <v>0</v>
      </c>
      <c r="Q3124" t="n">
        <v>0</v>
      </c>
      <c r="R3124" t="n">
        <v>0</v>
      </c>
      <c r="S3124" t="n">
        <v>0</v>
      </c>
      <c r="T3124" t="n">
        <v>0</v>
      </c>
      <c r="U3124" t="n">
        <v>0</v>
      </c>
      <c r="V3124" s="2" t="inlineStr"/>
    </row>
    <row r="3125" ht="15" customHeight="1">
      <c r="A3125" t="inlineStr">
        <is>
          <t>A 10331-2025</t>
        </is>
      </c>
      <c r="B3125" t="inlineStr">
        <is>
          <t>avverkningsanmälan</t>
        </is>
      </c>
      <c r="C3125" t="inlineStr">
        <is>
          <t>Föryngringsavverkning</t>
        </is>
      </c>
      <c r="D3125" s="1" t="n">
        <v>45720</v>
      </c>
      <c r="E3125" s="1" t="n">
        <v>46313</v>
      </c>
      <c r="F3125" t="inlineStr">
        <is>
          <t>SÖDERMANLANDS LÄN</t>
        </is>
      </c>
      <c r="G3125" t="inlineStr">
        <is>
          <t>GNESTA</t>
        </is>
      </c>
      <c r="I3125" t="n">
        <v>3.1</v>
      </c>
      <c r="J3125" t="n">
        <v>0</v>
      </c>
      <c r="K3125" t="n">
        <v>0</v>
      </c>
      <c r="L3125" t="n">
        <v>0</v>
      </c>
      <c r="M3125" t="n">
        <v>0</v>
      </c>
      <c r="N3125" t="n">
        <v>0</v>
      </c>
      <c r="O3125" t="n">
        <v>0</v>
      </c>
      <c r="P3125" t="n">
        <v>0</v>
      </c>
      <c r="Q3125" t="n">
        <v>0</v>
      </c>
      <c r="R3125" t="n">
        <v>0</v>
      </c>
      <c r="S3125" t="n">
        <v>0</v>
      </c>
      <c r="T3125" t="n">
        <v>0</v>
      </c>
      <c r="U3125" t="n">
        <v>0</v>
      </c>
      <c r="V3125" s="2" t="inlineStr"/>
    </row>
    <row r="3126" ht="15" customHeight="1">
      <c r="A3126" t="inlineStr">
        <is>
          <t>A 30638-2024</t>
        </is>
      </c>
      <c r="B3126" t="inlineStr">
        <is>
          <t>avverkningsanmälan</t>
        </is>
      </c>
      <c r="C3126" t="inlineStr">
        <is>
          <t>Föryngringsavverkning</t>
        </is>
      </c>
      <c r="D3126" s="1" t="n">
        <v>45495</v>
      </c>
      <c r="E3126" s="1" t="n">
        <v>46313</v>
      </c>
      <c r="F3126" t="inlineStr">
        <is>
          <t>SÖDERMANLANDS LÄN</t>
        </is>
      </c>
      <c r="G3126" t="inlineStr">
        <is>
          <t>GNESTA</t>
        </is>
      </c>
      <c r="I3126" t="n">
        <v>2.5</v>
      </c>
      <c r="J3126" t="n">
        <v>0</v>
      </c>
      <c r="K3126" t="n">
        <v>0</v>
      </c>
      <c r="L3126" t="n">
        <v>0</v>
      </c>
      <c r="M3126" t="n">
        <v>0</v>
      </c>
      <c r="N3126" t="n">
        <v>0</v>
      </c>
      <c r="O3126" t="n">
        <v>0</v>
      </c>
      <c r="P3126" t="n">
        <v>0</v>
      </c>
      <c r="Q3126" t="n">
        <v>0</v>
      </c>
      <c r="R3126" t="n">
        <v>0</v>
      </c>
      <c r="S3126" t="n">
        <v>0</v>
      </c>
      <c r="T3126" t="n">
        <v>0</v>
      </c>
      <c r="U3126" t="n">
        <v>0</v>
      </c>
      <c r="V3126" s="2" t="inlineStr"/>
    </row>
    <row r="3127" ht="15" customHeight="1">
      <c r="A3127" t="inlineStr">
        <is>
          <t>A 52775-2024</t>
        </is>
      </c>
      <c r="B3127" t="inlineStr">
        <is>
          <t>avverkningsanmälan</t>
        </is>
      </c>
      <c r="C3127" t="inlineStr">
        <is>
          <t>Föryngringsavverkning</t>
        </is>
      </c>
      <c r="D3127" s="1" t="n">
        <v>45610</v>
      </c>
      <c r="E3127" s="1" t="n">
        <v>46313</v>
      </c>
      <c r="F3127" t="inlineStr">
        <is>
          <t>SÖDERMANLANDS LÄN</t>
        </is>
      </c>
      <c r="G3127" t="inlineStr">
        <is>
          <t>FLEN</t>
        </is>
      </c>
      <c r="I3127" t="n">
        <v>3.9</v>
      </c>
      <c r="J3127" t="n">
        <v>0</v>
      </c>
      <c r="K3127" t="n">
        <v>0</v>
      </c>
      <c r="L3127" t="n">
        <v>0</v>
      </c>
      <c r="M3127" t="n">
        <v>0</v>
      </c>
      <c r="N3127" t="n">
        <v>0</v>
      </c>
      <c r="O3127" t="n">
        <v>0</v>
      </c>
      <c r="P3127" t="n">
        <v>0</v>
      </c>
      <c r="Q3127" t="n">
        <v>0</v>
      </c>
      <c r="R3127" t="n">
        <v>0</v>
      </c>
      <c r="S3127" t="n">
        <v>0</v>
      </c>
      <c r="T3127" t="n">
        <v>0</v>
      </c>
      <c r="U3127" t="n">
        <v>0</v>
      </c>
      <c r="V3127" s="2" t="inlineStr"/>
    </row>
    <row r="3128" ht="15" customHeight="1">
      <c r="A3128" t="inlineStr">
        <is>
          <t>A 35054-2024</t>
        </is>
      </c>
      <c r="B3128" t="inlineStr">
        <is>
          <t>avverkningsanmälan</t>
        </is>
      </c>
      <c r="C3128" t="inlineStr">
        <is>
          <t>Föryngringsavverkning</t>
        </is>
      </c>
      <c r="D3128" s="1" t="n">
        <v>45527</v>
      </c>
      <c r="E3128" s="1" t="n">
        <v>46313</v>
      </c>
      <c r="F3128" t="inlineStr">
        <is>
          <t>SÖDERMANLANDS LÄN</t>
        </is>
      </c>
      <c r="G3128" t="inlineStr">
        <is>
          <t>TROSA</t>
        </is>
      </c>
      <c r="I3128" t="n">
        <v>1.5</v>
      </c>
      <c r="J3128" t="n">
        <v>0</v>
      </c>
      <c r="K3128" t="n">
        <v>0</v>
      </c>
      <c r="L3128" t="n">
        <v>0</v>
      </c>
      <c r="M3128" t="n">
        <v>0</v>
      </c>
      <c r="N3128" t="n">
        <v>0</v>
      </c>
      <c r="O3128" t="n">
        <v>0</v>
      </c>
      <c r="P3128" t="n">
        <v>0</v>
      </c>
      <c r="Q3128" t="n">
        <v>0</v>
      </c>
      <c r="R3128" t="n">
        <v>0</v>
      </c>
      <c r="S3128" t="n">
        <v>0</v>
      </c>
      <c r="T3128" t="n">
        <v>0</v>
      </c>
      <c r="U3128" t="n">
        <v>0</v>
      </c>
      <c r="V3128" s="2" t="inlineStr"/>
    </row>
    <row r="3129" ht="15" customHeight="1">
      <c r="A3129" t="inlineStr">
        <is>
          <t>A 62323-2025</t>
        </is>
      </c>
      <c r="B3129" t="inlineStr">
        <is>
          <t>avverkningsanmälan</t>
        </is>
      </c>
      <c r="C3129" t="inlineStr">
        <is>
          <t>Föryngringsavverkning</t>
        </is>
      </c>
      <c r="D3129" s="1" t="n">
        <v>46003</v>
      </c>
      <c r="E3129" s="1" t="n">
        <v>46313</v>
      </c>
      <c r="F3129" t="inlineStr">
        <is>
          <t>SÖDERMANLANDS LÄN</t>
        </is>
      </c>
      <c r="G3129" t="inlineStr">
        <is>
          <t>NYKÖPING</t>
        </is>
      </c>
      <c r="I3129" t="n">
        <v>1.2</v>
      </c>
      <c r="J3129" t="n">
        <v>0</v>
      </c>
      <c r="K3129" t="n">
        <v>0</v>
      </c>
      <c r="L3129" t="n">
        <v>0</v>
      </c>
      <c r="M3129" t="n">
        <v>0</v>
      </c>
      <c r="N3129" t="n">
        <v>0</v>
      </c>
      <c r="O3129" t="n">
        <v>0</v>
      </c>
      <c r="P3129" t="n">
        <v>0</v>
      </c>
      <c r="Q3129" t="n">
        <v>0</v>
      </c>
      <c r="R3129" t="n">
        <v>0</v>
      </c>
      <c r="S3129" t="n">
        <v>0</v>
      </c>
      <c r="T3129" t="n">
        <v>0</v>
      </c>
      <c r="U3129" t="n">
        <v>0</v>
      </c>
      <c r="V3129" s="2" t="inlineStr"/>
    </row>
    <row r="3130" ht="15" customHeight="1">
      <c r="A3130" t="inlineStr">
        <is>
          <t>A 10029-2026</t>
        </is>
      </c>
      <c r="B3130" t="inlineStr">
        <is>
          <t>avverkningsanmälan</t>
        </is>
      </c>
      <c r="C3130" t="inlineStr">
        <is>
          <t>Föryngringsavverkning</t>
        </is>
      </c>
      <c r="D3130" s="1" t="n">
        <v>46073</v>
      </c>
      <c r="E3130" s="1" t="n">
        <v>46313</v>
      </c>
      <c r="F3130" t="inlineStr">
        <is>
          <t>SÖDERMANLANDS LÄN</t>
        </is>
      </c>
      <c r="G3130" t="inlineStr">
        <is>
          <t>GNESTA</t>
        </is>
      </c>
      <c r="I3130" t="n">
        <v>17.1</v>
      </c>
      <c r="J3130" t="n">
        <v>0</v>
      </c>
      <c r="K3130" t="n">
        <v>0</v>
      </c>
      <c r="L3130" t="n">
        <v>0</v>
      </c>
      <c r="M3130" t="n">
        <v>0</v>
      </c>
      <c r="N3130" t="n">
        <v>0</v>
      </c>
      <c r="O3130" t="n">
        <v>0</v>
      </c>
      <c r="P3130" t="n">
        <v>0</v>
      </c>
      <c r="Q3130" t="n">
        <v>0</v>
      </c>
      <c r="R3130" t="n">
        <v>0</v>
      </c>
      <c r="S3130" t="n">
        <v>0</v>
      </c>
      <c r="T3130" t="n">
        <v>0</v>
      </c>
      <c r="U3130" t="n">
        <v>0</v>
      </c>
      <c r="V3130" s="2" t="inlineStr"/>
    </row>
    <row r="3131" ht="15" customHeight="1">
      <c r="A3131" t="inlineStr">
        <is>
          <t>A 53071-2024</t>
        </is>
      </c>
      <c r="B3131" t="inlineStr">
        <is>
          <t>avverkningsanmälan</t>
        </is>
      </c>
      <c r="C3131" t="inlineStr">
        <is>
          <t>Föryngringsavverkning</t>
        </is>
      </c>
      <c r="D3131" s="1" t="n">
        <v>45611</v>
      </c>
      <c r="E3131" s="1" t="n">
        <v>46313</v>
      </c>
      <c r="F3131" t="inlineStr">
        <is>
          <t>SÖDERMANLANDS LÄN</t>
        </is>
      </c>
      <c r="G3131" t="inlineStr">
        <is>
          <t>NYKÖPING</t>
        </is>
      </c>
      <c r="I3131" t="n">
        <v>1.3</v>
      </c>
      <c r="J3131" t="n">
        <v>0</v>
      </c>
      <c r="K3131" t="n">
        <v>0</v>
      </c>
      <c r="L3131" t="n">
        <v>0</v>
      </c>
      <c r="M3131" t="n">
        <v>0</v>
      </c>
      <c r="N3131" t="n">
        <v>0</v>
      </c>
      <c r="O3131" t="n">
        <v>0</v>
      </c>
      <c r="P3131" t="n">
        <v>0</v>
      </c>
      <c r="Q3131" t="n">
        <v>0</v>
      </c>
      <c r="R3131" t="n">
        <v>0</v>
      </c>
      <c r="S3131" t="n">
        <v>0</v>
      </c>
      <c r="T3131" t="n">
        <v>0</v>
      </c>
      <c r="U3131" t="n">
        <v>0</v>
      </c>
      <c r="V3131" s="2" t="inlineStr"/>
    </row>
    <row r="3132" ht="15" customHeight="1">
      <c r="A3132" t="inlineStr">
        <is>
          <t>A 40412-2024</t>
        </is>
      </c>
      <c r="B3132" t="inlineStr">
        <is>
          <t>avverkningsanmälan</t>
        </is>
      </c>
      <c r="C3132" t="inlineStr">
        <is>
          <t>Föryngringsavverkning</t>
        </is>
      </c>
      <c r="D3132" s="1" t="n">
        <v>45555</v>
      </c>
      <c r="E3132" s="1" t="n">
        <v>46313</v>
      </c>
      <c r="F3132" t="inlineStr">
        <is>
          <t>SÖDERMANLANDS LÄN</t>
        </is>
      </c>
      <c r="G3132" t="inlineStr">
        <is>
          <t>FLEN</t>
        </is>
      </c>
      <c r="I3132" t="n">
        <v>0.8</v>
      </c>
      <c r="J3132" t="n">
        <v>0</v>
      </c>
      <c r="K3132" t="n">
        <v>0</v>
      </c>
      <c r="L3132" t="n">
        <v>0</v>
      </c>
      <c r="M3132" t="n">
        <v>0</v>
      </c>
      <c r="N3132" t="n">
        <v>0</v>
      </c>
      <c r="O3132" t="n">
        <v>0</v>
      </c>
      <c r="P3132" t="n">
        <v>0</v>
      </c>
      <c r="Q3132" t="n">
        <v>0</v>
      </c>
      <c r="R3132" t="n">
        <v>0</v>
      </c>
      <c r="S3132" t="n">
        <v>0</v>
      </c>
      <c r="T3132" t="n">
        <v>0</v>
      </c>
      <c r="U3132" t="n">
        <v>0</v>
      </c>
      <c r="V3132" s="2" t="inlineStr"/>
    </row>
    <row r="3133" ht="15" customHeight="1">
      <c r="A3133" t="inlineStr">
        <is>
          <t>A 42387-2026</t>
        </is>
      </c>
      <c r="B3133" t="inlineStr">
        <is>
          <t>avverkningsanmälan</t>
        </is>
      </c>
      <c r="C3133" t="inlineStr">
        <is>
          <t>Föryngringsavverkning</t>
        </is>
      </c>
      <c r="D3133" s="1" t="n">
        <v>46307</v>
      </c>
      <c r="E3133" s="1" t="n">
        <v>46313</v>
      </c>
      <c r="F3133" t="inlineStr">
        <is>
          <t>SÖDERMANLANDS LÄN</t>
        </is>
      </c>
      <c r="G3133" t="inlineStr">
        <is>
          <t>NYKÖPING</t>
        </is>
      </c>
      <c r="H3133" t="inlineStr">
        <is>
          <t>Holmen skog AB</t>
        </is>
      </c>
      <c r="I3133" t="n">
        <v>6.5</v>
      </c>
      <c r="J3133" t="n">
        <v>0</v>
      </c>
      <c r="K3133" t="n">
        <v>0</v>
      </c>
      <c r="L3133" t="n">
        <v>0</v>
      </c>
      <c r="M3133" t="n">
        <v>0</v>
      </c>
      <c r="N3133" t="n">
        <v>0</v>
      </c>
      <c r="O3133" t="n">
        <v>0</v>
      </c>
      <c r="P3133" t="n">
        <v>0</v>
      </c>
      <c r="Q3133" t="n">
        <v>0</v>
      </c>
      <c r="R3133" t="n">
        <v>0</v>
      </c>
      <c r="S3133" t="n">
        <v>0</v>
      </c>
      <c r="T3133" t="n">
        <v>0</v>
      </c>
      <c r="U3133" t="n">
        <v>0</v>
      </c>
      <c r="V3133" s="2" t="inlineStr"/>
    </row>
    <row r="3134" ht="15" customHeight="1">
      <c r="A3134" t="inlineStr">
        <is>
          <t>A 2603-2025</t>
        </is>
      </c>
      <c r="B3134" t="inlineStr">
        <is>
          <t>avverkningsanmälan</t>
        </is>
      </c>
      <c r="C3134" t="inlineStr">
        <is>
          <t>Avverkning för annat ändamål</t>
        </is>
      </c>
      <c r="D3134" s="1" t="n">
        <v>45674</v>
      </c>
      <c r="E3134" s="1" t="n">
        <v>46313</v>
      </c>
      <c r="F3134" t="inlineStr">
        <is>
          <t>SÖDERMANLANDS LÄN</t>
        </is>
      </c>
      <c r="G3134" t="inlineStr">
        <is>
          <t>KATRINEHOLM</t>
        </is>
      </c>
      <c r="I3134" t="n">
        <v>1.6</v>
      </c>
      <c r="J3134" t="n">
        <v>0</v>
      </c>
      <c r="K3134" t="n">
        <v>0</v>
      </c>
      <c r="L3134" t="n">
        <v>0</v>
      </c>
      <c r="M3134" t="n">
        <v>0</v>
      </c>
      <c r="N3134" t="n">
        <v>0</v>
      </c>
      <c r="O3134" t="n">
        <v>0</v>
      </c>
      <c r="P3134" t="n">
        <v>0</v>
      </c>
      <c r="Q3134" t="n">
        <v>0</v>
      </c>
      <c r="R3134" t="n">
        <v>0</v>
      </c>
      <c r="S3134" t="n">
        <v>0</v>
      </c>
      <c r="T3134" t="n">
        <v>0</v>
      </c>
      <c r="U3134" t="n">
        <v>0</v>
      </c>
      <c r="V3134" s="2" t="inlineStr"/>
    </row>
    <row r="3135" ht="15" customHeight="1">
      <c r="A3135" t="inlineStr">
        <is>
          <t>A 24414-2025</t>
        </is>
      </c>
      <c r="B3135" t="inlineStr">
        <is>
          <t>avverkningsanmälan</t>
        </is>
      </c>
      <c r="C3135" t="inlineStr">
        <is>
          <t>Föryngringsavverkning</t>
        </is>
      </c>
      <c r="D3135" s="1" t="n">
        <v>45797</v>
      </c>
      <c r="E3135" s="1" t="n">
        <v>46313</v>
      </c>
      <c r="F3135" t="inlineStr">
        <is>
          <t>SÖDERMANLANDS LÄN</t>
        </is>
      </c>
      <c r="G3135" t="inlineStr">
        <is>
          <t>FLEN</t>
        </is>
      </c>
      <c r="I3135" t="n">
        <v>0.8</v>
      </c>
      <c r="J3135" t="n">
        <v>0</v>
      </c>
      <c r="K3135" t="n">
        <v>0</v>
      </c>
      <c r="L3135" t="n">
        <v>0</v>
      </c>
      <c r="M3135" t="n">
        <v>0</v>
      </c>
      <c r="N3135" t="n">
        <v>0</v>
      </c>
      <c r="O3135" t="n">
        <v>0</v>
      </c>
      <c r="P3135" t="n">
        <v>0</v>
      </c>
      <c r="Q3135" t="n">
        <v>0</v>
      </c>
      <c r="R3135" t="n">
        <v>0</v>
      </c>
      <c r="S3135" t="n">
        <v>0</v>
      </c>
      <c r="T3135" t="n">
        <v>0</v>
      </c>
      <c r="U3135" t="n">
        <v>0</v>
      </c>
      <c r="V3135" s="2" t="inlineStr"/>
    </row>
    <row r="3136" ht="15" customHeight="1">
      <c r="A3136" t="inlineStr">
        <is>
          <t>A 57231-2024</t>
        </is>
      </c>
      <c r="B3136" t="inlineStr">
        <is>
          <t>avverkningsanmälan</t>
        </is>
      </c>
      <c r="C3136" t="inlineStr">
        <is>
          <t>Föryngringsavverkning</t>
        </is>
      </c>
      <c r="D3136" s="1" t="n">
        <v>45629</v>
      </c>
      <c r="E3136" s="1" t="n">
        <v>46313</v>
      </c>
      <c r="F3136" t="inlineStr">
        <is>
          <t>SÖDERMANLANDS LÄN</t>
        </is>
      </c>
      <c r="G3136" t="inlineStr">
        <is>
          <t>STRÄNGNÄS</t>
        </is>
      </c>
      <c r="I3136" t="n">
        <v>3.8</v>
      </c>
      <c r="J3136" t="n">
        <v>0</v>
      </c>
      <c r="K3136" t="n">
        <v>0</v>
      </c>
      <c r="L3136" t="n">
        <v>0</v>
      </c>
      <c r="M3136" t="n">
        <v>0</v>
      </c>
      <c r="N3136" t="n">
        <v>0</v>
      </c>
      <c r="O3136" t="n">
        <v>0</v>
      </c>
      <c r="P3136" t="n">
        <v>0</v>
      </c>
      <c r="Q3136" t="n">
        <v>0</v>
      </c>
      <c r="R3136" t="n">
        <v>0</v>
      </c>
      <c r="S3136" t="n">
        <v>0</v>
      </c>
      <c r="T3136" t="n">
        <v>0</v>
      </c>
      <c r="U3136" t="n">
        <v>0</v>
      </c>
      <c r="V3136" s="2" t="inlineStr"/>
    </row>
    <row r="3137" ht="15" customHeight="1">
      <c r="A3137" t="inlineStr">
        <is>
          <t>A 61423-2024</t>
        </is>
      </c>
      <c r="B3137" t="inlineStr">
        <is>
          <t>avverkningsanmälan</t>
        </is>
      </c>
      <c r="C3137" t="inlineStr">
        <is>
          <t>Föryngringsavverkning</t>
        </is>
      </c>
      <c r="D3137" s="1" t="n">
        <v>45646</v>
      </c>
      <c r="E3137" s="1" t="n">
        <v>46313</v>
      </c>
      <c r="F3137" t="inlineStr">
        <is>
          <t>SÖDERMANLANDS LÄN</t>
        </is>
      </c>
      <c r="G3137" t="inlineStr">
        <is>
          <t>KATRINEHOLM</t>
        </is>
      </c>
      <c r="I3137" t="n">
        <v>1.2</v>
      </c>
      <c r="J3137" t="n">
        <v>0</v>
      </c>
      <c r="K3137" t="n">
        <v>0</v>
      </c>
      <c r="L3137" t="n">
        <v>0</v>
      </c>
      <c r="M3137" t="n">
        <v>0</v>
      </c>
      <c r="N3137" t="n">
        <v>0</v>
      </c>
      <c r="O3137" t="n">
        <v>0</v>
      </c>
      <c r="P3137" t="n">
        <v>0</v>
      </c>
      <c r="Q3137" t="n">
        <v>0</v>
      </c>
      <c r="R3137" t="n">
        <v>0</v>
      </c>
      <c r="S3137" t="n">
        <v>0</v>
      </c>
      <c r="T3137" t="n">
        <v>0</v>
      </c>
      <c r="U3137" t="n">
        <v>0</v>
      </c>
      <c r="V3137" s="2" t="inlineStr"/>
    </row>
    <row r="3138" ht="15" customHeight="1">
      <c r="A3138" t="inlineStr">
        <is>
          <t>A 24652-2025</t>
        </is>
      </c>
      <c r="B3138" t="inlineStr">
        <is>
          <t>avverkningsanmälan</t>
        </is>
      </c>
      <c r="C3138" t="inlineStr">
        <is>
          <t>Föryngringsavverkning</t>
        </is>
      </c>
      <c r="D3138" s="1" t="n">
        <v>45798</v>
      </c>
      <c r="E3138" s="1" t="n">
        <v>46313</v>
      </c>
      <c r="F3138" t="inlineStr">
        <is>
          <t>SÖDERMANLANDS LÄN</t>
        </is>
      </c>
      <c r="G3138" t="inlineStr">
        <is>
          <t>ESKILSTUNA</t>
        </is>
      </c>
      <c r="I3138" t="n">
        <v>0.4</v>
      </c>
      <c r="J3138" t="n">
        <v>0</v>
      </c>
      <c r="K3138" t="n">
        <v>0</v>
      </c>
      <c r="L3138" t="n">
        <v>0</v>
      </c>
      <c r="M3138" t="n">
        <v>0</v>
      </c>
      <c r="N3138" t="n">
        <v>0</v>
      </c>
      <c r="O3138" t="n">
        <v>0</v>
      </c>
      <c r="P3138" t="n">
        <v>0</v>
      </c>
      <c r="Q3138" t="n">
        <v>0</v>
      </c>
      <c r="R3138" t="n">
        <v>0</v>
      </c>
      <c r="S3138" t="n">
        <v>0</v>
      </c>
      <c r="T3138" t="n">
        <v>0</v>
      </c>
      <c r="U3138" t="n">
        <v>0</v>
      </c>
      <c r="V3138" s="2" t="inlineStr"/>
    </row>
    <row r="3139" ht="15" customHeight="1">
      <c r="A3139" t="inlineStr">
        <is>
          <t>A 24541-2025</t>
        </is>
      </c>
      <c r="B3139" t="inlineStr">
        <is>
          <t>avverkningsanmälan</t>
        </is>
      </c>
      <c r="C3139" t="inlineStr">
        <is>
          <t>Föryngringsavverkning</t>
        </is>
      </c>
      <c r="D3139" s="1" t="n">
        <v>45798</v>
      </c>
      <c r="E3139" s="1" t="n">
        <v>46313</v>
      </c>
      <c r="F3139" t="inlineStr">
        <is>
          <t>SÖDERMANLANDS LÄN</t>
        </is>
      </c>
      <c r="G3139" t="inlineStr">
        <is>
          <t>FLEN</t>
        </is>
      </c>
      <c r="I3139" t="n">
        <v>4.8</v>
      </c>
      <c r="J3139" t="n">
        <v>0</v>
      </c>
      <c r="K3139" t="n">
        <v>0</v>
      </c>
      <c r="L3139" t="n">
        <v>0</v>
      </c>
      <c r="M3139" t="n">
        <v>0</v>
      </c>
      <c r="N3139" t="n">
        <v>0</v>
      </c>
      <c r="O3139" t="n">
        <v>0</v>
      </c>
      <c r="P3139" t="n">
        <v>0</v>
      </c>
      <c r="Q3139" t="n">
        <v>0</v>
      </c>
      <c r="R3139" t="n">
        <v>0</v>
      </c>
      <c r="S3139" t="n">
        <v>0</v>
      </c>
      <c r="T3139" t="n">
        <v>0</v>
      </c>
      <c r="U3139" t="n">
        <v>0</v>
      </c>
      <c r="V3139" s="2" t="inlineStr"/>
    </row>
    <row r="3140" ht="15" customHeight="1">
      <c r="A3140" t="inlineStr">
        <is>
          <t>A 24557-2025</t>
        </is>
      </c>
      <c r="B3140" t="inlineStr">
        <is>
          <t>avverkningsanmälan</t>
        </is>
      </c>
      <c r="C3140" t="inlineStr">
        <is>
          <t>Föryngringsavverkning</t>
        </is>
      </c>
      <c r="D3140" s="1" t="n">
        <v>45798</v>
      </c>
      <c r="E3140" s="1" t="n">
        <v>46313</v>
      </c>
      <c r="F3140" t="inlineStr">
        <is>
          <t>SÖDERMANLANDS LÄN</t>
        </is>
      </c>
      <c r="G3140" t="inlineStr">
        <is>
          <t>FLEN</t>
        </is>
      </c>
      <c r="I3140" t="n">
        <v>2.9</v>
      </c>
      <c r="J3140" t="n">
        <v>0</v>
      </c>
      <c r="K3140" t="n">
        <v>0</v>
      </c>
      <c r="L3140" t="n">
        <v>0</v>
      </c>
      <c r="M3140" t="n">
        <v>0</v>
      </c>
      <c r="N3140" t="n">
        <v>0</v>
      </c>
      <c r="O3140" t="n">
        <v>0</v>
      </c>
      <c r="P3140" t="n">
        <v>0</v>
      </c>
      <c r="Q3140" t="n">
        <v>0</v>
      </c>
      <c r="R3140" t="n">
        <v>0</v>
      </c>
      <c r="S3140" t="n">
        <v>0</v>
      </c>
      <c r="T3140" t="n">
        <v>0</v>
      </c>
      <c r="U3140" t="n">
        <v>0</v>
      </c>
      <c r="V3140" s="2" t="inlineStr"/>
    </row>
    <row r="3141" ht="15" customHeight="1">
      <c r="A3141" t="inlineStr">
        <is>
          <t>A 24662-2025</t>
        </is>
      </c>
      <c r="B3141" t="inlineStr">
        <is>
          <t>avverkningsanmälan</t>
        </is>
      </c>
      <c r="C3141" t="inlineStr">
        <is>
          <t>Föryngringsavverkning</t>
        </is>
      </c>
      <c r="D3141" s="1" t="n">
        <v>45798</v>
      </c>
      <c r="E3141" s="1" t="n">
        <v>46313</v>
      </c>
      <c r="F3141" t="inlineStr">
        <is>
          <t>SÖDERMANLANDS LÄN</t>
        </is>
      </c>
      <c r="G3141" t="inlineStr">
        <is>
          <t>ESKILSTUNA</t>
        </is>
      </c>
      <c r="I3141" t="n">
        <v>0.5</v>
      </c>
      <c r="J3141" t="n">
        <v>0</v>
      </c>
      <c r="K3141" t="n">
        <v>0</v>
      </c>
      <c r="L3141" t="n">
        <v>0</v>
      </c>
      <c r="M3141" t="n">
        <v>0</v>
      </c>
      <c r="N3141" t="n">
        <v>0</v>
      </c>
      <c r="O3141" t="n">
        <v>0</v>
      </c>
      <c r="P3141" t="n">
        <v>0</v>
      </c>
      <c r="Q3141" t="n">
        <v>0</v>
      </c>
      <c r="R3141" t="n">
        <v>0</v>
      </c>
      <c r="S3141" t="n">
        <v>0</v>
      </c>
      <c r="T3141" t="n">
        <v>0</v>
      </c>
      <c r="U3141" t="n">
        <v>0</v>
      </c>
      <c r="V3141" s="2" t="inlineStr"/>
    </row>
    <row r="3142" ht="15" customHeight="1">
      <c r="A3142" t="inlineStr">
        <is>
          <t>A 24667-2025</t>
        </is>
      </c>
      <c r="B3142" t="inlineStr">
        <is>
          <t>avverkningsanmälan</t>
        </is>
      </c>
      <c r="C3142" t="inlineStr">
        <is>
          <t>Föryngringsavverkning</t>
        </is>
      </c>
      <c r="D3142" s="1" t="n">
        <v>45798</v>
      </c>
      <c r="E3142" s="1" t="n">
        <v>46313</v>
      </c>
      <c r="F3142" t="inlineStr">
        <is>
          <t>SÖDERMANLANDS LÄN</t>
        </is>
      </c>
      <c r="G3142" t="inlineStr">
        <is>
          <t>ESKILSTUNA</t>
        </is>
      </c>
      <c r="I3142" t="n">
        <v>0.3</v>
      </c>
      <c r="J3142" t="n">
        <v>0</v>
      </c>
      <c r="K3142" t="n">
        <v>0</v>
      </c>
      <c r="L3142" t="n">
        <v>0</v>
      </c>
      <c r="M3142" t="n">
        <v>0</v>
      </c>
      <c r="N3142" t="n">
        <v>0</v>
      </c>
      <c r="O3142" t="n">
        <v>0</v>
      </c>
      <c r="P3142" t="n">
        <v>0</v>
      </c>
      <c r="Q3142" t="n">
        <v>0</v>
      </c>
      <c r="R3142" t="n">
        <v>0</v>
      </c>
      <c r="S3142" t="n">
        <v>0</v>
      </c>
      <c r="T3142" t="n">
        <v>0</v>
      </c>
      <c r="U3142" t="n">
        <v>0</v>
      </c>
      <c r="V3142" s="2" t="inlineStr"/>
    </row>
    <row r="3143" ht="15" customHeight="1">
      <c r="A3143" t="inlineStr">
        <is>
          <t>A 42324-2026</t>
        </is>
      </c>
      <c r="B3143" t="inlineStr">
        <is>
          <t>avverkningsanmälan</t>
        </is>
      </c>
      <c r="C3143" t="inlineStr">
        <is>
          <t>Föryngringsavverkning</t>
        </is>
      </c>
      <c r="D3143" s="1" t="n">
        <v>46307</v>
      </c>
      <c r="E3143" s="1" t="n">
        <v>46313</v>
      </c>
      <c r="F3143" t="inlineStr">
        <is>
          <t>SÖDERMANLANDS LÄN</t>
        </is>
      </c>
      <c r="G3143" t="inlineStr">
        <is>
          <t>FLEN</t>
        </is>
      </c>
      <c r="I3143" t="n">
        <v>3.5</v>
      </c>
      <c r="J3143" t="n">
        <v>0</v>
      </c>
      <c r="K3143" t="n">
        <v>0</v>
      </c>
      <c r="L3143" t="n">
        <v>0</v>
      </c>
      <c r="M3143" t="n">
        <v>0</v>
      </c>
      <c r="N3143" t="n">
        <v>0</v>
      </c>
      <c r="O3143" t="n">
        <v>0</v>
      </c>
      <c r="P3143" t="n">
        <v>0</v>
      </c>
      <c r="Q3143" t="n">
        <v>0</v>
      </c>
      <c r="R3143" t="n">
        <v>0</v>
      </c>
      <c r="S3143" t="n">
        <v>0</v>
      </c>
      <c r="T3143" t="n">
        <v>0</v>
      </c>
      <c r="U3143" t="n">
        <v>0</v>
      </c>
      <c r="V3143" s="2" t="inlineStr"/>
    </row>
    <row r="3144" ht="15" customHeight="1">
      <c r="A3144" t="inlineStr">
        <is>
          <t>A 42323-2026</t>
        </is>
      </c>
      <c r="B3144" t="inlineStr">
        <is>
          <t>avverkningsanmälan</t>
        </is>
      </c>
      <c r="C3144" t="inlineStr">
        <is>
          <t>Föryngringsavverkning</t>
        </is>
      </c>
      <c r="D3144" s="1" t="n">
        <v>46307</v>
      </c>
      <c r="E3144" s="1" t="n">
        <v>46313</v>
      </c>
      <c r="F3144" t="inlineStr">
        <is>
          <t>SÖDERMANLANDS LÄN</t>
        </is>
      </c>
      <c r="G3144" t="inlineStr">
        <is>
          <t>NYKÖPING</t>
        </is>
      </c>
      <c r="I3144" t="n">
        <v>2.7</v>
      </c>
      <c r="J3144" t="n">
        <v>0</v>
      </c>
      <c r="K3144" t="n">
        <v>0</v>
      </c>
      <c r="L3144" t="n">
        <v>0</v>
      </c>
      <c r="M3144" t="n">
        <v>0</v>
      </c>
      <c r="N3144" t="n">
        <v>0</v>
      </c>
      <c r="O3144" t="n">
        <v>0</v>
      </c>
      <c r="P3144" t="n">
        <v>0</v>
      </c>
      <c r="Q3144" t="n">
        <v>0</v>
      </c>
      <c r="R3144" t="n">
        <v>0</v>
      </c>
      <c r="S3144" t="n">
        <v>0</v>
      </c>
      <c r="T3144" t="n">
        <v>0</v>
      </c>
      <c r="U3144" t="n">
        <v>0</v>
      </c>
      <c r="V3144" s="2" t="inlineStr"/>
    </row>
    <row r="3145" ht="15" customHeight="1">
      <c r="A3145" t="inlineStr">
        <is>
          <t>A 53387-2023</t>
        </is>
      </c>
      <c r="B3145" t="inlineStr">
        <is>
          <t>avverkningsanmälan</t>
        </is>
      </c>
      <c r="C3145" t="inlineStr">
        <is>
          <t>Föryngringsavverkning</t>
        </is>
      </c>
      <c r="D3145" s="1" t="n">
        <v>45229</v>
      </c>
      <c r="E3145" s="1" t="n">
        <v>46313</v>
      </c>
      <c r="F3145" t="inlineStr">
        <is>
          <t>SÖDERMANLANDS LÄN</t>
        </is>
      </c>
      <c r="G3145" t="inlineStr">
        <is>
          <t>KATRINEHOLM</t>
        </is>
      </c>
      <c r="H3145" t="inlineStr">
        <is>
          <t>Kyrkan</t>
        </is>
      </c>
      <c r="I3145" t="n">
        <v>7.4</v>
      </c>
      <c r="J3145" t="n">
        <v>0</v>
      </c>
      <c r="K3145" t="n">
        <v>0</v>
      </c>
      <c r="L3145" t="n">
        <v>0</v>
      </c>
      <c r="M3145" t="n">
        <v>0</v>
      </c>
      <c r="N3145" t="n">
        <v>0</v>
      </c>
      <c r="O3145" t="n">
        <v>0</v>
      </c>
      <c r="P3145" t="n">
        <v>0</v>
      </c>
      <c r="Q3145" t="n">
        <v>0</v>
      </c>
      <c r="R3145" t="n">
        <v>0</v>
      </c>
      <c r="S3145" t="n">
        <v>0</v>
      </c>
      <c r="T3145" t="n">
        <v>0</v>
      </c>
      <c r="U3145" t="n">
        <v>0</v>
      </c>
      <c r="V3145" s="2" t="inlineStr"/>
    </row>
    <row r="3146" ht="15" customHeight="1">
      <c r="A3146" t="inlineStr">
        <is>
          <t>A 7313-2025</t>
        </is>
      </c>
      <c r="B3146" t="inlineStr">
        <is>
          <t>avverkningsanmälan</t>
        </is>
      </c>
      <c r="C3146" t="inlineStr">
        <is>
          <t>Föryngringsavverkning</t>
        </is>
      </c>
      <c r="D3146" s="1" t="n">
        <v>45702</v>
      </c>
      <c r="E3146" s="1" t="n">
        <v>46313</v>
      </c>
      <c r="F3146" t="inlineStr">
        <is>
          <t>SÖDERMANLANDS LÄN</t>
        </is>
      </c>
      <c r="G3146" t="inlineStr">
        <is>
          <t>FLEN</t>
        </is>
      </c>
      <c r="I3146" t="n">
        <v>7.4</v>
      </c>
      <c r="J3146" t="n">
        <v>0</v>
      </c>
      <c r="K3146" t="n">
        <v>0</v>
      </c>
      <c r="L3146" t="n">
        <v>0</v>
      </c>
      <c r="M3146" t="n">
        <v>0</v>
      </c>
      <c r="N3146" t="n">
        <v>0</v>
      </c>
      <c r="O3146" t="n">
        <v>0</v>
      </c>
      <c r="P3146" t="n">
        <v>0</v>
      </c>
      <c r="Q3146" t="n">
        <v>0</v>
      </c>
      <c r="R3146" t="n">
        <v>0</v>
      </c>
      <c r="S3146" t="n">
        <v>0</v>
      </c>
      <c r="T3146" t="n">
        <v>0</v>
      </c>
      <c r="U3146" t="n">
        <v>0</v>
      </c>
      <c r="V3146" s="2" t="inlineStr"/>
    </row>
    <row r="3147" ht="15" customHeight="1">
      <c r="A3147" t="inlineStr">
        <is>
          <t>A 35271-2026</t>
        </is>
      </c>
      <c r="B3147" t="inlineStr">
        <is>
          <t>avverkningsanmälan</t>
        </is>
      </c>
      <c r="C3147" t="inlineStr">
        <is>
          <t>Föryngringsavverkning</t>
        </is>
      </c>
      <c r="D3147" s="1" t="n">
        <v>46261</v>
      </c>
      <c r="E3147" s="1" t="n">
        <v>46313</v>
      </c>
      <c r="F3147" t="inlineStr">
        <is>
          <t>SÖDERMANLANDS LÄN</t>
        </is>
      </c>
      <c r="G3147" t="inlineStr">
        <is>
          <t>KATRINEHOLM</t>
        </is>
      </c>
      <c r="I3147" t="n">
        <v>1.7</v>
      </c>
      <c r="J3147" t="n">
        <v>0</v>
      </c>
      <c r="K3147" t="n">
        <v>0</v>
      </c>
      <c r="L3147" t="n">
        <v>0</v>
      </c>
      <c r="M3147" t="n">
        <v>0</v>
      </c>
      <c r="N3147" t="n">
        <v>0</v>
      </c>
      <c r="O3147" t="n">
        <v>0</v>
      </c>
      <c r="P3147" t="n">
        <v>0</v>
      </c>
      <c r="Q3147" t="n">
        <v>0</v>
      </c>
      <c r="R3147" t="n">
        <v>0</v>
      </c>
      <c r="S3147" t="n">
        <v>0</v>
      </c>
      <c r="T3147" t="n">
        <v>0</v>
      </c>
      <c r="U3147" t="n">
        <v>0</v>
      </c>
      <c r="V3147" s="2" t="inlineStr"/>
    </row>
    <row r="3148" ht="15" customHeight="1">
      <c r="A3148" t="inlineStr">
        <is>
          <t>A 24534-2025</t>
        </is>
      </c>
      <c r="B3148" t="inlineStr">
        <is>
          <t>avverkningsanmälan</t>
        </is>
      </c>
      <c r="C3148" t="inlineStr">
        <is>
          <t>Avverkning för annat ändamål</t>
        </is>
      </c>
      <c r="D3148" s="1" t="n">
        <v>45798</v>
      </c>
      <c r="E3148" s="1" t="n">
        <v>46313</v>
      </c>
      <c r="F3148" t="inlineStr">
        <is>
          <t>SÖDERMANLANDS LÄN</t>
        </is>
      </c>
      <c r="G3148" t="inlineStr">
        <is>
          <t>ESKILSTUNA</t>
        </is>
      </c>
      <c r="H3148" t="inlineStr">
        <is>
          <t>Sveaskog</t>
        </is>
      </c>
      <c r="I3148" t="n">
        <v>0.2</v>
      </c>
      <c r="J3148" t="n">
        <v>0</v>
      </c>
      <c r="K3148" t="n">
        <v>0</v>
      </c>
      <c r="L3148" t="n">
        <v>0</v>
      </c>
      <c r="M3148" t="n">
        <v>0</v>
      </c>
      <c r="N3148" t="n">
        <v>0</v>
      </c>
      <c r="O3148" t="n">
        <v>0</v>
      </c>
      <c r="P3148" t="n">
        <v>0</v>
      </c>
      <c r="Q3148" t="n">
        <v>0</v>
      </c>
      <c r="R3148" t="n">
        <v>0</v>
      </c>
      <c r="S3148" t="n">
        <v>0</v>
      </c>
      <c r="T3148" t="n">
        <v>0</v>
      </c>
      <c r="U3148" t="n">
        <v>0</v>
      </c>
      <c r="V3148" s="2" t="inlineStr"/>
    </row>
    <row r="3149" ht="15" customHeight="1">
      <c r="A3149" t="inlineStr">
        <is>
          <t>A 24535-2025</t>
        </is>
      </c>
      <c r="B3149" t="inlineStr">
        <is>
          <t>avverkningsanmälan</t>
        </is>
      </c>
      <c r="C3149" t="inlineStr">
        <is>
          <t>Avverkning för annat ändamål</t>
        </is>
      </c>
      <c r="D3149" s="1" t="n">
        <v>45798</v>
      </c>
      <c r="E3149" s="1" t="n">
        <v>46313</v>
      </c>
      <c r="F3149" t="inlineStr">
        <is>
          <t>SÖDERMANLANDS LÄN</t>
        </is>
      </c>
      <c r="G3149" t="inlineStr">
        <is>
          <t>ESKILSTUNA</t>
        </is>
      </c>
      <c r="H3149" t="inlineStr">
        <is>
          <t>Sveaskog</t>
        </is>
      </c>
      <c r="I3149" t="n">
        <v>0.3</v>
      </c>
      <c r="J3149" t="n">
        <v>0</v>
      </c>
      <c r="K3149" t="n">
        <v>0</v>
      </c>
      <c r="L3149" t="n">
        <v>0</v>
      </c>
      <c r="M3149" t="n">
        <v>0</v>
      </c>
      <c r="N3149" t="n">
        <v>0</v>
      </c>
      <c r="O3149" t="n">
        <v>0</v>
      </c>
      <c r="P3149" t="n">
        <v>0</v>
      </c>
      <c r="Q3149" t="n">
        <v>0</v>
      </c>
      <c r="R3149" t="n">
        <v>0</v>
      </c>
      <c r="S3149" t="n">
        <v>0</v>
      </c>
      <c r="T3149" t="n">
        <v>0</v>
      </c>
      <c r="U3149" t="n">
        <v>0</v>
      </c>
      <c r="V3149" s="2" t="inlineStr"/>
    </row>
    <row r="3150" ht="15" customHeight="1">
      <c r="A3150" t="inlineStr">
        <is>
          <t>A 24536-2025</t>
        </is>
      </c>
      <c r="B3150" t="inlineStr">
        <is>
          <t>avverkningsanmälan</t>
        </is>
      </c>
      <c r="C3150" t="inlineStr">
        <is>
          <t>Avverkning för att bevara och utveckla /försöksver</t>
        </is>
      </c>
      <c r="D3150" s="1" t="n">
        <v>45798</v>
      </c>
      <c r="E3150" s="1" t="n">
        <v>46313</v>
      </c>
      <c r="F3150" t="inlineStr">
        <is>
          <t>SÖDERMANLANDS LÄN</t>
        </is>
      </c>
      <c r="G3150" t="inlineStr">
        <is>
          <t>ESKILSTUNA</t>
        </is>
      </c>
      <c r="H3150" t="inlineStr">
        <is>
          <t>Sveaskog</t>
        </is>
      </c>
      <c r="I3150" t="n">
        <v>1</v>
      </c>
      <c r="J3150" t="n">
        <v>0</v>
      </c>
      <c r="K3150" t="n">
        <v>0</v>
      </c>
      <c r="L3150" t="n">
        <v>0</v>
      </c>
      <c r="M3150" t="n">
        <v>0</v>
      </c>
      <c r="N3150" t="n">
        <v>0</v>
      </c>
      <c r="O3150" t="n">
        <v>0</v>
      </c>
      <c r="P3150" t="n">
        <v>0</v>
      </c>
      <c r="Q3150" t="n">
        <v>0</v>
      </c>
      <c r="R3150" t="n">
        <v>0</v>
      </c>
      <c r="S3150" t="n">
        <v>0</v>
      </c>
      <c r="T3150" t="n">
        <v>0</v>
      </c>
      <c r="U3150" t="n">
        <v>0</v>
      </c>
      <c r="V3150" s="2" t="inlineStr"/>
    </row>
    <row r="3151" ht="15" customHeight="1">
      <c r="A3151" t="inlineStr">
        <is>
          <t>A 34097-2026</t>
        </is>
      </c>
      <c r="B3151" t="inlineStr">
        <is>
          <t>avverkningsanmälan</t>
        </is>
      </c>
      <c r="C3151" t="inlineStr">
        <is>
          <t>Föryngringsavverkning</t>
        </is>
      </c>
      <c r="D3151" s="1" t="n">
        <v>46252</v>
      </c>
      <c r="E3151" s="1" t="n">
        <v>46313</v>
      </c>
      <c r="F3151" t="inlineStr">
        <is>
          <t>SÖDERMANLANDS LÄN</t>
        </is>
      </c>
      <c r="G3151" t="inlineStr">
        <is>
          <t>FLEN</t>
        </is>
      </c>
      <c r="I3151" t="n">
        <v>2.8</v>
      </c>
      <c r="J3151" t="n">
        <v>0</v>
      </c>
      <c r="K3151" t="n">
        <v>0</v>
      </c>
      <c r="L3151" t="n">
        <v>0</v>
      </c>
      <c r="M3151" t="n">
        <v>0</v>
      </c>
      <c r="N3151" t="n">
        <v>0</v>
      </c>
      <c r="O3151" t="n">
        <v>0</v>
      </c>
      <c r="P3151" t="n">
        <v>0</v>
      </c>
      <c r="Q3151" t="n">
        <v>0</v>
      </c>
      <c r="R3151" t="n">
        <v>0</v>
      </c>
      <c r="S3151" t="n">
        <v>0</v>
      </c>
      <c r="T3151" t="n">
        <v>0</v>
      </c>
      <c r="U3151" t="n">
        <v>0</v>
      </c>
      <c r="V3151" s="2" t="inlineStr"/>
    </row>
    <row r="3152" ht="15" customHeight="1">
      <c r="A3152" t="inlineStr">
        <is>
          <t>A 42545-2025</t>
        </is>
      </c>
      <c r="B3152" t="inlineStr">
        <is>
          <t>avverkningsanmälan</t>
        </is>
      </c>
      <c r="C3152" t="inlineStr">
        <is>
          <t>Föryngringsavverkning</t>
        </is>
      </c>
      <c r="D3152" s="1" t="n">
        <v>45905</v>
      </c>
      <c r="E3152" s="1" t="n">
        <v>46313</v>
      </c>
      <c r="F3152" t="inlineStr">
        <is>
          <t>SÖDERMANLANDS LÄN</t>
        </is>
      </c>
      <c r="G3152" t="inlineStr">
        <is>
          <t>ESKILSTUNA</t>
        </is>
      </c>
      <c r="I3152" t="n">
        <v>7.3</v>
      </c>
      <c r="J3152" t="n">
        <v>0</v>
      </c>
      <c r="K3152" t="n">
        <v>0</v>
      </c>
      <c r="L3152" t="n">
        <v>0</v>
      </c>
      <c r="M3152" t="n">
        <v>0</v>
      </c>
      <c r="N3152" t="n">
        <v>0</v>
      </c>
      <c r="O3152" t="n">
        <v>0</v>
      </c>
      <c r="P3152" t="n">
        <v>0</v>
      </c>
      <c r="Q3152" t="n">
        <v>0</v>
      </c>
      <c r="R3152" t="n">
        <v>0</v>
      </c>
      <c r="S3152" t="n">
        <v>0</v>
      </c>
      <c r="T3152" t="n">
        <v>0</v>
      </c>
      <c r="U3152" t="n">
        <v>0</v>
      </c>
      <c r="V3152" s="2" t="inlineStr"/>
    </row>
    <row r="3153" ht="15" customHeight="1">
      <c r="A3153" t="inlineStr">
        <is>
          <t>A 24605-2025</t>
        </is>
      </c>
      <c r="B3153" t="inlineStr">
        <is>
          <t>avverkningsanmälan</t>
        </is>
      </c>
      <c r="C3153" t="inlineStr">
        <is>
          <t>Föryngringsavverkning</t>
        </is>
      </c>
      <c r="D3153" s="1" t="n">
        <v>45798</v>
      </c>
      <c r="E3153" s="1" t="n">
        <v>46313</v>
      </c>
      <c r="F3153" t="inlineStr">
        <is>
          <t>SÖDERMANLANDS LÄN</t>
        </is>
      </c>
      <c r="G3153" t="inlineStr">
        <is>
          <t>KATRINEHOLM</t>
        </is>
      </c>
      <c r="I3153" t="n">
        <v>7</v>
      </c>
      <c r="J3153" t="n">
        <v>0</v>
      </c>
      <c r="K3153" t="n">
        <v>0</v>
      </c>
      <c r="L3153" t="n">
        <v>0</v>
      </c>
      <c r="M3153" t="n">
        <v>0</v>
      </c>
      <c r="N3153" t="n">
        <v>0</v>
      </c>
      <c r="O3153" t="n">
        <v>0</v>
      </c>
      <c r="P3153" t="n">
        <v>0</v>
      </c>
      <c r="Q3153" t="n">
        <v>0</v>
      </c>
      <c r="R3153" t="n">
        <v>0</v>
      </c>
      <c r="S3153" t="n">
        <v>0</v>
      </c>
      <c r="T3153" t="n">
        <v>0</v>
      </c>
      <c r="U3153" t="n">
        <v>0</v>
      </c>
      <c r="V3153" s="2" t="inlineStr"/>
    </row>
    <row r="3154" ht="15" customHeight="1">
      <c r="A3154" t="inlineStr">
        <is>
          <t>A 53999-2023</t>
        </is>
      </c>
      <c r="B3154" t="inlineStr">
        <is>
          <t>avverkningsanmälan</t>
        </is>
      </c>
      <c r="C3154" t="inlineStr">
        <is>
          <t>Föryngringsavverkning</t>
        </is>
      </c>
      <c r="D3154" s="1" t="n">
        <v>45231</v>
      </c>
      <c r="E3154" s="1" t="n">
        <v>46313</v>
      </c>
      <c r="F3154" t="inlineStr">
        <is>
          <t>SÖDERMANLANDS LÄN</t>
        </is>
      </c>
      <c r="G3154" t="inlineStr">
        <is>
          <t>KATRINEHOLM</t>
        </is>
      </c>
      <c r="I3154" t="n">
        <v>5.4</v>
      </c>
      <c r="J3154" t="n">
        <v>0</v>
      </c>
      <c r="K3154" t="n">
        <v>0</v>
      </c>
      <c r="L3154" t="n">
        <v>0</v>
      </c>
      <c r="M3154" t="n">
        <v>0</v>
      </c>
      <c r="N3154" t="n">
        <v>0</v>
      </c>
      <c r="O3154" t="n">
        <v>0</v>
      </c>
      <c r="P3154" t="n">
        <v>0</v>
      </c>
      <c r="Q3154" t="n">
        <v>0</v>
      </c>
      <c r="R3154" t="n">
        <v>0</v>
      </c>
      <c r="S3154" t="n">
        <v>0</v>
      </c>
      <c r="T3154" t="n">
        <v>0</v>
      </c>
      <c r="U3154" t="n">
        <v>0</v>
      </c>
      <c r="V3154" s="2" t="inlineStr"/>
    </row>
    <row r="3155" ht="15" customHeight="1">
      <c r="A3155" t="inlineStr">
        <is>
          <t>A 41727-2024</t>
        </is>
      </c>
      <c r="B3155" t="inlineStr">
        <is>
          <t>avverkningsanmälan</t>
        </is>
      </c>
      <c r="C3155" t="inlineStr">
        <is>
          <t>Föryngringsavverkning</t>
        </is>
      </c>
      <c r="D3155" s="1" t="n">
        <v>45560</v>
      </c>
      <c r="E3155" s="1" t="n">
        <v>46313</v>
      </c>
      <c r="F3155" t="inlineStr">
        <is>
          <t>SÖDERMANLANDS LÄN</t>
        </is>
      </c>
      <c r="G3155" t="inlineStr">
        <is>
          <t>KATRINEHOLM</t>
        </is>
      </c>
      <c r="I3155" t="n">
        <v>3.9</v>
      </c>
      <c r="J3155" t="n">
        <v>0</v>
      </c>
      <c r="K3155" t="n">
        <v>0</v>
      </c>
      <c r="L3155" t="n">
        <v>0</v>
      </c>
      <c r="M3155" t="n">
        <v>0</v>
      </c>
      <c r="N3155" t="n">
        <v>0</v>
      </c>
      <c r="O3155" t="n">
        <v>0</v>
      </c>
      <c r="P3155" t="n">
        <v>0</v>
      </c>
      <c r="Q3155" t="n">
        <v>0</v>
      </c>
      <c r="R3155" t="n">
        <v>0</v>
      </c>
      <c r="S3155" t="n">
        <v>0</v>
      </c>
      <c r="T3155" t="n">
        <v>0</v>
      </c>
      <c r="U3155" t="n">
        <v>0</v>
      </c>
      <c r="V3155" s="2" t="inlineStr"/>
    </row>
    <row r="3156" ht="15" customHeight="1">
      <c r="A3156" t="inlineStr">
        <is>
          <t>A 45422-2024</t>
        </is>
      </c>
      <c r="B3156" t="inlineStr">
        <is>
          <t>avverkningsanmälan</t>
        </is>
      </c>
      <c r="C3156" t="inlineStr">
        <is>
          <t>Föryngringsavverkning</t>
        </is>
      </c>
      <c r="D3156" s="1" t="n">
        <v>45576</v>
      </c>
      <c r="E3156" s="1" t="n">
        <v>46313</v>
      </c>
      <c r="F3156" t="inlineStr">
        <is>
          <t>SÖDERMANLANDS LÄN</t>
        </is>
      </c>
      <c r="G3156" t="inlineStr">
        <is>
          <t>VINGÅKER</t>
        </is>
      </c>
      <c r="I3156" t="n">
        <v>17.1</v>
      </c>
      <c r="J3156" t="n">
        <v>0</v>
      </c>
      <c r="K3156" t="n">
        <v>0</v>
      </c>
      <c r="L3156" t="n">
        <v>0</v>
      </c>
      <c r="M3156" t="n">
        <v>0</v>
      </c>
      <c r="N3156" t="n">
        <v>0</v>
      </c>
      <c r="O3156" t="n">
        <v>0</v>
      </c>
      <c r="P3156" t="n">
        <v>0</v>
      </c>
      <c r="Q3156" t="n">
        <v>0</v>
      </c>
      <c r="R3156" t="n">
        <v>0</v>
      </c>
      <c r="S3156" t="n">
        <v>0</v>
      </c>
      <c r="T3156" t="n">
        <v>0</v>
      </c>
      <c r="U3156" t="n">
        <v>0</v>
      </c>
      <c r="V3156" s="2" t="inlineStr"/>
    </row>
    <row r="3157" ht="15" customHeight="1">
      <c r="A3157" t="inlineStr">
        <is>
          <t>A 43488-2024</t>
        </is>
      </c>
      <c r="B3157" t="inlineStr">
        <is>
          <t>avverkningsanmälan</t>
        </is>
      </c>
      <c r="C3157" t="inlineStr">
        <is>
          <t>Föryngringsavverkning</t>
        </is>
      </c>
      <c r="D3157" s="1" t="n">
        <v>45568</v>
      </c>
      <c r="E3157" s="1" t="n">
        <v>46313</v>
      </c>
      <c r="F3157" t="inlineStr">
        <is>
          <t>SÖDERMANLANDS LÄN</t>
        </is>
      </c>
      <c r="G3157" t="inlineStr">
        <is>
          <t>ESKILSTUNA</t>
        </is>
      </c>
      <c r="H3157" t="inlineStr">
        <is>
          <t>Allmännings- och besparingsskogar</t>
        </is>
      </c>
      <c r="I3157" t="n">
        <v>1.3</v>
      </c>
      <c r="J3157" t="n">
        <v>0</v>
      </c>
      <c r="K3157" t="n">
        <v>0</v>
      </c>
      <c r="L3157" t="n">
        <v>0</v>
      </c>
      <c r="M3157" t="n">
        <v>0</v>
      </c>
      <c r="N3157" t="n">
        <v>0</v>
      </c>
      <c r="O3157" t="n">
        <v>0</v>
      </c>
      <c r="P3157" t="n">
        <v>0</v>
      </c>
      <c r="Q3157" t="n">
        <v>0</v>
      </c>
      <c r="R3157" t="n">
        <v>0</v>
      </c>
      <c r="S3157" t="n">
        <v>0</v>
      </c>
      <c r="T3157" t="n">
        <v>0</v>
      </c>
      <c r="U3157" t="n">
        <v>0</v>
      </c>
      <c r="V3157" s="2" t="inlineStr"/>
    </row>
    <row r="3158" ht="15" customHeight="1">
      <c r="A3158" t="inlineStr">
        <is>
          <t>A 24566-2025</t>
        </is>
      </c>
      <c r="B3158" t="inlineStr">
        <is>
          <t>avverkningsanmälan</t>
        </is>
      </c>
      <c r="C3158" t="inlineStr">
        <is>
          <t>Avverkning för att bevara och utveckla /försöksver</t>
        </is>
      </c>
      <c r="D3158" s="1" t="n">
        <v>45798</v>
      </c>
      <c r="E3158" s="1" t="n">
        <v>46313</v>
      </c>
      <c r="F3158" t="inlineStr">
        <is>
          <t>SÖDERMANLANDS LÄN</t>
        </is>
      </c>
      <c r="G3158" t="inlineStr">
        <is>
          <t>KATRINEHOLM</t>
        </is>
      </c>
      <c r="I3158" t="n">
        <v>6.3</v>
      </c>
      <c r="J3158" t="n">
        <v>0</v>
      </c>
      <c r="K3158" t="n">
        <v>0</v>
      </c>
      <c r="L3158" t="n">
        <v>0</v>
      </c>
      <c r="M3158" t="n">
        <v>0</v>
      </c>
      <c r="N3158" t="n">
        <v>0</v>
      </c>
      <c r="O3158" t="n">
        <v>0</v>
      </c>
      <c r="P3158" t="n">
        <v>0</v>
      </c>
      <c r="Q3158" t="n">
        <v>0</v>
      </c>
      <c r="R3158" t="n">
        <v>0</v>
      </c>
      <c r="S3158" t="n">
        <v>0</v>
      </c>
      <c r="T3158" t="n">
        <v>0</v>
      </c>
      <c r="U3158" t="n">
        <v>0</v>
      </c>
      <c r="V3158" s="2" t="inlineStr"/>
    </row>
    <row r="3159" ht="15" customHeight="1">
      <c r="A3159" t="inlineStr">
        <is>
          <t>A 42254-2026</t>
        </is>
      </c>
      <c r="B3159" t="inlineStr">
        <is>
          <t>avverkningsanmälan</t>
        </is>
      </c>
      <c r="C3159" t="inlineStr">
        <is>
          <t>Föryngringsavverkning</t>
        </is>
      </c>
      <c r="D3159" s="1" t="n">
        <v>46307</v>
      </c>
      <c r="E3159" s="1" t="n">
        <v>46313</v>
      </c>
      <c r="F3159" t="inlineStr">
        <is>
          <t>SÖDERMANLANDS LÄN</t>
        </is>
      </c>
      <c r="G3159" t="inlineStr">
        <is>
          <t>KATRINEHOLM</t>
        </is>
      </c>
      <c r="I3159" t="n">
        <v>0.9</v>
      </c>
      <c r="J3159" t="n">
        <v>0</v>
      </c>
      <c r="K3159" t="n">
        <v>0</v>
      </c>
      <c r="L3159" t="n">
        <v>0</v>
      </c>
      <c r="M3159" t="n">
        <v>0</v>
      </c>
      <c r="N3159" t="n">
        <v>0</v>
      </c>
      <c r="O3159" t="n">
        <v>0</v>
      </c>
      <c r="P3159" t="n">
        <v>0</v>
      </c>
      <c r="Q3159" t="n">
        <v>0</v>
      </c>
      <c r="R3159" t="n">
        <v>0</v>
      </c>
      <c r="S3159" t="n">
        <v>0</v>
      </c>
      <c r="T3159" t="n">
        <v>0</v>
      </c>
      <c r="U3159" t="n">
        <v>0</v>
      </c>
      <c r="V3159" s="2" t="inlineStr"/>
    </row>
    <row r="3160" ht="15" customHeight="1">
      <c r="A3160" t="inlineStr">
        <is>
          <t>A 43489-2024</t>
        </is>
      </c>
      <c r="B3160" t="inlineStr">
        <is>
          <t>avverkningsanmälan</t>
        </is>
      </c>
      <c r="C3160" t="inlineStr">
        <is>
          <t>Föryngringsavverkning</t>
        </is>
      </c>
      <c r="D3160" s="1" t="n">
        <v>45568</v>
      </c>
      <c r="E3160" s="1" t="n">
        <v>46313</v>
      </c>
      <c r="F3160" t="inlineStr">
        <is>
          <t>SÖDERMANLANDS LÄN</t>
        </is>
      </c>
      <c r="G3160" t="inlineStr">
        <is>
          <t>ESKILSTUNA</t>
        </is>
      </c>
      <c r="H3160" t="inlineStr">
        <is>
          <t>Allmännings- och besparingsskogar</t>
        </is>
      </c>
      <c r="I3160" t="n">
        <v>1.3</v>
      </c>
      <c r="J3160" t="n">
        <v>0</v>
      </c>
      <c r="K3160" t="n">
        <v>0</v>
      </c>
      <c r="L3160" t="n">
        <v>0</v>
      </c>
      <c r="M3160" t="n">
        <v>0</v>
      </c>
      <c r="N3160" t="n">
        <v>0</v>
      </c>
      <c r="O3160" t="n">
        <v>0</v>
      </c>
      <c r="P3160" t="n">
        <v>0</v>
      </c>
      <c r="Q3160" t="n">
        <v>0</v>
      </c>
      <c r="R3160" t="n">
        <v>0</v>
      </c>
      <c r="S3160" t="n">
        <v>0</v>
      </c>
      <c r="T3160" t="n">
        <v>0</v>
      </c>
      <c r="U3160" t="n">
        <v>0</v>
      </c>
      <c r="V3160" s="2" t="inlineStr"/>
    </row>
    <row r="3161" ht="15" customHeight="1">
      <c r="A3161" t="inlineStr">
        <is>
          <t>A 24526-2025</t>
        </is>
      </c>
      <c r="B3161" t="inlineStr">
        <is>
          <t>avverkningsanmälan</t>
        </is>
      </c>
      <c r="C3161" t="inlineStr">
        <is>
          <t>Föryngringsavverkning</t>
        </is>
      </c>
      <c r="D3161" s="1" t="n">
        <v>45798</v>
      </c>
      <c r="E3161" s="1" t="n">
        <v>46313</v>
      </c>
      <c r="F3161" t="inlineStr">
        <is>
          <t>SÖDERMANLANDS LÄN</t>
        </is>
      </c>
      <c r="G3161" t="inlineStr">
        <is>
          <t>FLEN</t>
        </is>
      </c>
      <c r="I3161" t="n">
        <v>1</v>
      </c>
      <c r="J3161" t="n">
        <v>0</v>
      </c>
      <c r="K3161" t="n">
        <v>0</v>
      </c>
      <c r="L3161" t="n">
        <v>0</v>
      </c>
      <c r="M3161" t="n">
        <v>0</v>
      </c>
      <c r="N3161" t="n">
        <v>0</v>
      </c>
      <c r="O3161" t="n">
        <v>0</v>
      </c>
      <c r="P3161" t="n">
        <v>0</v>
      </c>
      <c r="Q3161" t="n">
        <v>0</v>
      </c>
      <c r="R3161" t="n">
        <v>0</v>
      </c>
      <c r="S3161" t="n">
        <v>0</v>
      </c>
      <c r="T3161" t="n">
        <v>0</v>
      </c>
      <c r="U3161" t="n">
        <v>0</v>
      </c>
      <c r="V3161" s="2" t="inlineStr"/>
    </row>
    <row r="3162" ht="15" customHeight="1">
      <c r="A3162" t="inlineStr">
        <is>
          <t>A 56086-2023</t>
        </is>
      </c>
      <c r="B3162" t="inlineStr">
        <is>
          <t>avverkningsanmälan</t>
        </is>
      </c>
      <c r="C3162" t="inlineStr">
        <is>
          <t>Föryngringsavverkning</t>
        </is>
      </c>
      <c r="D3162" s="1" t="n">
        <v>45240</v>
      </c>
      <c r="E3162" s="1" t="n">
        <v>46313</v>
      </c>
      <c r="F3162" t="inlineStr">
        <is>
          <t>SÖDERMANLANDS LÄN</t>
        </is>
      </c>
      <c r="G3162" t="inlineStr">
        <is>
          <t>KATRINEHOLM</t>
        </is>
      </c>
      <c r="H3162" t="inlineStr">
        <is>
          <t>Kyrkan</t>
        </is>
      </c>
      <c r="I3162" t="n">
        <v>17</v>
      </c>
      <c r="J3162" t="n">
        <v>0</v>
      </c>
      <c r="K3162" t="n">
        <v>0</v>
      </c>
      <c r="L3162" t="n">
        <v>0</v>
      </c>
      <c r="M3162" t="n">
        <v>0</v>
      </c>
      <c r="N3162" t="n">
        <v>0</v>
      </c>
      <c r="O3162" t="n">
        <v>0</v>
      </c>
      <c r="P3162" t="n">
        <v>0</v>
      </c>
      <c r="Q3162" t="n">
        <v>0</v>
      </c>
      <c r="R3162" t="n">
        <v>0</v>
      </c>
      <c r="S3162" t="n">
        <v>0</v>
      </c>
      <c r="T3162" t="n">
        <v>0</v>
      </c>
      <c r="U3162" t="n">
        <v>0</v>
      </c>
      <c r="V3162" s="2" t="inlineStr"/>
    </row>
    <row r="3163" ht="15" customHeight="1">
      <c r="A3163" t="inlineStr">
        <is>
          <t>A 24480-2025</t>
        </is>
      </c>
      <c r="B3163" t="inlineStr">
        <is>
          <t>avverkningsanmälan</t>
        </is>
      </c>
      <c r="C3163" t="inlineStr">
        <is>
          <t>Föryngringsavverkning</t>
        </is>
      </c>
      <c r="D3163" s="1" t="n">
        <v>45798</v>
      </c>
      <c r="E3163" s="1" t="n">
        <v>46313</v>
      </c>
      <c r="F3163" t="inlineStr">
        <is>
          <t>SÖDERMANLANDS LÄN</t>
        </is>
      </c>
      <c r="G3163" t="inlineStr">
        <is>
          <t>FLEN</t>
        </is>
      </c>
      <c r="H3163" t="inlineStr">
        <is>
          <t>Holmen skog AB</t>
        </is>
      </c>
      <c r="I3163" t="n">
        <v>1.8</v>
      </c>
      <c r="J3163" t="n">
        <v>0</v>
      </c>
      <c r="K3163" t="n">
        <v>0</v>
      </c>
      <c r="L3163" t="n">
        <v>0</v>
      </c>
      <c r="M3163" t="n">
        <v>0</v>
      </c>
      <c r="N3163" t="n">
        <v>0</v>
      </c>
      <c r="O3163" t="n">
        <v>0</v>
      </c>
      <c r="P3163" t="n">
        <v>0</v>
      </c>
      <c r="Q3163" t="n">
        <v>0</v>
      </c>
      <c r="R3163" t="n">
        <v>0</v>
      </c>
      <c r="S3163" t="n">
        <v>0</v>
      </c>
      <c r="T3163" t="n">
        <v>0</v>
      </c>
      <c r="U3163" t="n">
        <v>0</v>
      </c>
      <c r="V3163" s="2" t="inlineStr"/>
    </row>
    <row r="3164" ht="15" customHeight="1">
      <c r="A3164" t="inlineStr">
        <is>
          <t>A 24823-2025</t>
        </is>
      </c>
      <c r="B3164" t="inlineStr">
        <is>
          <t>avverkningsanmälan</t>
        </is>
      </c>
      <c r="C3164" t="inlineStr">
        <is>
          <t>Föryngringsavverkning</t>
        </is>
      </c>
      <c r="D3164" s="1" t="n">
        <v>45799</v>
      </c>
      <c r="E3164" s="1" t="n">
        <v>46313</v>
      </c>
      <c r="F3164" t="inlineStr">
        <is>
          <t>SÖDERMANLANDS LÄN</t>
        </is>
      </c>
      <c r="G3164" t="inlineStr">
        <is>
          <t>STRÄNGNÄS</t>
        </is>
      </c>
      <c r="I3164" t="n">
        <v>7</v>
      </c>
      <c r="J3164" t="n">
        <v>0</v>
      </c>
      <c r="K3164" t="n">
        <v>0</v>
      </c>
      <c r="L3164" t="n">
        <v>0</v>
      </c>
      <c r="M3164" t="n">
        <v>0</v>
      </c>
      <c r="N3164" t="n">
        <v>0</v>
      </c>
      <c r="O3164" t="n">
        <v>0</v>
      </c>
      <c r="P3164" t="n">
        <v>0</v>
      </c>
      <c r="Q3164" t="n">
        <v>0</v>
      </c>
      <c r="R3164" t="n">
        <v>0</v>
      </c>
      <c r="S3164" t="n">
        <v>0</v>
      </c>
      <c r="T3164" t="n">
        <v>0</v>
      </c>
      <c r="U3164" t="n">
        <v>0</v>
      </c>
      <c r="V3164" s="2" t="inlineStr"/>
    </row>
    <row r="3165" ht="15" customHeight="1">
      <c r="A3165" t="inlineStr">
        <is>
          <t>A 24719-2025</t>
        </is>
      </c>
      <c r="B3165" t="inlineStr">
        <is>
          <t>avverkningsanmälan</t>
        </is>
      </c>
      <c r="C3165" t="inlineStr">
        <is>
          <t>Föryngringsavverkning</t>
        </is>
      </c>
      <c r="D3165" s="1" t="n">
        <v>45799</v>
      </c>
      <c r="E3165" s="1" t="n">
        <v>46313</v>
      </c>
      <c r="F3165" t="inlineStr">
        <is>
          <t>SÖDERMANLANDS LÄN</t>
        </is>
      </c>
      <c r="G3165" t="inlineStr">
        <is>
          <t>KATRINEHOLM</t>
        </is>
      </c>
      <c r="I3165" t="n">
        <v>1.8</v>
      </c>
      <c r="J3165" t="n">
        <v>0</v>
      </c>
      <c r="K3165" t="n">
        <v>0</v>
      </c>
      <c r="L3165" t="n">
        <v>0</v>
      </c>
      <c r="M3165" t="n">
        <v>0</v>
      </c>
      <c r="N3165" t="n">
        <v>0</v>
      </c>
      <c r="O3165" t="n">
        <v>0</v>
      </c>
      <c r="P3165" t="n">
        <v>0</v>
      </c>
      <c r="Q3165" t="n">
        <v>0</v>
      </c>
      <c r="R3165" t="n">
        <v>0</v>
      </c>
      <c r="S3165" t="n">
        <v>0</v>
      </c>
      <c r="T3165" t="n">
        <v>0</v>
      </c>
      <c r="U3165" t="n">
        <v>0</v>
      </c>
      <c r="V3165" s="2" t="inlineStr"/>
    </row>
    <row r="3166" ht="15" customHeight="1">
      <c r="A3166" t="inlineStr">
        <is>
          <t>A 24537-2025</t>
        </is>
      </c>
      <c r="B3166" t="inlineStr">
        <is>
          <t>avverkningsanmälan</t>
        </is>
      </c>
      <c r="C3166" t="inlineStr">
        <is>
          <t>Avverkning för att bevara och utveckla /försöksver</t>
        </is>
      </c>
      <c r="D3166" s="1" t="n">
        <v>45798</v>
      </c>
      <c r="E3166" s="1" t="n">
        <v>46313</v>
      </c>
      <c r="F3166" t="inlineStr">
        <is>
          <t>SÖDERMANLANDS LÄN</t>
        </is>
      </c>
      <c r="G3166" t="inlineStr">
        <is>
          <t>ESKILSTUNA</t>
        </is>
      </c>
      <c r="H3166" t="inlineStr">
        <is>
          <t>Sveaskog</t>
        </is>
      </c>
      <c r="I3166" t="n">
        <v>1.2</v>
      </c>
      <c r="J3166" t="n">
        <v>0</v>
      </c>
      <c r="K3166" t="n">
        <v>0</v>
      </c>
      <c r="L3166" t="n">
        <v>0</v>
      </c>
      <c r="M3166" t="n">
        <v>0</v>
      </c>
      <c r="N3166" t="n">
        <v>0</v>
      </c>
      <c r="O3166" t="n">
        <v>0</v>
      </c>
      <c r="P3166" t="n">
        <v>0</v>
      </c>
      <c r="Q3166" t="n">
        <v>0</v>
      </c>
      <c r="R3166" t="n">
        <v>0</v>
      </c>
      <c r="S3166" t="n">
        <v>0</v>
      </c>
      <c r="T3166" t="n">
        <v>0</v>
      </c>
      <c r="U3166" t="n">
        <v>0</v>
      </c>
      <c r="V3166" s="2" t="inlineStr"/>
    </row>
    <row r="3167" ht="15" customHeight="1">
      <c r="A3167" t="inlineStr">
        <is>
          <t>A 24717-2025</t>
        </is>
      </c>
      <c r="B3167" t="inlineStr">
        <is>
          <t>avverkningsanmälan</t>
        </is>
      </c>
      <c r="C3167" t="inlineStr">
        <is>
          <t>Föryngringsavverkning</t>
        </is>
      </c>
      <c r="D3167" s="1" t="n">
        <v>45799</v>
      </c>
      <c r="E3167" s="1" t="n">
        <v>46313</v>
      </c>
      <c r="F3167" t="inlineStr">
        <is>
          <t>SÖDERMANLANDS LÄN</t>
        </is>
      </c>
      <c r="G3167" t="inlineStr">
        <is>
          <t>KATRINEHOLM</t>
        </is>
      </c>
      <c r="I3167" t="n">
        <v>24.5</v>
      </c>
      <c r="J3167" t="n">
        <v>0</v>
      </c>
      <c r="K3167" t="n">
        <v>0</v>
      </c>
      <c r="L3167" t="n">
        <v>0</v>
      </c>
      <c r="M3167" t="n">
        <v>0</v>
      </c>
      <c r="N3167" t="n">
        <v>0</v>
      </c>
      <c r="O3167" t="n">
        <v>0</v>
      </c>
      <c r="P3167" t="n">
        <v>0</v>
      </c>
      <c r="Q3167" t="n">
        <v>0</v>
      </c>
      <c r="R3167" t="n">
        <v>0</v>
      </c>
      <c r="S3167" t="n">
        <v>0</v>
      </c>
      <c r="T3167" t="n">
        <v>0</v>
      </c>
      <c r="U3167" t="n">
        <v>0</v>
      </c>
      <c r="V3167" s="2" t="inlineStr"/>
    </row>
    <row r="3168" ht="15" customHeight="1">
      <c r="A3168" t="inlineStr">
        <is>
          <t>A 18306-2026</t>
        </is>
      </c>
      <c r="B3168" t="inlineStr">
        <is>
          <t>avverkningsanmälan</t>
        </is>
      </c>
      <c r="C3168" t="inlineStr">
        <is>
          <t>Föryngringsavverkning</t>
        </is>
      </c>
      <c r="D3168" s="1" t="n">
        <v>46126</v>
      </c>
      <c r="E3168" s="1" t="n">
        <v>46313</v>
      </c>
      <c r="F3168" t="inlineStr">
        <is>
          <t>SÖDERMANLANDS LÄN</t>
        </is>
      </c>
      <c r="G3168" t="inlineStr">
        <is>
          <t>KATRINEHOLM</t>
        </is>
      </c>
      <c r="I3168" t="n">
        <v>0.8</v>
      </c>
      <c r="J3168" t="n">
        <v>0</v>
      </c>
      <c r="K3168" t="n">
        <v>0</v>
      </c>
      <c r="L3168" t="n">
        <v>0</v>
      </c>
      <c r="M3168" t="n">
        <v>0</v>
      </c>
      <c r="N3168" t="n">
        <v>0</v>
      </c>
      <c r="O3168" t="n">
        <v>0</v>
      </c>
      <c r="P3168" t="n">
        <v>0</v>
      </c>
      <c r="Q3168" t="n">
        <v>0</v>
      </c>
      <c r="R3168" t="n">
        <v>0</v>
      </c>
      <c r="S3168" t="n">
        <v>0</v>
      </c>
      <c r="T3168" t="n">
        <v>0</v>
      </c>
      <c r="U3168" t="n">
        <v>0</v>
      </c>
      <c r="V3168" s="2" t="inlineStr"/>
    </row>
    <row r="3169" ht="15" customHeight="1">
      <c r="A3169" t="inlineStr">
        <is>
          <t>A 26854-2026</t>
        </is>
      </c>
      <c r="B3169" t="inlineStr">
        <is>
          <t>avverkningsanmälan</t>
        </is>
      </c>
      <c r="C3169" t="inlineStr">
        <is>
          <t>Föryngringsavverkning</t>
        </is>
      </c>
      <c r="D3169" s="1" t="n">
        <v>46185</v>
      </c>
      <c r="E3169" s="1" t="n">
        <v>46313</v>
      </c>
      <c r="F3169" t="inlineStr">
        <is>
          <t>SÖDERMANLANDS LÄN</t>
        </is>
      </c>
      <c r="G3169" t="inlineStr">
        <is>
          <t>FLEN</t>
        </is>
      </c>
      <c r="I3169" t="n">
        <v>2.8</v>
      </c>
      <c r="J3169" t="n">
        <v>0</v>
      </c>
      <c r="K3169" t="n">
        <v>0</v>
      </c>
      <c r="L3169" t="n">
        <v>0</v>
      </c>
      <c r="M3169" t="n">
        <v>0</v>
      </c>
      <c r="N3169" t="n">
        <v>0</v>
      </c>
      <c r="O3169" t="n">
        <v>0</v>
      </c>
      <c r="P3169" t="n">
        <v>0</v>
      </c>
      <c r="Q3169" t="n">
        <v>0</v>
      </c>
      <c r="R3169" t="n">
        <v>0</v>
      </c>
      <c r="S3169" t="n">
        <v>0</v>
      </c>
      <c r="T3169" t="n">
        <v>0</v>
      </c>
      <c r="U3169" t="n">
        <v>0</v>
      </c>
      <c r="V3169" s="2" t="inlineStr"/>
    </row>
    <row r="3170" ht="15" customHeight="1">
      <c r="A3170" t="inlineStr">
        <is>
          <t>A 55865-2023</t>
        </is>
      </c>
      <c r="B3170" t="inlineStr">
        <is>
          <t>avverkningsanmälan</t>
        </is>
      </c>
      <c r="C3170" t="inlineStr">
        <is>
          <t>Föryngringsavverkning</t>
        </is>
      </c>
      <c r="D3170" s="1" t="n">
        <v>45239</v>
      </c>
      <c r="E3170" s="1" t="n">
        <v>46313</v>
      </c>
      <c r="F3170" t="inlineStr">
        <is>
          <t>SÖDERMANLANDS LÄN</t>
        </is>
      </c>
      <c r="G3170" t="inlineStr">
        <is>
          <t>NYKÖPING</t>
        </is>
      </c>
      <c r="I3170" t="n">
        <v>1.1</v>
      </c>
      <c r="J3170" t="n">
        <v>0</v>
      </c>
      <c r="K3170" t="n">
        <v>0</v>
      </c>
      <c r="L3170" t="n">
        <v>0</v>
      </c>
      <c r="M3170" t="n">
        <v>0</v>
      </c>
      <c r="N3170" t="n">
        <v>0</v>
      </c>
      <c r="O3170" t="n">
        <v>0</v>
      </c>
      <c r="P3170" t="n">
        <v>0</v>
      </c>
      <c r="Q3170" t="n">
        <v>0</v>
      </c>
      <c r="R3170" t="n">
        <v>0</v>
      </c>
      <c r="S3170" t="n">
        <v>0</v>
      </c>
      <c r="T3170" t="n">
        <v>0</v>
      </c>
      <c r="U3170" t="n">
        <v>0</v>
      </c>
      <c r="V3170" s="2" t="inlineStr"/>
    </row>
    <row r="3171" ht="15" customHeight="1">
      <c r="A3171" t="inlineStr">
        <is>
          <t>A 19813-2026</t>
        </is>
      </c>
      <c r="B3171" t="inlineStr">
        <is>
          <t>avverkningsanmälan</t>
        </is>
      </c>
      <c r="C3171" t="inlineStr">
        <is>
          <t>Föryngringsavverkning</t>
        </is>
      </c>
      <c r="D3171" s="1" t="n">
        <v>46135</v>
      </c>
      <c r="E3171" s="1" t="n">
        <v>46313</v>
      </c>
      <c r="F3171" t="inlineStr">
        <is>
          <t>SÖDERMANLANDS LÄN</t>
        </is>
      </c>
      <c r="G3171" t="inlineStr">
        <is>
          <t>KATRINEHOLM</t>
        </is>
      </c>
      <c r="I3171" t="n">
        <v>4.7</v>
      </c>
      <c r="J3171" t="n">
        <v>0</v>
      </c>
      <c r="K3171" t="n">
        <v>0</v>
      </c>
      <c r="L3171" t="n">
        <v>0</v>
      </c>
      <c r="M3171" t="n">
        <v>0</v>
      </c>
      <c r="N3171" t="n">
        <v>0</v>
      </c>
      <c r="O3171" t="n">
        <v>0</v>
      </c>
      <c r="P3171" t="n">
        <v>0</v>
      </c>
      <c r="Q3171" t="n">
        <v>0</v>
      </c>
      <c r="R3171" t="n">
        <v>0</v>
      </c>
      <c r="S3171" t="n">
        <v>0</v>
      </c>
      <c r="T3171" t="n">
        <v>0</v>
      </c>
      <c r="U3171" t="n">
        <v>0</v>
      </c>
      <c r="V3171" s="2" t="inlineStr"/>
    </row>
    <row r="3172" ht="15" customHeight="1">
      <c r="A3172" t="inlineStr">
        <is>
          <t>A 33694-2026</t>
        </is>
      </c>
      <c r="B3172" t="inlineStr">
        <is>
          <t>avverkningsanmälan</t>
        </is>
      </c>
      <c r="C3172" t="inlineStr">
        <is>
          <t>Föryngringsavverkning</t>
        </is>
      </c>
      <c r="D3172" s="1" t="n">
        <v>46249</v>
      </c>
      <c r="E3172" s="1" t="n">
        <v>46313</v>
      </c>
      <c r="F3172" t="inlineStr">
        <is>
          <t>SÖDERMANLANDS LÄN</t>
        </is>
      </c>
      <c r="G3172" t="inlineStr">
        <is>
          <t>FLEN</t>
        </is>
      </c>
      <c r="I3172" t="n">
        <v>0.7</v>
      </c>
      <c r="J3172" t="n">
        <v>0</v>
      </c>
      <c r="K3172" t="n">
        <v>0</v>
      </c>
      <c r="L3172" t="n">
        <v>0</v>
      </c>
      <c r="M3172" t="n">
        <v>0</v>
      </c>
      <c r="N3172" t="n">
        <v>0</v>
      </c>
      <c r="O3172" t="n">
        <v>0</v>
      </c>
      <c r="P3172" t="n">
        <v>0</v>
      </c>
      <c r="Q3172" t="n">
        <v>0</v>
      </c>
      <c r="R3172" t="n">
        <v>0</v>
      </c>
      <c r="S3172" t="n">
        <v>0</v>
      </c>
      <c r="T3172" t="n">
        <v>0</v>
      </c>
      <c r="U3172" t="n">
        <v>0</v>
      </c>
      <c r="V3172" s="2" t="inlineStr"/>
    </row>
    <row r="3173" ht="15" customHeight="1">
      <c r="A3173" t="inlineStr">
        <is>
          <t>A 42623-2026</t>
        </is>
      </c>
      <c r="B3173" t="inlineStr">
        <is>
          <t>avverkningsanmälan</t>
        </is>
      </c>
      <c r="C3173" t="inlineStr">
        <is>
          <t>Föryngringsavverkning</t>
        </is>
      </c>
      <c r="D3173" s="1" t="n">
        <v>46307</v>
      </c>
      <c r="E3173" s="1" t="n">
        <v>46313</v>
      </c>
      <c r="F3173" t="inlineStr">
        <is>
          <t>SÖDERMANLANDS LÄN</t>
        </is>
      </c>
      <c r="G3173" t="inlineStr">
        <is>
          <t>KATRINEHOLM</t>
        </is>
      </c>
      <c r="I3173" t="n">
        <v>0.5</v>
      </c>
      <c r="J3173" t="n">
        <v>0</v>
      </c>
      <c r="K3173" t="n">
        <v>0</v>
      </c>
      <c r="L3173" t="n">
        <v>0</v>
      </c>
      <c r="M3173" t="n">
        <v>0</v>
      </c>
      <c r="N3173" t="n">
        <v>0</v>
      </c>
      <c r="O3173" t="n">
        <v>0</v>
      </c>
      <c r="P3173" t="n">
        <v>0</v>
      </c>
      <c r="Q3173" t="n">
        <v>0</v>
      </c>
      <c r="R3173" t="n">
        <v>0</v>
      </c>
      <c r="S3173" t="n">
        <v>0</v>
      </c>
      <c r="T3173" t="n">
        <v>0</v>
      </c>
      <c r="U3173" t="n">
        <v>0</v>
      </c>
      <c r="V3173" s="2" t="inlineStr"/>
    </row>
    <row r="3174" ht="15" customHeight="1">
      <c r="A3174" t="inlineStr">
        <is>
          <t>A 35686-2026</t>
        </is>
      </c>
      <c r="B3174" t="inlineStr">
        <is>
          <t>avverkningsanmälan</t>
        </is>
      </c>
      <c r="C3174" t="inlineStr">
        <is>
          <t>Föryngringsavverkning</t>
        </is>
      </c>
      <c r="D3174" s="1" t="n">
        <v>46265</v>
      </c>
      <c r="E3174" s="1" t="n">
        <v>46313</v>
      </c>
      <c r="F3174" t="inlineStr">
        <is>
          <t>SÖDERMANLANDS LÄN</t>
        </is>
      </c>
      <c r="G3174" t="inlineStr">
        <is>
          <t>VINGÅKER</t>
        </is>
      </c>
      <c r="H3174" t="inlineStr">
        <is>
          <t>Sveaskog</t>
        </is>
      </c>
      <c r="I3174" t="n">
        <v>1.5</v>
      </c>
      <c r="J3174" t="n">
        <v>0</v>
      </c>
      <c r="K3174" t="n">
        <v>0</v>
      </c>
      <c r="L3174" t="n">
        <v>0</v>
      </c>
      <c r="M3174" t="n">
        <v>0</v>
      </c>
      <c r="N3174" t="n">
        <v>0</v>
      </c>
      <c r="O3174" t="n">
        <v>0</v>
      </c>
      <c r="P3174" t="n">
        <v>0</v>
      </c>
      <c r="Q3174" t="n">
        <v>0</v>
      </c>
      <c r="R3174" t="n">
        <v>0</v>
      </c>
      <c r="S3174" t="n">
        <v>0</v>
      </c>
      <c r="T3174" t="n">
        <v>0</v>
      </c>
      <c r="U3174" t="n">
        <v>0</v>
      </c>
      <c r="V3174" s="2" t="inlineStr"/>
    </row>
    <row r="3175" ht="15" customHeight="1">
      <c r="A3175" t="inlineStr">
        <is>
          <t>A 42650-2026</t>
        </is>
      </c>
      <c r="B3175" t="inlineStr">
        <is>
          <t>avverkningsanmälan</t>
        </is>
      </c>
      <c r="C3175" t="inlineStr">
        <is>
          <t>Föryngringsavverkning</t>
        </is>
      </c>
      <c r="D3175" s="1" t="n">
        <v>46307</v>
      </c>
      <c r="E3175" s="1" t="n">
        <v>46313</v>
      </c>
      <c r="F3175" t="inlineStr">
        <is>
          <t>SÖDERMANLANDS LÄN</t>
        </is>
      </c>
      <c r="G3175" t="inlineStr">
        <is>
          <t>KATRINEHOLM</t>
        </is>
      </c>
      <c r="I3175" t="n">
        <v>0.7</v>
      </c>
      <c r="J3175" t="n">
        <v>0</v>
      </c>
      <c r="K3175" t="n">
        <v>0</v>
      </c>
      <c r="L3175" t="n">
        <v>0</v>
      </c>
      <c r="M3175" t="n">
        <v>0</v>
      </c>
      <c r="N3175" t="n">
        <v>0</v>
      </c>
      <c r="O3175" t="n">
        <v>0</v>
      </c>
      <c r="P3175" t="n">
        <v>0</v>
      </c>
      <c r="Q3175" t="n">
        <v>0</v>
      </c>
      <c r="R3175" t="n">
        <v>0</v>
      </c>
      <c r="S3175" t="n">
        <v>0</v>
      </c>
      <c r="T3175" t="n">
        <v>0</v>
      </c>
      <c r="U3175" t="n">
        <v>0</v>
      </c>
      <c r="V3175" s="2" t="inlineStr"/>
    </row>
    <row r="3176" ht="15" customHeight="1">
      <c r="A3176" t="inlineStr">
        <is>
          <t>A 35990-2026</t>
        </is>
      </c>
      <c r="B3176" t="inlineStr">
        <is>
          <t>avverkningsanmälan</t>
        </is>
      </c>
      <c r="C3176" t="inlineStr">
        <is>
          <t>Föryngringsavverkning</t>
        </is>
      </c>
      <c r="D3176" s="1" t="n">
        <v>46266</v>
      </c>
      <c r="E3176" s="1" t="n">
        <v>46313</v>
      </c>
      <c r="F3176" t="inlineStr">
        <is>
          <t>SÖDERMANLANDS LÄN</t>
        </is>
      </c>
      <c r="G3176" t="inlineStr">
        <is>
          <t>FLEN</t>
        </is>
      </c>
      <c r="H3176" t="inlineStr">
        <is>
          <t>Holmen skog AB</t>
        </is>
      </c>
      <c r="I3176" t="n">
        <v>4.3</v>
      </c>
      <c r="J3176" t="n">
        <v>0</v>
      </c>
      <c r="K3176" t="n">
        <v>0</v>
      </c>
      <c r="L3176" t="n">
        <v>0</v>
      </c>
      <c r="M3176" t="n">
        <v>0</v>
      </c>
      <c r="N3176" t="n">
        <v>0</v>
      </c>
      <c r="O3176" t="n">
        <v>0</v>
      </c>
      <c r="P3176" t="n">
        <v>0</v>
      </c>
      <c r="Q3176" t="n">
        <v>0</v>
      </c>
      <c r="R3176" t="n">
        <v>0</v>
      </c>
      <c r="S3176" t="n">
        <v>0</v>
      </c>
      <c r="T3176" t="n">
        <v>0</v>
      </c>
      <c r="U3176" t="n">
        <v>0</v>
      </c>
      <c r="V3176" s="2" t="inlineStr"/>
    </row>
    <row r="3177" ht="15" customHeight="1">
      <c r="A3177" t="inlineStr">
        <is>
          <t>A 35683-2026</t>
        </is>
      </c>
      <c r="B3177" t="inlineStr">
        <is>
          <t>avverkningsanmälan</t>
        </is>
      </c>
      <c r="C3177" t="inlineStr">
        <is>
          <t>Föryngringsavverkning</t>
        </is>
      </c>
      <c r="D3177" s="1" t="n">
        <v>46265</v>
      </c>
      <c r="E3177" s="1" t="n">
        <v>46313</v>
      </c>
      <c r="F3177" t="inlineStr">
        <is>
          <t>SÖDERMANLANDS LÄN</t>
        </is>
      </c>
      <c r="G3177" t="inlineStr">
        <is>
          <t>VINGÅKER</t>
        </is>
      </c>
      <c r="H3177" t="inlineStr">
        <is>
          <t>Sveaskog</t>
        </is>
      </c>
      <c r="I3177" t="n">
        <v>6</v>
      </c>
      <c r="J3177" t="n">
        <v>0</v>
      </c>
      <c r="K3177" t="n">
        <v>0</v>
      </c>
      <c r="L3177" t="n">
        <v>0</v>
      </c>
      <c r="M3177" t="n">
        <v>0</v>
      </c>
      <c r="N3177" t="n">
        <v>0</v>
      </c>
      <c r="O3177" t="n">
        <v>0</v>
      </c>
      <c r="P3177" t="n">
        <v>0</v>
      </c>
      <c r="Q3177" t="n">
        <v>0</v>
      </c>
      <c r="R3177" t="n">
        <v>0</v>
      </c>
      <c r="S3177" t="n">
        <v>0</v>
      </c>
      <c r="T3177" t="n">
        <v>0</v>
      </c>
      <c r="U3177" t="n">
        <v>0</v>
      </c>
      <c r="V3177" s="2" t="inlineStr"/>
    </row>
    <row r="3178" ht="15" customHeight="1">
      <c r="A3178" t="inlineStr">
        <is>
          <t>A 35687-2026</t>
        </is>
      </c>
      <c r="B3178" t="inlineStr">
        <is>
          <t>avverkningsanmälan</t>
        </is>
      </c>
      <c r="C3178" t="inlineStr">
        <is>
          <t>Föryngringsavverkning</t>
        </is>
      </c>
      <c r="D3178" s="1" t="n">
        <v>46265</v>
      </c>
      <c r="E3178" s="1" t="n">
        <v>46313</v>
      </c>
      <c r="F3178" t="inlineStr">
        <is>
          <t>SÖDERMANLANDS LÄN</t>
        </is>
      </c>
      <c r="G3178" t="inlineStr">
        <is>
          <t>VINGÅKER</t>
        </is>
      </c>
      <c r="H3178" t="inlineStr">
        <is>
          <t>Sveaskog</t>
        </is>
      </c>
      <c r="I3178" t="n">
        <v>2.7</v>
      </c>
      <c r="J3178" t="n">
        <v>0</v>
      </c>
      <c r="K3178" t="n">
        <v>0</v>
      </c>
      <c r="L3178" t="n">
        <v>0</v>
      </c>
      <c r="M3178" t="n">
        <v>0</v>
      </c>
      <c r="N3178" t="n">
        <v>0</v>
      </c>
      <c r="O3178" t="n">
        <v>0</v>
      </c>
      <c r="P3178" t="n">
        <v>0</v>
      </c>
      <c r="Q3178" t="n">
        <v>0</v>
      </c>
      <c r="R3178" t="n">
        <v>0</v>
      </c>
      <c r="S3178" t="n">
        <v>0</v>
      </c>
      <c r="T3178" t="n">
        <v>0</v>
      </c>
      <c r="U3178" t="n">
        <v>0</v>
      </c>
      <c r="V3178" s="2" t="inlineStr"/>
    </row>
    <row r="3179" ht="15" customHeight="1">
      <c r="A3179" t="inlineStr">
        <is>
          <t>A 35742-2026</t>
        </is>
      </c>
      <c r="B3179" t="inlineStr">
        <is>
          <t>avverkningsanmälan</t>
        </is>
      </c>
      <c r="C3179" t="inlineStr">
        <is>
          <t>Föryngringsavverkning</t>
        </is>
      </c>
      <c r="D3179" s="1" t="n">
        <v>46265</v>
      </c>
      <c r="E3179" s="1" t="n">
        <v>46313</v>
      </c>
      <c r="F3179" t="inlineStr">
        <is>
          <t>SÖDERMANLANDS LÄN</t>
        </is>
      </c>
      <c r="G3179" t="inlineStr">
        <is>
          <t>FLEN</t>
        </is>
      </c>
      <c r="I3179" t="n">
        <v>2.8</v>
      </c>
      <c r="J3179" t="n">
        <v>0</v>
      </c>
      <c r="K3179" t="n">
        <v>0</v>
      </c>
      <c r="L3179" t="n">
        <v>0</v>
      </c>
      <c r="M3179" t="n">
        <v>0</v>
      </c>
      <c r="N3179" t="n">
        <v>0</v>
      </c>
      <c r="O3179" t="n">
        <v>0</v>
      </c>
      <c r="P3179" t="n">
        <v>0</v>
      </c>
      <c r="Q3179" t="n">
        <v>0</v>
      </c>
      <c r="R3179" t="n">
        <v>0</v>
      </c>
      <c r="S3179" t="n">
        <v>0</v>
      </c>
      <c r="T3179" t="n">
        <v>0</v>
      </c>
      <c r="U3179" t="n">
        <v>0</v>
      </c>
      <c r="V3179" s="2" t="inlineStr"/>
    </row>
    <row r="3180" ht="15" customHeight="1">
      <c r="A3180" t="inlineStr">
        <is>
          <t>A 35638-2026</t>
        </is>
      </c>
      <c r="B3180" t="inlineStr">
        <is>
          <t>avverkningsanmälan</t>
        </is>
      </c>
      <c r="C3180" t="inlineStr">
        <is>
          <t>Föryngringsavverkning</t>
        </is>
      </c>
      <c r="D3180" s="1" t="n">
        <v>46265</v>
      </c>
      <c r="E3180" s="1" t="n">
        <v>46313</v>
      </c>
      <c r="F3180" t="inlineStr">
        <is>
          <t>SÖDERMANLANDS LÄN</t>
        </is>
      </c>
      <c r="G3180" t="inlineStr">
        <is>
          <t>VINGÅKER</t>
        </is>
      </c>
      <c r="I3180" t="n">
        <v>1.5</v>
      </c>
      <c r="J3180" t="n">
        <v>0</v>
      </c>
      <c r="K3180" t="n">
        <v>0</v>
      </c>
      <c r="L3180" t="n">
        <v>0</v>
      </c>
      <c r="M3180" t="n">
        <v>0</v>
      </c>
      <c r="N3180" t="n">
        <v>0</v>
      </c>
      <c r="O3180" t="n">
        <v>0</v>
      </c>
      <c r="P3180" t="n">
        <v>0</v>
      </c>
      <c r="Q3180" t="n">
        <v>0</v>
      </c>
      <c r="R3180" t="n">
        <v>0</v>
      </c>
      <c r="S3180" t="n">
        <v>0</v>
      </c>
      <c r="T3180" t="n">
        <v>0</v>
      </c>
      <c r="U3180" t="n">
        <v>0</v>
      </c>
      <c r="V3180" s="2" t="inlineStr"/>
    </row>
    <row r="3181" ht="15" customHeight="1">
      <c r="A3181" t="inlineStr">
        <is>
          <t>A 2059-2025</t>
        </is>
      </c>
      <c r="B3181" t="inlineStr">
        <is>
          <t>avverkningsanmälan</t>
        </is>
      </c>
      <c r="C3181" t="inlineStr">
        <is>
          <t>Föryngringsavverkning</t>
        </is>
      </c>
      <c r="D3181" s="1" t="n">
        <v>45672</v>
      </c>
      <c r="E3181" s="1" t="n">
        <v>46313</v>
      </c>
      <c r="F3181" t="inlineStr">
        <is>
          <t>SÖDERMANLANDS LÄN</t>
        </is>
      </c>
      <c r="G3181" t="inlineStr">
        <is>
          <t>NYKÖPING</t>
        </is>
      </c>
      <c r="I3181" t="n">
        <v>1.2</v>
      </c>
      <c r="J3181" t="n">
        <v>0</v>
      </c>
      <c r="K3181" t="n">
        <v>0</v>
      </c>
      <c r="L3181" t="n">
        <v>0</v>
      </c>
      <c r="M3181" t="n">
        <v>0</v>
      </c>
      <c r="N3181" t="n">
        <v>0</v>
      </c>
      <c r="O3181" t="n">
        <v>0</v>
      </c>
      <c r="P3181" t="n">
        <v>0</v>
      </c>
      <c r="Q3181" t="n">
        <v>0</v>
      </c>
      <c r="R3181" t="n">
        <v>0</v>
      </c>
      <c r="S3181" t="n">
        <v>0</v>
      </c>
      <c r="T3181" t="n">
        <v>0</v>
      </c>
      <c r="U3181" t="n">
        <v>0</v>
      </c>
      <c r="V3181" s="2" t="inlineStr"/>
    </row>
    <row r="3182" ht="15" customHeight="1">
      <c r="A3182" t="inlineStr">
        <is>
          <t>A 43094-2026</t>
        </is>
      </c>
      <c r="B3182" t="inlineStr">
        <is>
          <t>avverkningsanmälan</t>
        </is>
      </c>
      <c r="C3182" t="inlineStr">
        <is>
          <t>Föryngringsavverkning</t>
        </is>
      </c>
      <c r="D3182" s="1" t="n">
        <v>46311</v>
      </c>
      <c r="E3182" s="1" t="n">
        <v>46313</v>
      </c>
      <c r="F3182" t="inlineStr">
        <is>
          <t>SÖDERMANLANDS LÄN</t>
        </is>
      </c>
      <c r="G3182" t="inlineStr">
        <is>
          <t>ESKILSTUNA</t>
        </is>
      </c>
      <c r="I3182" t="n">
        <v>2.3</v>
      </c>
      <c r="J3182" t="n">
        <v>0</v>
      </c>
      <c r="K3182" t="n">
        <v>0</v>
      </c>
      <c r="L3182" t="n">
        <v>0</v>
      </c>
      <c r="M3182" t="n">
        <v>0</v>
      </c>
      <c r="N3182" t="n">
        <v>0</v>
      </c>
      <c r="O3182" t="n">
        <v>0</v>
      </c>
      <c r="P3182" t="n">
        <v>0</v>
      </c>
      <c r="Q3182" t="n">
        <v>0</v>
      </c>
      <c r="R3182" t="n">
        <v>0</v>
      </c>
      <c r="S3182" t="n">
        <v>0</v>
      </c>
      <c r="T3182" t="n">
        <v>0</v>
      </c>
      <c r="U3182" t="n">
        <v>0</v>
      </c>
      <c r="V3182" s="2" t="inlineStr"/>
    </row>
    <row r="3183" ht="15" customHeight="1">
      <c r="A3183" t="inlineStr">
        <is>
          <t>A 3944-2025</t>
        </is>
      </c>
      <c r="B3183" t="inlineStr">
        <is>
          <t>avverkningsanmälan</t>
        </is>
      </c>
      <c r="C3183" t="inlineStr">
        <is>
          <t>Föryngringsavverkning</t>
        </is>
      </c>
      <c r="D3183" s="1" t="n">
        <v>45684</v>
      </c>
      <c r="E3183" s="1" t="n">
        <v>46313</v>
      </c>
      <c r="F3183" t="inlineStr">
        <is>
          <t>SÖDERMANLANDS LÄN</t>
        </is>
      </c>
      <c r="G3183" t="inlineStr">
        <is>
          <t>FLEN</t>
        </is>
      </c>
      <c r="I3183" t="n">
        <v>4.3</v>
      </c>
      <c r="J3183" t="n">
        <v>0</v>
      </c>
      <c r="K3183" t="n">
        <v>0</v>
      </c>
      <c r="L3183" t="n">
        <v>0</v>
      </c>
      <c r="M3183" t="n">
        <v>0</v>
      </c>
      <c r="N3183" t="n">
        <v>0</v>
      </c>
      <c r="O3183" t="n">
        <v>0</v>
      </c>
      <c r="P3183" t="n">
        <v>0</v>
      </c>
      <c r="Q3183" t="n">
        <v>0</v>
      </c>
      <c r="R3183" t="n">
        <v>0</v>
      </c>
      <c r="S3183" t="n">
        <v>0</v>
      </c>
      <c r="T3183" t="n">
        <v>0</v>
      </c>
      <c r="U3183" t="n">
        <v>0</v>
      </c>
      <c r="V3183" s="2" t="inlineStr"/>
    </row>
    <row r="3184" ht="15" customHeight="1">
      <c r="A3184" t="inlineStr">
        <is>
          <t>A 12844-2025</t>
        </is>
      </c>
      <c r="B3184" t="inlineStr">
        <is>
          <t>avverkningsanmälan</t>
        </is>
      </c>
      <c r="C3184" t="inlineStr">
        <is>
          <t>Föryngringsavverkning</t>
        </is>
      </c>
      <c r="D3184" s="1" t="n">
        <v>45733</v>
      </c>
      <c r="E3184" s="1" t="n">
        <v>46313</v>
      </c>
      <c r="F3184" t="inlineStr">
        <is>
          <t>SÖDERMANLANDS LÄN</t>
        </is>
      </c>
      <c r="G3184" t="inlineStr">
        <is>
          <t>NYKÖPING</t>
        </is>
      </c>
      <c r="H3184" t="inlineStr">
        <is>
          <t>Holmen skog AB</t>
        </is>
      </c>
      <c r="I3184" t="n">
        <v>7</v>
      </c>
      <c r="J3184" t="n">
        <v>0</v>
      </c>
      <c r="K3184" t="n">
        <v>0</v>
      </c>
      <c r="L3184" t="n">
        <v>0</v>
      </c>
      <c r="M3184" t="n">
        <v>0</v>
      </c>
      <c r="N3184" t="n">
        <v>0</v>
      </c>
      <c r="O3184" t="n">
        <v>0</v>
      </c>
      <c r="P3184" t="n">
        <v>0</v>
      </c>
      <c r="Q3184" t="n">
        <v>0</v>
      </c>
      <c r="R3184" t="n">
        <v>0</v>
      </c>
      <c r="S3184" t="n">
        <v>0</v>
      </c>
      <c r="T3184" t="n">
        <v>0</v>
      </c>
      <c r="U3184" t="n">
        <v>0</v>
      </c>
      <c r="V3184" s="2" t="inlineStr"/>
    </row>
    <row r="3185" ht="15" customHeight="1">
      <c r="A3185" t="inlineStr">
        <is>
          <t>A 27636-2025</t>
        </is>
      </c>
      <c r="B3185" t="inlineStr">
        <is>
          <t>avverkningsanmälan</t>
        </is>
      </c>
      <c r="C3185" t="inlineStr">
        <is>
          <t>Föryngringsavverkning</t>
        </is>
      </c>
      <c r="D3185" s="1" t="n">
        <v>45813</v>
      </c>
      <c r="E3185" s="1" t="n">
        <v>46313</v>
      </c>
      <c r="F3185" t="inlineStr">
        <is>
          <t>SÖDERMANLANDS LÄN</t>
        </is>
      </c>
      <c r="G3185" t="inlineStr">
        <is>
          <t>KATRINEHOLM</t>
        </is>
      </c>
      <c r="I3185" t="n">
        <v>0.6</v>
      </c>
      <c r="J3185" t="n">
        <v>0</v>
      </c>
      <c r="K3185" t="n">
        <v>0</v>
      </c>
      <c r="L3185" t="n">
        <v>0</v>
      </c>
      <c r="M3185" t="n">
        <v>0</v>
      </c>
      <c r="N3185" t="n">
        <v>0</v>
      </c>
      <c r="O3185" t="n">
        <v>0</v>
      </c>
      <c r="P3185" t="n">
        <v>0</v>
      </c>
      <c r="Q3185" t="n">
        <v>0</v>
      </c>
      <c r="R3185" t="n">
        <v>0</v>
      </c>
      <c r="S3185" t="n">
        <v>0</v>
      </c>
      <c r="T3185" t="n">
        <v>0</v>
      </c>
      <c r="U3185" t="n">
        <v>0</v>
      </c>
      <c r="V3185" s="2" t="inlineStr"/>
    </row>
    <row r="3186" ht="15" customHeight="1">
      <c r="A3186" t="inlineStr">
        <is>
          <t>A 36188-2026</t>
        </is>
      </c>
      <c r="B3186" t="inlineStr">
        <is>
          <t>avverkningsanmälan</t>
        </is>
      </c>
      <c r="C3186" t="inlineStr">
        <is>
          <t>Föryngringsavverkning</t>
        </is>
      </c>
      <c r="D3186" s="1" t="n">
        <v>46267</v>
      </c>
      <c r="E3186" s="1" t="n">
        <v>46313</v>
      </c>
      <c r="F3186" t="inlineStr">
        <is>
          <t>SÖDERMANLANDS LÄN</t>
        </is>
      </c>
      <c r="G3186" t="inlineStr">
        <is>
          <t>FLEN</t>
        </is>
      </c>
      <c r="H3186" t="inlineStr">
        <is>
          <t>Holmen skog AB</t>
        </is>
      </c>
      <c r="I3186" t="n">
        <v>1.7</v>
      </c>
      <c r="J3186" t="n">
        <v>0</v>
      </c>
      <c r="K3186" t="n">
        <v>0</v>
      </c>
      <c r="L3186" t="n">
        <v>0</v>
      </c>
      <c r="M3186" t="n">
        <v>0</v>
      </c>
      <c r="N3186" t="n">
        <v>0</v>
      </c>
      <c r="O3186" t="n">
        <v>0</v>
      </c>
      <c r="P3186" t="n">
        <v>0</v>
      </c>
      <c r="Q3186" t="n">
        <v>0</v>
      </c>
      <c r="R3186" t="n">
        <v>0</v>
      </c>
      <c r="S3186" t="n">
        <v>0</v>
      </c>
      <c r="T3186" t="n">
        <v>0</v>
      </c>
      <c r="U3186" t="n">
        <v>0</v>
      </c>
      <c r="V3186" s="2" t="inlineStr"/>
    </row>
    <row r="3187" ht="15" customHeight="1">
      <c r="A3187" t="inlineStr">
        <is>
          <t>A 27874-2025</t>
        </is>
      </c>
      <c r="B3187" t="inlineStr">
        <is>
          <t>avverkningsanmälan</t>
        </is>
      </c>
      <c r="C3187" t="inlineStr">
        <is>
          <t>Föryngringsavverkning</t>
        </is>
      </c>
      <c r="D3187" s="1" t="n">
        <v>45817</v>
      </c>
      <c r="E3187" s="1" t="n">
        <v>46313</v>
      </c>
      <c r="F3187" t="inlineStr">
        <is>
          <t>SÖDERMANLANDS LÄN</t>
        </is>
      </c>
      <c r="G3187" t="inlineStr">
        <is>
          <t>NYKÖPING</t>
        </is>
      </c>
      <c r="H3187" t="inlineStr">
        <is>
          <t>Holmen skog AB</t>
        </is>
      </c>
      <c r="I3187" t="n">
        <v>0.6</v>
      </c>
      <c r="J3187" t="n">
        <v>0</v>
      </c>
      <c r="K3187" t="n">
        <v>0</v>
      </c>
      <c r="L3187" t="n">
        <v>0</v>
      </c>
      <c r="M3187" t="n">
        <v>0</v>
      </c>
      <c r="N3187" t="n">
        <v>0</v>
      </c>
      <c r="O3187" t="n">
        <v>0</v>
      </c>
      <c r="P3187" t="n">
        <v>0</v>
      </c>
      <c r="Q3187" t="n">
        <v>0</v>
      </c>
      <c r="R3187" t="n">
        <v>0</v>
      </c>
      <c r="S3187" t="n">
        <v>0</v>
      </c>
      <c r="T3187" t="n">
        <v>0</v>
      </c>
      <c r="U3187" t="n">
        <v>0</v>
      </c>
      <c r="V3187" s="2" t="inlineStr"/>
    </row>
    <row r="3188" ht="15" customHeight="1">
      <c r="A3188" t="inlineStr">
        <is>
          <t>A 27827-2025</t>
        </is>
      </c>
      <c r="B3188" t="inlineStr">
        <is>
          <t>avverkningsanmälan</t>
        </is>
      </c>
      <c r="C3188" t="inlineStr">
        <is>
          <t>Föryngringsavverkning</t>
        </is>
      </c>
      <c r="D3188" s="1" t="n">
        <v>45817</v>
      </c>
      <c r="E3188" s="1" t="n">
        <v>46313</v>
      </c>
      <c r="F3188" t="inlineStr">
        <is>
          <t>SÖDERMANLANDS LÄN</t>
        </is>
      </c>
      <c r="G3188" t="inlineStr">
        <is>
          <t>FLEN</t>
        </is>
      </c>
      <c r="H3188" t="inlineStr">
        <is>
          <t>Holmen skog AB</t>
        </is>
      </c>
      <c r="I3188" t="n">
        <v>0.9</v>
      </c>
      <c r="J3188" t="n">
        <v>0</v>
      </c>
      <c r="K3188" t="n">
        <v>0</v>
      </c>
      <c r="L3188" t="n">
        <v>0</v>
      </c>
      <c r="M3188" t="n">
        <v>0</v>
      </c>
      <c r="N3188" t="n">
        <v>0</v>
      </c>
      <c r="O3188" t="n">
        <v>0</v>
      </c>
      <c r="P3188" t="n">
        <v>0</v>
      </c>
      <c r="Q3188" t="n">
        <v>0</v>
      </c>
      <c r="R3188" t="n">
        <v>0</v>
      </c>
      <c r="S3188" t="n">
        <v>0</v>
      </c>
      <c r="T3188" t="n">
        <v>0</v>
      </c>
      <c r="U3188" t="n">
        <v>0</v>
      </c>
      <c r="V3188" s="2" t="inlineStr"/>
    </row>
    <row r="3189" ht="15" customHeight="1">
      <c r="A3189" t="inlineStr">
        <is>
          <t>A 27805-2025</t>
        </is>
      </c>
      <c r="B3189" t="inlineStr">
        <is>
          <t>avverkningsanmälan</t>
        </is>
      </c>
      <c r="C3189" t="inlineStr">
        <is>
          <t>Föryngringsavverkning</t>
        </is>
      </c>
      <c r="D3189" s="1" t="n">
        <v>45817</v>
      </c>
      <c r="E3189" s="1" t="n">
        <v>46313</v>
      </c>
      <c r="F3189" t="inlineStr">
        <is>
          <t>SÖDERMANLANDS LÄN</t>
        </is>
      </c>
      <c r="G3189" t="inlineStr">
        <is>
          <t>NYKÖPING</t>
        </is>
      </c>
      <c r="H3189" t="inlineStr">
        <is>
          <t>Holmen skog AB</t>
        </is>
      </c>
      <c r="I3189" t="n">
        <v>2.1</v>
      </c>
      <c r="J3189" t="n">
        <v>0</v>
      </c>
      <c r="K3189" t="n">
        <v>0</v>
      </c>
      <c r="L3189" t="n">
        <v>0</v>
      </c>
      <c r="M3189" t="n">
        <v>0</v>
      </c>
      <c r="N3189" t="n">
        <v>0</v>
      </c>
      <c r="O3189" t="n">
        <v>0</v>
      </c>
      <c r="P3189" t="n">
        <v>0</v>
      </c>
      <c r="Q3189" t="n">
        <v>0</v>
      </c>
      <c r="R3189" t="n">
        <v>0</v>
      </c>
      <c r="S3189" t="n">
        <v>0</v>
      </c>
      <c r="T3189" t="n">
        <v>0</v>
      </c>
      <c r="U3189" t="n">
        <v>0</v>
      </c>
      <c r="V3189" s="2" t="inlineStr"/>
    </row>
    <row r="3190" ht="15" customHeight="1">
      <c r="A3190" t="inlineStr">
        <is>
          <t>A 15087-2025</t>
        </is>
      </c>
      <c r="B3190" t="inlineStr">
        <is>
          <t>avverkningsanmälan</t>
        </is>
      </c>
      <c r="C3190" t="inlineStr">
        <is>
          <t>Föryngringsavverkning</t>
        </is>
      </c>
      <c r="D3190" s="1" t="n">
        <v>45743</v>
      </c>
      <c r="E3190" s="1" t="n">
        <v>46313</v>
      </c>
      <c r="F3190" t="inlineStr">
        <is>
          <t>SÖDERMANLANDS LÄN</t>
        </is>
      </c>
      <c r="G3190" t="inlineStr">
        <is>
          <t>STRÄNGNÄS</t>
        </is>
      </c>
      <c r="I3190" t="n">
        <v>4.9</v>
      </c>
      <c r="J3190" t="n">
        <v>0</v>
      </c>
      <c r="K3190" t="n">
        <v>0</v>
      </c>
      <c r="L3190" t="n">
        <v>0</v>
      </c>
      <c r="M3190" t="n">
        <v>0</v>
      </c>
      <c r="N3190" t="n">
        <v>0</v>
      </c>
      <c r="O3190" t="n">
        <v>0</v>
      </c>
      <c r="P3190" t="n">
        <v>0</v>
      </c>
      <c r="Q3190" t="n">
        <v>0</v>
      </c>
      <c r="R3190" t="n">
        <v>0</v>
      </c>
      <c r="S3190" t="n">
        <v>0</v>
      </c>
      <c r="T3190" t="n">
        <v>0</v>
      </c>
      <c r="U3190" t="n">
        <v>0</v>
      </c>
      <c r="V3190" s="2" t="inlineStr"/>
    </row>
    <row r="3191" ht="15" customHeight="1">
      <c r="A3191" t="inlineStr">
        <is>
          <t>A 27947-2025</t>
        </is>
      </c>
      <c r="B3191" t="inlineStr">
        <is>
          <t>avverkningsanmälan</t>
        </is>
      </c>
      <c r="C3191" t="inlineStr">
        <is>
          <t>Föryngringsavverkning</t>
        </is>
      </c>
      <c r="D3191" s="1" t="n">
        <v>45817</v>
      </c>
      <c r="E3191" s="1" t="n">
        <v>46313</v>
      </c>
      <c r="F3191" t="inlineStr">
        <is>
          <t>SÖDERMANLANDS LÄN</t>
        </is>
      </c>
      <c r="G3191" t="inlineStr">
        <is>
          <t>NYKÖPING</t>
        </is>
      </c>
      <c r="H3191" t="inlineStr">
        <is>
          <t>Holmen skog AB</t>
        </is>
      </c>
      <c r="I3191" t="n">
        <v>4.3</v>
      </c>
      <c r="J3191" t="n">
        <v>0</v>
      </c>
      <c r="K3191" t="n">
        <v>0</v>
      </c>
      <c r="L3191" t="n">
        <v>0</v>
      </c>
      <c r="M3191" t="n">
        <v>0</v>
      </c>
      <c r="N3191" t="n">
        <v>0</v>
      </c>
      <c r="O3191" t="n">
        <v>0</v>
      </c>
      <c r="P3191" t="n">
        <v>0</v>
      </c>
      <c r="Q3191" t="n">
        <v>0</v>
      </c>
      <c r="R3191" t="n">
        <v>0</v>
      </c>
      <c r="S3191" t="n">
        <v>0</v>
      </c>
      <c r="T3191" t="n">
        <v>0</v>
      </c>
      <c r="U3191" t="n">
        <v>0</v>
      </c>
      <c r="V3191" s="2" t="inlineStr"/>
    </row>
    <row r="3192" ht="15" customHeight="1">
      <c r="A3192" t="inlineStr">
        <is>
          <t>A 24600-2025</t>
        </is>
      </c>
      <c r="B3192" t="inlineStr">
        <is>
          <t>avverkningsanmälan</t>
        </is>
      </c>
      <c r="C3192" t="inlineStr">
        <is>
          <t>Föryngringsavverkning</t>
        </is>
      </c>
      <c r="D3192" s="1" t="n">
        <v>45798</v>
      </c>
      <c r="E3192" s="1" t="n">
        <v>46313</v>
      </c>
      <c r="F3192" t="inlineStr">
        <is>
          <t>SÖDERMANLANDS LÄN</t>
        </is>
      </c>
      <c r="G3192" t="inlineStr">
        <is>
          <t>KATRINEHOLM</t>
        </is>
      </c>
      <c r="I3192" t="n">
        <v>1.7</v>
      </c>
      <c r="J3192" t="n">
        <v>0</v>
      </c>
      <c r="K3192" t="n">
        <v>0</v>
      </c>
      <c r="L3192" t="n">
        <v>0</v>
      </c>
      <c r="M3192" t="n">
        <v>0</v>
      </c>
      <c r="N3192" t="n">
        <v>0</v>
      </c>
      <c r="O3192" t="n">
        <v>0</v>
      </c>
      <c r="P3192" t="n">
        <v>0</v>
      </c>
      <c r="Q3192" t="n">
        <v>0</v>
      </c>
      <c r="R3192" t="n">
        <v>0</v>
      </c>
      <c r="S3192" t="n">
        <v>0</v>
      </c>
      <c r="T3192" t="n">
        <v>0</v>
      </c>
      <c r="U3192" t="n">
        <v>0</v>
      </c>
      <c r="V3192" s="2" t="inlineStr"/>
    </row>
    <row r="3193" ht="15" customHeight="1">
      <c r="A3193" t="inlineStr">
        <is>
          <t>A 36173-2026</t>
        </is>
      </c>
      <c r="B3193" t="inlineStr">
        <is>
          <t>avverkningsanmälan</t>
        </is>
      </c>
      <c r="C3193" t="inlineStr">
        <is>
          <t>Föryngringsavverkning</t>
        </is>
      </c>
      <c r="D3193" s="1" t="n">
        <v>46267</v>
      </c>
      <c r="E3193" s="1" t="n">
        <v>46313</v>
      </c>
      <c r="F3193" t="inlineStr">
        <is>
          <t>SÖDERMANLANDS LÄN</t>
        </is>
      </c>
      <c r="G3193" t="inlineStr">
        <is>
          <t>FLEN</t>
        </is>
      </c>
      <c r="H3193" t="inlineStr">
        <is>
          <t>Holmen skog AB</t>
        </is>
      </c>
      <c r="I3193" t="n">
        <v>0.8</v>
      </c>
      <c r="J3193" t="n">
        <v>0</v>
      </c>
      <c r="K3193" t="n">
        <v>0</v>
      </c>
      <c r="L3193" t="n">
        <v>0</v>
      </c>
      <c r="M3193" t="n">
        <v>0</v>
      </c>
      <c r="N3193" t="n">
        <v>0</v>
      </c>
      <c r="O3193" t="n">
        <v>0</v>
      </c>
      <c r="P3193" t="n">
        <v>0</v>
      </c>
      <c r="Q3193" t="n">
        <v>0</v>
      </c>
      <c r="R3193" t="n">
        <v>0</v>
      </c>
      <c r="S3193" t="n">
        <v>0</v>
      </c>
      <c r="T3193" t="n">
        <v>0</v>
      </c>
      <c r="U3193" t="n">
        <v>0</v>
      </c>
      <c r="V3193" s="2" t="inlineStr"/>
    </row>
    <row r="3194" ht="15" customHeight="1">
      <c r="A3194" t="inlineStr">
        <is>
          <t>A 27960-2025</t>
        </is>
      </c>
      <c r="B3194" t="inlineStr">
        <is>
          <t>avverkningsanmälan</t>
        </is>
      </c>
      <c r="C3194" t="inlineStr">
        <is>
          <t>Föryngringsavverkning</t>
        </is>
      </c>
      <c r="D3194" s="1" t="n">
        <v>45817</v>
      </c>
      <c r="E3194" s="1" t="n">
        <v>46313</v>
      </c>
      <c r="F3194" t="inlineStr">
        <is>
          <t>SÖDERMANLANDS LÄN</t>
        </is>
      </c>
      <c r="G3194" t="inlineStr">
        <is>
          <t>VINGÅKER</t>
        </is>
      </c>
      <c r="I3194" t="n">
        <v>3</v>
      </c>
      <c r="J3194" t="n">
        <v>0</v>
      </c>
      <c r="K3194" t="n">
        <v>0</v>
      </c>
      <c r="L3194" t="n">
        <v>0</v>
      </c>
      <c r="M3194" t="n">
        <v>0</v>
      </c>
      <c r="N3194" t="n">
        <v>0</v>
      </c>
      <c r="O3194" t="n">
        <v>0</v>
      </c>
      <c r="P3194" t="n">
        <v>0</v>
      </c>
      <c r="Q3194" t="n">
        <v>0</v>
      </c>
      <c r="R3194" t="n">
        <v>0</v>
      </c>
      <c r="S3194" t="n">
        <v>0</v>
      </c>
      <c r="T3194" t="n">
        <v>0</v>
      </c>
      <c r="U3194" t="n">
        <v>0</v>
      </c>
      <c r="V3194" s="2" t="inlineStr"/>
    </row>
    <row r="3195" ht="15" customHeight="1">
      <c r="A3195" t="inlineStr">
        <is>
          <t>A 42926-2026</t>
        </is>
      </c>
      <c r="B3195" t="inlineStr">
        <is>
          <t>avverkningsanmälan</t>
        </is>
      </c>
      <c r="C3195" t="inlineStr">
        <is>
          <t>Föryngringsavverkning</t>
        </is>
      </c>
      <c r="D3195" s="1" t="n">
        <v>46310</v>
      </c>
      <c r="E3195" s="1" t="n">
        <v>46313</v>
      </c>
      <c r="F3195" t="inlineStr">
        <is>
          <t>SÖDERMANLANDS LÄN</t>
        </is>
      </c>
      <c r="G3195" t="inlineStr">
        <is>
          <t>ESKILSTUNA</t>
        </is>
      </c>
      <c r="H3195" t="inlineStr">
        <is>
          <t>Allmännings- och besparingsskogar</t>
        </is>
      </c>
      <c r="I3195" t="n">
        <v>11.1</v>
      </c>
      <c r="J3195" t="n">
        <v>0</v>
      </c>
      <c r="K3195" t="n">
        <v>0</v>
      </c>
      <c r="L3195" t="n">
        <v>0</v>
      </c>
      <c r="M3195" t="n">
        <v>0</v>
      </c>
      <c r="N3195" t="n">
        <v>0</v>
      </c>
      <c r="O3195" t="n">
        <v>0</v>
      </c>
      <c r="P3195" t="n">
        <v>0</v>
      </c>
      <c r="Q3195" t="n">
        <v>0</v>
      </c>
      <c r="R3195" t="n">
        <v>0</v>
      </c>
      <c r="S3195" t="n">
        <v>0</v>
      </c>
      <c r="T3195" t="n">
        <v>0</v>
      </c>
      <c r="U3195" t="n">
        <v>0</v>
      </c>
      <c r="V3195" s="2" t="inlineStr"/>
    </row>
    <row r="3196" ht="15" customHeight="1">
      <c r="A3196" t="inlineStr">
        <is>
          <t>A 42935-2026</t>
        </is>
      </c>
      <c r="B3196" t="inlineStr">
        <is>
          <t>avverkningsanmälan</t>
        </is>
      </c>
      <c r="C3196" t="inlineStr">
        <is>
          <t>Föryngringsavverkning</t>
        </is>
      </c>
      <c r="D3196" s="1" t="n">
        <v>46310</v>
      </c>
      <c r="E3196" s="1" t="n">
        <v>46313</v>
      </c>
      <c r="F3196" t="inlineStr">
        <is>
          <t>SÖDERMANLANDS LÄN</t>
        </is>
      </c>
      <c r="G3196" t="inlineStr">
        <is>
          <t>ESKILSTUNA</t>
        </is>
      </c>
      <c r="H3196" t="inlineStr">
        <is>
          <t>Allmännings- och besparingsskogar</t>
        </is>
      </c>
      <c r="I3196" t="n">
        <v>1.8</v>
      </c>
      <c r="J3196" t="n">
        <v>0</v>
      </c>
      <c r="K3196" t="n">
        <v>0</v>
      </c>
      <c r="L3196" t="n">
        <v>0</v>
      </c>
      <c r="M3196" t="n">
        <v>0</v>
      </c>
      <c r="N3196" t="n">
        <v>0</v>
      </c>
      <c r="O3196" t="n">
        <v>0</v>
      </c>
      <c r="P3196" t="n">
        <v>0</v>
      </c>
      <c r="Q3196" t="n">
        <v>0</v>
      </c>
      <c r="R3196" t="n">
        <v>0</v>
      </c>
      <c r="S3196" t="n">
        <v>0</v>
      </c>
      <c r="T3196" t="n">
        <v>0</v>
      </c>
      <c r="U3196" t="n">
        <v>0</v>
      </c>
      <c r="V3196" s="2" t="inlineStr"/>
    </row>
    <row r="3197" ht="15" customHeight="1">
      <c r="A3197" t="inlineStr">
        <is>
          <t>A 28646-2025</t>
        </is>
      </c>
      <c r="B3197" t="inlineStr">
        <is>
          <t>avverkningsanmälan</t>
        </is>
      </c>
      <c r="C3197" t="inlineStr">
        <is>
          <t>Föryngringsavverkning</t>
        </is>
      </c>
      <c r="D3197" s="1" t="n">
        <v>45819</v>
      </c>
      <c r="E3197" s="1" t="n">
        <v>46313</v>
      </c>
      <c r="F3197" t="inlineStr">
        <is>
          <t>SÖDERMANLANDS LÄN</t>
        </is>
      </c>
      <c r="G3197" t="inlineStr">
        <is>
          <t>NYKÖPING</t>
        </is>
      </c>
      <c r="H3197" t="inlineStr">
        <is>
          <t>Sveaskog</t>
        </is>
      </c>
      <c r="I3197" t="n">
        <v>1.1</v>
      </c>
      <c r="J3197" t="n">
        <v>0</v>
      </c>
      <c r="K3197" t="n">
        <v>0</v>
      </c>
      <c r="L3197" t="n">
        <v>0</v>
      </c>
      <c r="M3197" t="n">
        <v>0</v>
      </c>
      <c r="N3197" t="n">
        <v>0</v>
      </c>
      <c r="O3197" t="n">
        <v>0</v>
      </c>
      <c r="P3197" t="n">
        <v>0</v>
      </c>
      <c r="Q3197" t="n">
        <v>0</v>
      </c>
      <c r="R3197" t="n">
        <v>0</v>
      </c>
      <c r="S3197" t="n">
        <v>0</v>
      </c>
      <c r="T3197" t="n">
        <v>0</v>
      </c>
      <c r="U3197" t="n">
        <v>0</v>
      </c>
      <c r="V3197" s="2" t="inlineStr"/>
    </row>
    <row r="3198" ht="15" customHeight="1">
      <c r="A3198" t="inlineStr">
        <is>
          <t>A 35608-2024</t>
        </is>
      </c>
      <c r="B3198" t="inlineStr">
        <is>
          <t>avverkningsanmälan</t>
        </is>
      </c>
      <c r="C3198" t="inlineStr">
        <is>
          <t>Föryngringsavverkning</t>
        </is>
      </c>
      <c r="D3198" s="1" t="n">
        <v>45531</v>
      </c>
      <c r="E3198" s="1" t="n">
        <v>46313</v>
      </c>
      <c r="F3198" t="inlineStr">
        <is>
          <t>SÖDERMANLANDS LÄN</t>
        </is>
      </c>
      <c r="G3198" t="inlineStr">
        <is>
          <t>KATRINEHOLM</t>
        </is>
      </c>
      <c r="I3198" t="n">
        <v>2</v>
      </c>
      <c r="J3198" t="n">
        <v>0</v>
      </c>
      <c r="K3198" t="n">
        <v>0</v>
      </c>
      <c r="L3198" t="n">
        <v>0</v>
      </c>
      <c r="M3198" t="n">
        <v>0</v>
      </c>
      <c r="N3198" t="n">
        <v>0</v>
      </c>
      <c r="O3198" t="n">
        <v>0</v>
      </c>
      <c r="P3198" t="n">
        <v>0</v>
      </c>
      <c r="Q3198" t="n">
        <v>0</v>
      </c>
      <c r="R3198" t="n">
        <v>0</v>
      </c>
      <c r="S3198" t="n">
        <v>0</v>
      </c>
      <c r="T3198" t="n">
        <v>0</v>
      </c>
      <c r="U3198" t="n">
        <v>0</v>
      </c>
      <c r="V3198" s="2" t="inlineStr"/>
    </row>
    <row r="3199" ht="15" customHeight="1">
      <c r="A3199" t="inlineStr">
        <is>
          <t>A 26684-2025</t>
        </is>
      </c>
      <c r="B3199" t="inlineStr">
        <is>
          <t>avverkningsanmälan</t>
        </is>
      </c>
      <c r="C3199" t="inlineStr">
        <is>
          <t>Föryngringsavverkning</t>
        </is>
      </c>
      <c r="D3199" s="1" t="n">
        <v>45810</v>
      </c>
      <c r="E3199" s="1" t="n">
        <v>46313</v>
      </c>
      <c r="F3199" t="inlineStr">
        <is>
          <t>SÖDERMANLANDS LÄN</t>
        </is>
      </c>
      <c r="G3199" t="inlineStr">
        <is>
          <t>KATRINEHOLM</t>
        </is>
      </c>
      <c r="I3199" t="n">
        <v>1</v>
      </c>
      <c r="J3199" t="n">
        <v>0</v>
      </c>
      <c r="K3199" t="n">
        <v>0</v>
      </c>
      <c r="L3199" t="n">
        <v>0</v>
      </c>
      <c r="M3199" t="n">
        <v>0</v>
      </c>
      <c r="N3199" t="n">
        <v>0</v>
      </c>
      <c r="O3199" t="n">
        <v>0</v>
      </c>
      <c r="P3199" t="n">
        <v>0</v>
      </c>
      <c r="Q3199" t="n">
        <v>0</v>
      </c>
      <c r="R3199" t="n">
        <v>0</v>
      </c>
      <c r="S3199" t="n">
        <v>0</v>
      </c>
      <c r="T3199" t="n">
        <v>0</v>
      </c>
      <c r="U3199" t="n">
        <v>0</v>
      </c>
      <c r="V3199" s="2" t="inlineStr"/>
    </row>
    <row r="3200" ht="15" customHeight="1">
      <c r="A3200" t="inlineStr">
        <is>
          <t>A 15056-2025</t>
        </is>
      </c>
      <c r="B3200" t="inlineStr">
        <is>
          <t>avverkningsanmälan</t>
        </is>
      </c>
      <c r="C3200" t="inlineStr">
        <is>
          <t>Föryngringsavverkning</t>
        </is>
      </c>
      <c r="D3200" s="1" t="n">
        <v>45743</v>
      </c>
      <c r="E3200" s="1" t="n">
        <v>46313</v>
      </c>
      <c r="F3200" t="inlineStr">
        <is>
          <t>SÖDERMANLANDS LÄN</t>
        </is>
      </c>
      <c r="G3200" t="inlineStr">
        <is>
          <t>NYKÖPING</t>
        </is>
      </c>
      <c r="I3200" t="n">
        <v>1.9</v>
      </c>
      <c r="J3200" t="n">
        <v>0</v>
      </c>
      <c r="K3200" t="n">
        <v>0</v>
      </c>
      <c r="L3200" t="n">
        <v>0</v>
      </c>
      <c r="M3200" t="n">
        <v>0</v>
      </c>
      <c r="N3200" t="n">
        <v>0</v>
      </c>
      <c r="O3200" t="n">
        <v>0</v>
      </c>
      <c r="P3200" t="n">
        <v>0</v>
      </c>
      <c r="Q3200" t="n">
        <v>0</v>
      </c>
      <c r="R3200" t="n">
        <v>0</v>
      </c>
      <c r="S3200" t="n">
        <v>0</v>
      </c>
      <c r="T3200" t="n">
        <v>0</v>
      </c>
      <c r="U3200" t="n">
        <v>0</v>
      </c>
      <c r="V3200" s="2" t="inlineStr"/>
    </row>
    <row r="3201" ht="15" customHeight="1">
      <c r="A3201" t="inlineStr">
        <is>
          <t>A 29189-2025</t>
        </is>
      </c>
      <c r="B3201" t="inlineStr">
        <is>
          <t>avverkningsanmälan</t>
        </is>
      </c>
      <c r="C3201" t="inlineStr">
        <is>
          <t>Föryngringsavverkning</t>
        </is>
      </c>
      <c r="D3201" s="1" t="n">
        <v>45822</v>
      </c>
      <c r="E3201" s="1" t="n">
        <v>46313</v>
      </c>
      <c r="F3201" t="inlineStr">
        <is>
          <t>SÖDERMANLANDS LÄN</t>
        </is>
      </c>
      <c r="G3201" t="inlineStr">
        <is>
          <t>KATRINEHOLM</t>
        </is>
      </c>
      <c r="I3201" t="n">
        <v>3.5</v>
      </c>
      <c r="J3201" t="n">
        <v>0</v>
      </c>
      <c r="K3201" t="n">
        <v>0</v>
      </c>
      <c r="L3201" t="n">
        <v>0</v>
      </c>
      <c r="M3201" t="n">
        <v>0</v>
      </c>
      <c r="N3201" t="n">
        <v>0</v>
      </c>
      <c r="O3201" t="n">
        <v>0</v>
      </c>
      <c r="P3201" t="n">
        <v>0</v>
      </c>
      <c r="Q3201" t="n">
        <v>0</v>
      </c>
      <c r="R3201" t="n">
        <v>0</v>
      </c>
      <c r="S3201" t="n">
        <v>0</v>
      </c>
      <c r="T3201" t="n">
        <v>0</v>
      </c>
      <c r="U3201" t="n">
        <v>0</v>
      </c>
      <c r="V3201" s="2" t="inlineStr"/>
    </row>
    <row r="3202" ht="15" customHeight="1">
      <c r="A3202" t="inlineStr">
        <is>
          <t>A 11727-2026</t>
        </is>
      </c>
      <c r="B3202" t="inlineStr">
        <is>
          <t>avverkningsanmälan</t>
        </is>
      </c>
      <c r="C3202" t="inlineStr">
        <is>
          <t>Föryngringsavverkning</t>
        </is>
      </c>
      <c r="D3202" s="1" t="n">
        <v>46084</v>
      </c>
      <c r="E3202" s="1" t="n">
        <v>46313</v>
      </c>
      <c r="F3202" t="inlineStr">
        <is>
          <t>SÖDERMANLANDS LÄN</t>
        </is>
      </c>
      <c r="G3202" t="inlineStr">
        <is>
          <t>ESKILSTUNA</t>
        </is>
      </c>
      <c r="I3202" t="n">
        <v>1.3</v>
      </c>
      <c r="J3202" t="n">
        <v>0</v>
      </c>
      <c r="K3202" t="n">
        <v>0</v>
      </c>
      <c r="L3202" t="n">
        <v>0</v>
      </c>
      <c r="M3202" t="n">
        <v>0</v>
      </c>
      <c r="N3202" t="n">
        <v>0</v>
      </c>
      <c r="O3202" t="n">
        <v>0</v>
      </c>
      <c r="P3202" t="n">
        <v>0</v>
      </c>
      <c r="Q3202" t="n">
        <v>0</v>
      </c>
      <c r="R3202" t="n">
        <v>0</v>
      </c>
      <c r="S3202" t="n">
        <v>0</v>
      </c>
      <c r="T3202" t="n">
        <v>0</v>
      </c>
      <c r="U3202" t="n">
        <v>0</v>
      </c>
      <c r="V3202" s="2" t="inlineStr"/>
    </row>
    <row r="3203" ht="15" customHeight="1">
      <c r="A3203" t="inlineStr">
        <is>
          <t>A 36184-2026</t>
        </is>
      </c>
      <c r="B3203" t="inlineStr">
        <is>
          <t>avverkningsanmälan</t>
        </is>
      </c>
      <c r="C3203" t="inlineStr">
        <is>
          <t>Föryngringsavverkning</t>
        </is>
      </c>
      <c r="D3203" s="1" t="n">
        <v>46267</v>
      </c>
      <c r="E3203" s="1" t="n">
        <v>46313</v>
      </c>
      <c r="F3203" t="inlineStr">
        <is>
          <t>SÖDERMANLANDS LÄN</t>
        </is>
      </c>
      <c r="G3203" t="inlineStr">
        <is>
          <t>FLEN</t>
        </is>
      </c>
      <c r="H3203" t="inlineStr">
        <is>
          <t>Holmen skog AB</t>
        </is>
      </c>
      <c r="I3203" t="n">
        <v>2.1</v>
      </c>
      <c r="J3203" t="n">
        <v>0</v>
      </c>
      <c r="K3203" t="n">
        <v>0</v>
      </c>
      <c r="L3203" t="n">
        <v>0</v>
      </c>
      <c r="M3203" t="n">
        <v>0</v>
      </c>
      <c r="N3203" t="n">
        <v>0</v>
      </c>
      <c r="O3203" t="n">
        <v>0</v>
      </c>
      <c r="P3203" t="n">
        <v>0</v>
      </c>
      <c r="Q3203" t="n">
        <v>0</v>
      </c>
      <c r="R3203" t="n">
        <v>0</v>
      </c>
      <c r="S3203" t="n">
        <v>0</v>
      </c>
      <c r="T3203" t="n">
        <v>0</v>
      </c>
      <c r="U3203" t="n">
        <v>0</v>
      </c>
      <c r="V3203" s="2" t="inlineStr"/>
    </row>
    <row r="3204" ht="15" customHeight="1">
      <c r="A3204" t="inlineStr">
        <is>
          <t>A 30096-2025</t>
        </is>
      </c>
      <c r="B3204" t="inlineStr">
        <is>
          <t>avverkningsanmälan</t>
        </is>
      </c>
      <c r="C3204" t="inlineStr">
        <is>
          <t>Avverkning för att bevara och utveckla /försöksver</t>
        </is>
      </c>
      <c r="D3204" s="1" t="n">
        <v>45826</v>
      </c>
      <c r="E3204" s="1" t="n">
        <v>46313</v>
      </c>
      <c r="F3204" t="inlineStr">
        <is>
          <t>SÖDERMANLANDS LÄN</t>
        </is>
      </c>
      <c r="G3204" t="inlineStr">
        <is>
          <t>ESKILSTUNA</t>
        </is>
      </c>
      <c r="I3204" t="n">
        <v>0.8</v>
      </c>
      <c r="J3204" t="n">
        <v>0</v>
      </c>
      <c r="K3204" t="n">
        <v>0</v>
      </c>
      <c r="L3204" t="n">
        <v>0</v>
      </c>
      <c r="M3204" t="n">
        <v>0</v>
      </c>
      <c r="N3204" t="n">
        <v>0</v>
      </c>
      <c r="O3204" t="n">
        <v>0</v>
      </c>
      <c r="P3204" t="n">
        <v>0</v>
      </c>
      <c r="Q3204" t="n">
        <v>0</v>
      </c>
      <c r="R3204" t="n">
        <v>0</v>
      </c>
      <c r="S3204" t="n">
        <v>0</v>
      </c>
      <c r="T3204" t="n">
        <v>0</v>
      </c>
      <c r="U3204" t="n">
        <v>0</v>
      </c>
      <c r="V3204" s="2" t="inlineStr"/>
    </row>
    <row r="3205" ht="15" customHeight="1">
      <c r="A3205" t="inlineStr">
        <is>
          <t>A 30004-2025</t>
        </is>
      </c>
      <c r="B3205" t="inlineStr">
        <is>
          <t>avverkningsanmälan</t>
        </is>
      </c>
      <c r="C3205" t="inlineStr">
        <is>
          <t>Föryngringsavverkning</t>
        </is>
      </c>
      <c r="D3205" s="1" t="n">
        <v>45826</v>
      </c>
      <c r="E3205" s="1" t="n">
        <v>46313</v>
      </c>
      <c r="F3205" t="inlineStr">
        <is>
          <t>SÖDERMANLANDS LÄN</t>
        </is>
      </c>
      <c r="G3205" t="inlineStr">
        <is>
          <t>ESKILSTUNA</t>
        </is>
      </c>
      <c r="I3205" t="n">
        <v>5.5</v>
      </c>
      <c r="J3205" t="n">
        <v>0</v>
      </c>
      <c r="K3205" t="n">
        <v>0</v>
      </c>
      <c r="L3205" t="n">
        <v>0</v>
      </c>
      <c r="M3205" t="n">
        <v>0</v>
      </c>
      <c r="N3205" t="n">
        <v>0</v>
      </c>
      <c r="O3205" t="n">
        <v>0</v>
      </c>
      <c r="P3205" t="n">
        <v>0</v>
      </c>
      <c r="Q3205" t="n">
        <v>0</v>
      </c>
      <c r="R3205" t="n">
        <v>0</v>
      </c>
      <c r="S3205" t="n">
        <v>0</v>
      </c>
      <c r="T3205" t="n">
        <v>0</v>
      </c>
      <c r="U3205" t="n">
        <v>0</v>
      </c>
      <c r="V3205" s="2" t="inlineStr"/>
    </row>
    <row r="3206" ht="15" customHeight="1">
      <c r="A3206" t="inlineStr">
        <is>
          <t>A 58685-2025</t>
        </is>
      </c>
      <c r="B3206" t="inlineStr">
        <is>
          <t>avverkningsanmälan</t>
        </is>
      </c>
      <c r="C3206" t="inlineStr">
        <is>
          <t>Föryngringsavverkning</t>
        </is>
      </c>
      <c r="D3206" s="1" t="n">
        <v>45986</v>
      </c>
      <c r="E3206" s="1" t="n">
        <v>46313</v>
      </c>
      <c r="F3206" t="inlineStr">
        <is>
          <t>SÖDERMANLANDS LÄN</t>
        </is>
      </c>
      <c r="G3206" t="inlineStr">
        <is>
          <t>NYKÖPING</t>
        </is>
      </c>
      <c r="I3206" t="n">
        <v>0.7</v>
      </c>
      <c r="J3206" t="n">
        <v>0</v>
      </c>
      <c r="K3206" t="n">
        <v>0</v>
      </c>
      <c r="L3206" t="n">
        <v>0</v>
      </c>
      <c r="M3206" t="n">
        <v>0</v>
      </c>
      <c r="N3206" t="n">
        <v>0</v>
      </c>
      <c r="O3206" t="n">
        <v>0</v>
      </c>
      <c r="P3206" t="n">
        <v>0</v>
      </c>
      <c r="Q3206" t="n">
        <v>0</v>
      </c>
      <c r="R3206" t="n">
        <v>0</v>
      </c>
      <c r="S3206" t="n">
        <v>0</v>
      </c>
      <c r="T3206" t="n">
        <v>0</v>
      </c>
      <c r="U3206" t="n">
        <v>0</v>
      </c>
      <c r="V3206" s="2" t="inlineStr"/>
    </row>
    <row r="3207" ht="15" customHeight="1">
      <c r="A3207" t="inlineStr">
        <is>
          <t>A 30117-2025</t>
        </is>
      </c>
      <c r="B3207" t="inlineStr">
        <is>
          <t>avverkningsanmälan</t>
        </is>
      </c>
      <c r="C3207" t="inlineStr">
        <is>
          <t>Föryngringsavverkning</t>
        </is>
      </c>
      <c r="D3207" s="1" t="n">
        <v>45826</v>
      </c>
      <c r="E3207" s="1" t="n">
        <v>46313</v>
      </c>
      <c r="F3207" t="inlineStr">
        <is>
          <t>SÖDERMANLANDS LÄN</t>
        </is>
      </c>
      <c r="G3207" t="inlineStr">
        <is>
          <t>ESKILSTUNA</t>
        </is>
      </c>
      <c r="I3207" t="n">
        <v>0.5</v>
      </c>
      <c r="J3207" t="n">
        <v>0</v>
      </c>
      <c r="K3207" t="n">
        <v>0</v>
      </c>
      <c r="L3207" t="n">
        <v>0</v>
      </c>
      <c r="M3207" t="n">
        <v>0</v>
      </c>
      <c r="N3207" t="n">
        <v>0</v>
      </c>
      <c r="O3207" t="n">
        <v>0</v>
      </c>
      <c r="P3207" t="n">
        <v>0</v>
      </c>
      <c r="Q3207" t="n">
        <v>0</v>
      </c>
      <c r="R3207" t="n">
        <v>0</v>
      </c>
      <c r="S3207" t="n">
        <v>0</v>
      </c>
      <c r="T3207" t="n">
        <v>0</v>
      </c>
      <c r="U3207" t="n">
        <v>0</v>
      </c>
      <c r="V3207" s="2" t="inlineStr"/>
    </row>
    <row r="3208" ht="15" customHeight="1">
      <c r="A3208" t="inlineStr">
        <is>
          <t>A 30113-2025</t>
        </is>
      </c>
      <c r="B3208" t="inlineStr">
        <is>
          <t>avverkningsanmälan</t>
        </is>
      </c>
      <c r="C3208" t="inlineStr">
        <is>
          <t>Föryngringsavverkning</t>
        </is>
      </c>
      <c r="D3208" s="1" t="n">
        <v>45826</v>
      </c>
      <c r="E3208" s="1" t="n">
        <v>46313</v>
      </c>
      <c r="F3208" t="inlineStr">
        <is>
          <t>SÖDERMANLANDS LÄN</t>
        </is>
      </c>
      <c r="G3208" t="inlineStr">
        <is>
          <t>ESKILSTUNA</t>
        </is>
      </c>
      <c r="I3208" t="n">
        <v>0.9</v>
      </c>
      <c r="J3208" t="n">
        <v>0</v>
      </c>
      <c r="K3208" t="n">
        <v>0</v>
      </c>
      <c r="L3208" t="n">
        <v>0</v>
      </c>
      <c r="M3208" t="n">
        <v>0</v>
      </c>
      <c r="N3208" t="n">
        <v>0</v>
      </c>
      <c r="O3208" t="n">
        <v>0</v>
      </c>
      <c r="P3208" t="n">
        <v>0</v>
      </c>
      <c r="Q3208" t="n">
        <v>0</v>
      </c>
      <c r="R3208" t="n">
        <v>0</v>
      </c>
      <c r="S3208" t="n">
        <v>0</v>
      </c>
      <c r="T3208" t="n">
        <v>0</v>
      </c>
      <c r="U3208" t="n">
        <v>0</v>
      </c>
      <c r="V3208" s="2" t="inlineStr"/>
    </row>
    <row r="3209" ht="15" customHeight="1">
      <c r="A3209" t="inlineStr">
        <is>
          <t>A 30494-2025</t>
        </is>
      </c>
      <c r="B3209" t="inlineStr">
        <is>
          <t>avverkningsanmälan</t>
        </is>
      </c>
      <c r="C3209" t="inlineStr">
        <is>
          <t>Föryngringsavverkning</t>
        </is>
      </c>
      <c r="D3209" s="1" t="n">
        <v>45830</v>
      </c>
      <c r="E3209" s="1" t="n">
        <v>46313</v>
      </c>
      <c r="F3209" t="inlineStr">
        <is>
          <t>SÖDERMANLANDS LÄN</t>
        </is>
      </c>
      <c r="G3209" t="inlineStr">
        <is>
          <t>FLEN</t>
        </is>
      </c>
      <c r="I3209" t="n">
        <v>0.6</v>
      </c>
      <c r="J3209" t="n">
        <v>0</v>
      </c>
      <c r="K3209" t="n">
        <v>0</v>
      </c>
      <c r="L3209" t="n">
        <v>0</v>
      </c>
      <c r="M3209" t="n">
        <v>0</v>
      </c>
      <c r="N3209" t="n">
        <v>0</v>
      </c>
      <c r="O3209" t="n">
        <v>0</v>
      </c>
      <c r="P3209" t="n">
        <v>0</v>
      </c>
      <c r="Q3209" t="n">
        <v>0</v>
      </c>
      <c r="R3209" t="n">
        <v>0</v>
      </c>
      <c r="S3209" t="n">
        <v>0</v>
      </c>
      <c r="T3209" t="n">
        <v>0</v>
      </c>
      <c r="U3209" t="n">
        <v>0</v>
      </c>
      <c r="V3209" s="2" t="inlineStr"/>
    </row>
    <row r="3210" ht="15" customHeight="1">
      <c r="A3210" t="inlineStr">
        <is>
          <t>A 31034-2025</t>
        </is>
      </c>
      <c r="B3210" t="inlineStr">
        <is>
          <t>avverkningsanmälan</t>
        </is>
      </c>
      <c r="C3210" t="inlineStr">
        <is>
          <t>Avverkning för annat ändamål</t>
        </is>
      </c>
      <c r="D3210" s="1" t="n">
        <v>45831</v>
      </c>
      <c r="E3210" s="1" t="n">
        <v>46313</v>
      </c>
      <c r="F3210" t="inlineStr">
        <is>
          <t>SÖDERMANLANDS LÄN</t>
        </is>
      </c>
      <c r="G3210" t="inlineStr">
        <is>
          <t>NYKÖPING</t>
        </is>
      </c>
      <c r="I3210" t="n">
        <v>2.1</v>
      </c>
      <c r="J3210" t="n">
        <v>0</v>
      </c>
      <c r="K3210" t="n">
        <v>0</v>
      </c>
      <c r="L3210" t="n">
        <v>0</v>
      </c>
      <c r="M3210" t="n">
        <v>0</v>
      </c>
      <c r="N3210" t="n">
        <v>0</v>
      </c>
      <c r="O3210" t="n">
        <v>0</v>
      </c>
      <c r="P3210" t="n">
        <v>0</v>
      </c>
      <c r="Q3210" t="n">
        <v>0</v>
      </c>
      <c r="R3210" t="n">
        <v>0</v>
      </c>
      <c r="S3210" t="n">
        <v>0</v>
      </c>
      <c r="T3210" t="n">
        <v>0</v>
      </c>
      <c r="U3210" t="n">
        <v>0</v>
      </c>
      <c r="V3210" s="2" t="inlineStr"/>
    </row>
    <row r="3211" ht="15" customHeight="1">
      <c r="A3211" t="inlineStr">
        <is>
          <t>A 30706-2025</t>
        </is>
      </c>
      <c r="B3211" t="inlineStr">
        <is>
          <t>avverkningsanmälan</t>
        </is>
      </c>
      <c r="C3211" t="inlineStr">
        <is>
          <t>Föryngringsavverkning</t>
        </is>
      </c>
      <c r="D3211" s="1" t="n">
        <v>45831</v>
      </c>
      <c r="E3211" s="1" t="n">
        <v>46313</v>
      </c>
      <c r="F3211" t="inlineStr">
        <is>
          <t>SÖDERMANLANDS LÄN</t>
        </is>
      </c>
      <c r="G3211" t="inlineStr">
        <is>
          <t>NYKÖPING</t>
        </is>
      </c>
      <c r="H3211" t="inlineStr">
        <is>
          <t>Sveaskog</t>
        </is>
      </c>
      <c r="I3211" t="n">
        <v>0.5</v>
      </c>
      <c r="J3211" t="n">
        <v>0</v>
      </c>
      <c r="K3211" t="n">
        <v>0</v>
      </c>
      <c r="L3211" t="n">
        <v>0</v>
      </c>
      <c r="M3211" t="n">
        <v>0</v>
      </c>
      <c r="N3211" t="n">
        <v>0</v>
      </c>
      <c r="O3211" t="n">
        <v>0</v>
      </c>
      <c r="P3211" t="n">
        <v>0</v>
      </c>
      <c r="Q3211" t="n">
        <v>0</v>
      </c>
      <c r="R3211" t="n">
        <v>0</v>
      </c>
      <c r="S3211" t="n">
        <v>0</v>
      </c>
      <c r="T3211" t="n">
        <v>0</v>
      </c>
      <c r="U3211" t="n">
        <v>0</v>
      </c>
      <c r="V3211" s="2" t="inlineStr"/>
    </row>
    <row r="3212" ht="15" customHeight="1">
      <c r="A3212" t="inlineStr">
        <is>
          <t>A 30622-2025</t>
        </is>
      </c>
      <c r="B3212" t="inlineStr">
        <is>
          <t>avverkningsanmälan</t>
        </is>
      </c>
      <c r="C3212" t="inlineStr">
        <is>
          <t>Föryngringsavverkning</t>
        </is>
      </c>
      <c r="D3212" s="1" t="n">
        <v>45831</v>
      </c>
      <c r="E3212" s="1" t="n">
        <v>46313</v>
      </c>
      <c r="F3212" t="inlineStr">
        <is>
          <t>SÖDERMANLANDS LÄN</t>
        </is>
      </c>
      <c r="G3212" t="inlineStr">
        <is>
          <t>STRÄNGNÄS</t>
        </is>
      </c>
      <c r="I3212" t="n">
        <v>0.6</v>
      </c>
      <c r="J3212" t="n">
        <v>0</v>
      </c>
      <c r="K3212" t="n">
        <v>0</v>
      </c>
      <c r="L3212" t="n">
        <v>0</v>
      </c>
      <c r="M3212" t="n">
        <v>0</v>
      </c>
      <c r="N3212" t="n">
        <v>0</v>
      </c>
      <c r="O3212" t="n">
        <v>0</v>
      </c>
      <c r="P3212" t="n">
        <v>0</v>
      </c>
      <c r="Q3212" t="n">
        <v>0</v>
      </c>
      <c r="R3212" t="n">
        <v>0</v>
      </c>
      <c r="S3212" t="n">
        <v>0</v>
      </c>
      <c r="T3212" t="n">
        <v>0</v>
      </c>
      <c r="U3212" t="n">
        <v>0</v>
      </c>
      <c r="V3212" s="2" t="inlineStr"/>
    </row>
    <row r="3213" ht="15" customHeight="1">
      <c r="A3213" t="inlineStr">
        <is>
          <t>A 30493-2025</t>
        </is>
      </c>
      <c r="B3213" t="inlineStr">
        <is>
          <t>avverkningsanmälan</t>
        </is>
      </c>
      <c r="C3213" t="inlineStr">
        <is>
          <t>Föryngringsavverkning</t>
        </is>
      </c>
      <c r="D3213" s="1" t="n">
        <v>45830</v>
      </c>
      <c r="E3213" s="1" t="n">
        <v>46313</v>
      </c>
      <c r="F3213" t="inlineStr">
        <is>
          <t>SÖDERMANLANDS LÄN</t>
        </is>
      </c>
      <c r="G3213" t="inlineStr">
        <is>
          <t>FLEN</t>
        </is>
      </c>
      <c r="I3213" t="n">
        <v>1.6</v>
      </c>
      <c r="J3213" t="n">
        <v>0</v>
      </c>
      <c r="K3213" t="n">
        <v>0</v>
      </c>
      <c r="L3213" t="n">
        <v>0</v>
      </c>
      <c r="M3213" t="n">
        <v>0</v>
      </c>
      <c r="N3213" t="n">
        <v>0</v>
      </c>
      <c r="O3213" t="n">
        <v>0</v>
      </c>
      <c r="P3213" t="n">
        <v>0</v>
      </c>
      <c r="Q3213" t="n">
        <v>0</v>
      </c>
      <c r="R3213" t="n">
        <v>0</v>
      </c>
      <c r="S3213" t="n">
        <v>0</v>
      </c>
      <c r="T3213" t="n">
        <v>0</v>
      </c>
      <c r="U3213" t="n">
        <v>0</v>
      </c>
      <c r="V3213" s="2" t="inlineStr"/>
    </row>
    <row r="3214" ht="15" customHeight="1">
      <c r="A3214" t="inlineStr">
        <is>
          <t>A 31928-2025</t>
        </is>
      </c>
      <c r="B3214" t="inlineStr">
        <is>
          <t>avverkningsanmälan</t>
        </is>
      </c>
      <c r="C3214" t="inlineStr">
        <is>
          <t>Föryngringsavverkning</t>
        </is>
      </c>
      <c r="D3214" s="1" t="n">
        <v>45834</v>
      </c>
      <c r="E3214" s="1" t="n">
        <v>46313</v>
      </c>
      <c r="F3214" t="inlineStr">
        <is>
          <t>SÖDERMANLANDS LÄN</t>
        </is>
      </c>
      <c r="G3214" t="inlineStr">
        <is>
          <t>NYKÖPING</t>
        </is>
      </c>
      <c r="I3214" t="n">
        <v>1.9</v>
      </c>
      <c r="J3214" t="n">
        <v>0</v>
      </c>
      <c r="K3214" t="n">
        <v>0</v>
      </c>
      <c r="L3214" t="n">
        <v>0</v>
      </c>
      <c r="M3214" t="n">
        <v>0</v>
      </c>
      <c r="N3214" t="n">
        <v>0</v>
      </c>
      <c r="O3214" t="n">
        <v>0</v>
      </c>
      <c r="P3214" t="n">
        <v>0</v>
      </c>
      <c r="Q3214" t="n">
        <v>0</v>
      </c>
      <c r="R3214" t="n">
        <v>0</v>
      </c>
      <c r="S3214" t="n">
        <v>0</v>
      </c>
      <c r="T3214" t="n">
        <v>0</v>
      </c>
      <c r="U3214" t="n">
        <v>0</v>
      </c>
      <c r="V3214" s="2" t="inlineStr"/>
    </row>
    <row r="3215" ht="15" customHeight="1">
      <c r="A3215" t="inlineStr">
        <is>
          <t>A 31922-2025</t>
        </is>
      </c>
      <c r="B3215" t="inlineStr">
        <is>
          <t>avverkningsanmälan</t>
        </is>
      </c>
      <c r="C3215" t="inlineStr">
        <is>
          <t>Avverkning för att bevara och utveckla /försöksver</t>
        </is>
      </c>
      <c r="D3215" s="1" t="n">
        <v>45834</v>
      </c>
      <c r="E3215" s="1" t="n">
        <v>46313</v>
      </c>
      <c r="F3215" t="inlineStr">
        <is>
          <t>SÖDERMANLANDS LÄN</t>
        </is>
      </c>
      <c r="G3215" t="inlineStr">
        <is>
          <t>NYKÖPING</t>
        </is>
      </c>
      <c r="I3215" t="n">
        <v>1.3</v>
      </c>
      <c r="J3215" t="n">
        <v>0</v>
      </c>
      <c r="K3215" t="n">
        <v>0</v>
      </c>
      <c r="L3215" t="n">
        <v>0</v>
      </c>
      <c r="M3215" t="n">
        <v>0</v>
      </c>
      <c r="N3215" t="n">
        <v>0</v>
      </c>
      <c r="O3215" t="n">
        <v>0</v>
      </c>
      <c r="P3215" t="n">
        <v>0</v>
      </c>
      <c r="Q3215" t="n">
        <v>0</v>
      </c>
      <c r="R3215" t="n">
        <v>0</v>
      </c>
      <c r="S3215" t="n">
        <v>0</v>
      </c>
      <c r="T3215" t="n">
        <v>0</v>
      </c>
      <c r="U3215" t="n">
        <v>0</v>
      </c>
      <c r="V3215" s="2" t="inlineStr"/>
    </row>
    <row r="3216" ht="15" customHeight="1">
      <c r="A3216" t="inlineStr">
        <is>
          <t>A 31923-2025</t>
        </is>
      </c>
      <c r="B3216" t="inlineStr">
        <is>
          <t>avverkningsanmälan</t>
        </is>
      </c>
      <c r="C3216" t="inlineStr">
        <is>
          <t>Avverkning för att bevara och utveckla /försöksver</t>
        </is>
      </c>
      <c r="D3216" s="1" t="n">
        <v>45834</v>
      </c>
      <c r="E3216" s="1" t="n">
        <v>46313</v>
      </c>
      <c r="F3216" t="inlineStr">
        <is>
          <t>SÖDERMANLANDS LÄN</t>
        </is>
      </c>
      <c r="G3216" t="inlineStr">
        <is>
          <t>NYKÖPING</t>
        </is>
      </c>
      <c r="I3216" t="n">
        <v>4</v>
      </c>
      <c r="J3216" t="n">
        <v>0</v>
      </c>
      <c r="K3216" t="n">
        <v>0</v>
      </c>
      <c r="L3216" t="n">
        <v>0</v>
      </c>
      <c r="M3216" t="n">
        <v>0</v>
      </c>
      <c r="N3216" t="n">
        <v>0</v>
      </c>
      <c r="O3216" t="n">
        <v>0</v>
      </c>
      <c r="P3216" t="n">
        <v>0</v>
      </c>
      <c r="Q3216" t="n">
        <v>0</v>
      </c>
      <c r="R3216" t="n">
        <v>0</v>
      </c>
      <c r="S3216" t="n">
        <v>0</v>
      </c>
      <c r="T3216" t="n">
        <v>0</v>
      </c>
      <c r="U3216" t="n">
        <v>0</v>
      </c>
      <c r="V3216" s="2" t="inlineStr"/>
    </row>
    <row r="3217" ht="15" customHeight="1">
      <c r="A3217" t="inlineStr">
        <is>
          <t>A 31929-2025</t>
        </is>
      </c>
      <c r="B3217" t="inlineStr">
        <is>
          <t>avverkningsanmälan</t>
        </is>
      </c>
      <c r="C3217" t="inlineStr">
        <is>
          <t>Föryngringsavverkning</t>
        </is>
      </c>
      <c r="D3217" s="1" t="n">
        <v>45834</v>
      </c>
      <c r="E3217" s="1" t="n">
        <v>46313</v>
      </c>
      <c r="F3217" t="inlineStr">
        <is>
          <t>SÖDERMANLANDS LÄN</t>
        </is>
      </c>
      <c r="G3217" t="inlineStr">
        <is>
          <t>NYKÖPING</t>
        </is>
      </c>
      <c r="I3217" t="n">
        <v>1.4</v>
      </c>
      <c r="J3217" t="n">
        <v>0</v>
      </c>
      <c r="K3217" t="n">
        <v>0</v>
      </c>
      <c r="L3217" t="n">
        <v>0</v>
      </c>
      <c r="M3217" t="n">
        <v>0</v>
      </c>
      <c r="N3217" t="n">
        <v>0</v>
      </c>
      <c r="O3217" t="n">
        <v>0</v>
      </c>
      <c r="P3217" t="n">
        <v>0</v>
      </c>
      <c r="Q3217" t="n">
        <v>0</v>
      </c>
      <c r="R3217" t="n">
        <v>0</v>
      </c>
      <c r="S3217" t="n">
        <v>0</v>
      </c>
      <c r="T3217" t="n">
        <v>0</v>
      </c>
      <c r="U3217" t="n">
        <v>0</v>
      </c>
      <c r="V3217" s="2" t="inlineStr"/>
    </row>
    <row r="3218" ht="15" customHeight="1">
      <c r="A3218" t="inlineStr">
        <is>
          <t>A 31990-2025</t>
        </is>
      </c>
      <c r="B3218" t="inlineStr">
        <is>
          <t>avverkningsanmälan</t>
        </is>
      </c>
      <c r="C3218" t="inlineStr">
        <is>
          <t>Föryngringsavverkning</t>
        </is>
      </c>
      <c r="D3218" s="1" t="n">
        <v>45835</v>
      </c>
      <c r="E3218" s="1" t="n">
        <v>46313</v>
      </c>
      <c r="F3218" t="inlineStr">
        <is>
          <t>SÖDERMANLANDS LÄN</t>
        </is>
      </c>
      <c r="G3218" t="inlineStr">
        <is>
          <t>KATRINEHOLM</t>
        </is>
      </c>
      <c r="I3218" t="n">
        <v>0.5</v>
      </c>
      <c r="J3218" t="n">
        <v>0</v>
      </c>
      <c r="K3218" t="n">
        <v>0</v>
      </c>
      <c r="L3218" t="n">
        <v>0</v>
      </c>
      <c r="M3218" t="n">
        <v>0</v>
      </c>
      <c r="N3218" t="n">
        <v>0</v>
      </c>
      <c r="O3218" t="n">
        <v>0</v>
      </c>
      <c r="P3218" t="n">
        <v>0</v>
      </c>
      <c r="Q3218" t="n">
        <v>0</v>
      </c>
      <c r="R3218" t="n">
        <v>0</v>
      </c>
      <c r="S3218" t="n">
        <v>0</v>
      </c>
      <c r="T3218" t="n">
        <v>0</v>
      </c>
      <c r="U3218" t="n">
        <v>0</v>
      </c>
      <c r="V3218" s="2" t="inlineStr"/>
    </row>
    <row r="3219" ht="15" customHeight="1">
      <c r="A3219" t="inlineStr">
        <is>
          <t>A 24980-2025</t>
        </is>
      </c>
      <c r="B3219" t="inlineStr">
        <is>
          <t>avverkningsanmälan</t>
        </is>
      </c>
      <c r="C3219" t="inlineStr">
        <is>
          <t>Avverkning för annat ändamål</t>
        </is>
      </c>
      <c r="D3219" s="1" t="n">
        <v>45799</v>
      </c>
      <c r="E3219" s="1" t="n">
        <v>46313</v>
      </c>
      <c r="F3219" t="inlineStr">
        <is>
          <t>SÖDERMANLANDS LÄN</t>
        </is>
      </c>
      <c r="G3219" t="inlineStr">
        <is>
          <t>STRÄNGNÄS</t>
        </is>
      </c>
      <c r="H3219" t="inlineStr">
        <is>
          <t>Övriga Aktiebolag</t>
        </is>
      </c>
      <c r="I3219" t="n">
        <v>0.9</v>
      </c>
      <c r="J3219" t="n">
        <v>0</v>
      </c>
      <c r="K3219" t="n">
        <v>0</v>
      </c>
      <c r="L3219" t="n">
        <v>0</v>
      </c>
      <c r="M3219" t="n">
        <v>0</v>
      </c>
      <c r="N3219" t="n">
        <v>0</v>
      </c>
      <c r="O3219" t="n">
        <v>0</v>
      </c>
      <c r="P3219" t="n">
        <v>0</v>
      </c>
      <c r="Q3219" t="n">
        <v>0</v>
      </c>
      <c r="R3219" t="n">
        <v>0</v>
      </c>
      <c r="S3219" t="n">
        <v>0</v>
      </c>
      <c r="T3219" t="n">
        <v>0</v>
      </c>
      <c r="U3219" t="n">
        <v>0</v>
      </c>
      <c r="V3219" s="2" t="inlineStr"/>
    </row>
    <row r="3220" ht="15" customHeight="1">
      <c r="A3220" t="inlineStr">
        <is>
          <t>A 3773-2025</t>
        </is>
      </c>
      <c r="B3220" t="inlineStr">
        <is>
          <t>avverkningsanmälan</t>
        </is>
      </c>
      <c r="C3220" t="inlineStr">
        <is>
          <t>Föryngringsavverkning</t>
        </is>
      </c>
      <c r="D3220" s="1" t="n">
        <v>45681</v>
      </c>
      <c r="E3220" s="1" t="n">
        <v>46313</v>
      </c>
      <c r="F3220" t="inlineStr">
        <is>
          <t>SÖDERMANLANDS LÄN</t>
        </is>
      </c>
      <c r="G3220" t="inlineStr">
        <is>
          <t>STRÄNGNÄS</t>
        </is>
      </c>
      <c r="I3220" t="n">
        <v>2.7</v>
      </c>
      <c r="J3220" t="n">
        <v>0</v>
      </c>
      <c r="K3220" t="n">
        <v>0</v>
      </c>
      <c r="L3220" t="n">
        <v>0</v>
      </c>
      <c r="M3220" t="n">
        <v>0</v>
      </c>
      <c r="N3220" t="n">
        <v>0</v>
      </c>
      <c r="O3220" t="n">
        <v>0</v>
      </c>
      <c r="P3220" t="n">
        <v>0</v>
      </c>
      <c r="Q3220" t="n">
        <v>0</v>
      </c>
      <c r="R3220" t="n">
        <v>0</v>
      </c>
      <c r="S3220" t="n">
        <v>0</v>
      </c>
      <c r="T3220" t="n">
        <v>0</v>
      </c>
      <c r="U3220" t="n">
        <v>0</v>
      </c>
      <c r="V3220" s="2" t="inlineStr"/>
    </row>
    <row r="3221" ht="15" customHeight="1">
      <c r="A3221" t="inlineStr">
        <is>
          <t>A 32627-2025</t>
        </is>
      </c>
      <c r="B3221" t="inlineStr">
        <is>
          <t>avverkningsanmälan</t>
        </is>
      </c>
      <c r="C3221" t="inlineStr">
        <is>
          <t>Föryngringsavverkning</t>
        </is>
      </c>
      <c r="D3221" s="1" t="n">
        <v>45838</v>
      </c>
      <c r="E3221" s="1" t="n">
        <v>46313</v>
      </c>
      <c r="F3221" t="inlineStr">
        <is>
          <t>SÖDERMANLANDS LÄN</t>
        </is>
      </c>
      <c r="G3221" t="inlineStr">
        <is>
          <t>STRÄNGNÄS</t>
        </is>
      </c>
      <c r="I3221" t="n">
        <v>3</v>
      </c>
      <c r="J3221" t="n">
        <v>0</v>
      </c>
      <c r="K3221" t="n">
        <v>0</v>
      </c>
      <c r="L3221" t="n">
        <v>0</v>
      </c>
      <c r="M3221" t="n">
        <v>0</v>
      </c>
      <c r="N3221" t="n">
        <v>0</v>
      </c>
      <c r="O3221" t="n">
        <v>0</v>
      </c>
      <c r="P3221" t="n">
        <v>0</v>
      </c>
      <c r="Q3221" t="n">
        <v>0</v>
      </c>
      <c r="R3221" t="n">
        <v>0</v>
      </c>
      <c r="S3221" t="n">
        <v>0</v>
      </c>
      <c r="T3221" t="n">
        <v>0</v>
      </c>
      <c r="U3221" t="n">
        <v>0</v>
      </c>
      <c r="V3221" s="2" t="inlineStr"/>
    </row>
    <row r="3222" ht="15" customHeight="1">
      <c r="A3222" t="inlineStr">
        <is>
          <t>A 33577-2025</t>
        </is>
      </c>
      <c r="B3222" t="inlineStr">
        <is>
          <t>avverkningsanmälan</t>
        </is>
      </c>
      <c r="C3222" t="inlineStr">
        <is>
          <t>Avverkning för annat ändamål</t>
        </is>
      </c>
      <c r="D3222" s="1" t="n">
        <v>45841</v>
      </c>
      <c r="E3222" s="1" t="n">
        <v>46313</v>
      </c>
      <c r="F3222" t="inlineStr">
        <is>
          <t>SÖDERMANLANDS LÄN</t>
        </is>
      </c>
      <c r="G3222" t="inlineStr">
        <is>
          <t>KATRINEHOLM</t>
        </is>
      </c>
      <c r="H3222" t="inlineStr">
        <is>
          <t>Holmen skog AB</t>
        </is>
      </c>
      <c r="I3222" t="n">
        <v>0.3</v>
      </c>
      <c r="J3222" t="n">
        <v>0</v>
      </c>
      <c r="K3222" t="n">
        <v>0</v>
      </c>
      <c r="L3222" t="n">
        <v>0</v>
      </c>
      <c r="M3222" t="n">
        <v>0</v>
      </c>
      <c r="N3222" t="n">
        <v>0</v>
      </c>
      <c r="O3222" t="n">
        <v>0</v>
      </c>
      <c r="P3222" t="n">
        <v>0</v>
      </c>
      <c r="Q3222" t="n">
        <v>0</v>
      </c>
      <c r="R3222" t="n">
        <v>0</v>
      </c>
      <c r="S3222" t="n">
        <v>0</v>
      </c>
      <c r="T3222" t="n">
        <v>0</v>
      </c>
      <c r="U3222" t="n">
        <v>0</v>
      </c>
      <c r="V3222" s="2" t="inlineStr"/>
    </row>
    <row r="3223" ht="15" customHeight="1">
      <c r="A3223" t="inlineStr">
        <is>
          <t>A 33382-2025</t>
        </is>
      </c>
      <c r="B3223" t="inlineStr">
        <is>
          <t>avverkningsanmälan</t>
        </is>
      </c>
      <c r="C3223" t="inlineStr">
        <is>
          <t>Föryngringsavverkning</t>
        </is>
      </c>
      <c r="D3223" s="1" t="n">
        <v>45841</v>
      </c>
      <c r="E3223" s="1" t="n">
        <v>46313</v>
      </c>
      <c r="F3223" t="inlineStr">
        <is>
          <t>SÖDERMANLANDS LÄN</t>
        </is>
      </c>
      <c r="G3223" t="inlineStr">
        <is>
          <t>NYKÖPING</t>
        </is>
      </c>
      <c r="I3223" t="n">
        <v>0.5</v>
      </c>
      <c r="J3223" t="n">
        <v>0</v>
      </c>
      <c r="K3223" t="n">
        <v>0</v>
      </c>
      <c r="L3223" t="n">
        <v>0</v>
      </c>
      <c r="M3223" t="n">
        <v>0</v>
      </c>
      <c r="N3223" t="n">
        <v>0</v>
      </c>
      <c r="O3223" t="n">
        <v>0</v>
      </c>
      <c r="P3223" t="n">
        <v>0</v>
      </c>
      <c r="Q3223" t="n">
        <v>0</v>
      </c>
      <c r="R3223" t="n">
        <v>0</v>
      </c>
      <c r="S3223" t="n">
        <v>0</v>
      </c>
      <c r="T3223" t="n">
        <v>0</v>
      </c>
      <c r="U3223" t="n">
        <v>0</v>
      </c>
      <c r="V3223" s="2" t="inlineStr"/>
    </row>
    <row r="3224" ht="15" customHeight="1">
      <c r="A3224" t="inlineStr">
        <is>
          <t>A 45515-2024</t>
        </is>
      </c>
      <c r="B3224" t="inlineStr">
        <is>
          <t>avverkningsanmälan</t>
        </is>
      </c>
      <c r="C3224" t="inlineStr">
        <is>
          <t>Föryngringsavverkning</t>
        </is>
      </c>
      <c r="D3224" s="1" t="n">
        <v>45578</v>
      </c>
      <c r="E3224" s="1" t="n">
        <v>46313</v>
      </c>
      <c r="F3224" t="inlineStr">
        <is>
          <t>SÖDERMANLANDS LÄN</t>
        </is>
      </c>
      <c r="G3224" t="inlineStr">
        <is>
          <t>GNESTA</t>
        </is>
      </c>
      <c r="I3224" t="n">
        <v>1.1</v>
      </c>
      <c r="J3224" t="n">
        <v>0</v>
      </c>
      <c r="K3224" t="n">
        <v>0</v>
      </c>
      <c r="L3224" t="n">
        <v>0</v>
      </c>
      <c r="M3224" t="n">
        <v>0</v>
      </c>
      <c r="N3224" t="n">
        <v>0</v>
      </c>
      <c r="O3224" t="n">
        <v>0</v>
      </c>
      <c r="P3224" t="n">
        <v>0</v>
      </c>
      <c r="Q3224" t="n">
        <v>0</v>
      </c>
      <c r="R3224" t="n">
        <v>0</v>
      </c>
      <c r="S3224" t="n">
        <v>0</v>
      </c>
      <c r="T3224" t="n">
        <v>0</v>
      </c>
      <c r="U3224" t="n">
        <v>0</v>
      </c>
      <c r="V3224" s="2" t="inlineStr"/>
    </row>
    <row r="3225" ht="15" customHeight="1">
      <c r="A3225" t="inlineStr">
        <is>
          <t>A 33764-2025</t>
        </is>
      </c>
      <c r="B3225" t="inlineStr">
        <is>
          <t>avverkningsanmälan</t>
        </is>
      </c>
      <c r="C3225" t="inlineStr">
        <is>
          <t>Föryngringsavverkning</t>
        </is>
      </c>
      <c r="D3225" s="1" t="n">
        <v>45842</v>
      </c>
      <c r="E3225" s="1" t="n">
        <v>46313</v>
      </c>
      <c r="F3225" t="inlineStr">
        <is>
          <t>SÖDERMANLANDS LÄN</t>
        </is>
      </c>
      <c r="G3225" t="inlineStr">
        <is>
          <t>NYKÖPING</t>
        </is>
      </c>
      <c r="I3225" t="n">
        <v>6.2</v>
      </c>
      <c r="J3225" t="n">
        <v>0</v>
      </c>
      <c r="K3225" t="n">
        <v>0</v>
      </c>
      <c r="L3225" t="n">
        <v>0</v>
      </c>
      <c r="M3225" t="n">
        <v>0</v>
      </c>
      <c r="N3225" t="n">
        <v>0</v>
      </c>
      <c r="O3225" t="n">
        <v>0</v>
      </c>
      <c r="P3225" t="n">
        <v>0</v>
      </c>
      <c r="Q3225" t="n">
        <v>0</v>
      </c>
      <c r="R3225" t="n">
        <v>0</v>
      </c>
      <c r="S3225" t="n">
        <v>0</v>
      </c>
      <c r="T3225" t="n">
        <v>0</v>
      </c>
      <c r="U3225" t="n">
        <v>0</v>
      </c>
      <c r="V3225" s="2" t="inlineStr"/>
    </row>
    <row r="3226" ht="15" customHeight="1">
      <c r="A3226" t="inlineStr">
        <is>
          <t>A 33773-2025</t>
        </is>
      </c>
      <c r="B3226" t="inlineStr">
        <is>
          <t>avverkningsanmälan</t>
        </is>
      </c>
      <c r="C3226" t="inlineStr">
        <is>
          <t>Föryngringsavverkning</t>
        </is>
      </c>
      <c r="D3226" s="1" t="n">
        <v>45842</v>
      </c>
      <c r="E3226" s="1" t="n">
        <v>46313</v>
      </c>
      <c r="F3226" t="inlineStr">
        <is>
          <t>SÖDERMANLANDS LÄN</t>
        </is>
      </c>
      <c r="G3226" t="inlineStr">
        <is>
          <t>NYKÖPING</t>
        </is>
      </c>
      <c r="I3226" t="n">
        <v>3.8</v>
      </c>
      <c r="J3226" t="n">
        <v>0</v>
      </c>
      <c r="K3226" t="n">
        <v>0</v>
      </c>
      <c r="L3226" t="n">
        <v>0</v>
      </c>
      <c r="M3226" t="n">
        <v>0</v>
      </c>
      <c r="N3226" t="n">
        <v>0</v>
      </c>
      <c r="O3226" t="n">
        <v>0</v>
      </c>
      <c r="P3226" t="n">
        <v>0</v>
      </c>
      <c r="Q3226" t="n">
        <v>0</v>
      </c>
      <c r="R3226" t="n">
        <v>0</v>
      </c>
      <c r="S3226" t="n">
        <v>0</v>
      </c>
      <c r="T3226" t="n">
        <v>0</v>
      </c>
      <c r="U3226" t="n">
        <v>0</v>
      </c>
      <c r="V3226" s="2" t="inlineStr"/>
    </row>
    <row r="3227" ht="15" customHeight="1">
      <c r="A3227" t="inlineStr">
        <is>
          <t>A 33767-2025</t>
        </is>
      </c>
      <c r="B3227" t="inlineStr">
        <is>
          <t>avverkningsanmälan</t>
        </is>
      </c>
      <c r="C3227" t="inlineStr">
        <is>
          <t>Föryngringsavverkning</t>
        </is>
      </c>
      <c r="D3227" s="1" t="n">
        <v>45842</v>
      </c>
      <c r="E3227" s="1" t="n">
        <v>46313</v>
      </c>
      <c r="F3227" t="inlineStr">
        <is>
          <t>SÖDERMANLANDS LÄN</t>
        </is>
      </c>
      <c r="G3227" t="inlineStr">
        <is>
          <t>NYKÖPING</t>
        </is>
      </c>
      <c r="I3227" t="n">
        <v>2.4</v>
      </c>
      <c r="J3227" t="n">
        <v>0</v>
      </c>
      <c r="K3227" t="n">
        <v>0</v>
      </c>
      <c r="L3227" t="n">
        <v>0</v>
      </c>
      <c r="M3227" t="n">
        <v>0</v>
      </c>
      <c r="N3227" t="n">
        <v>0</v>
      </c>
      <c r="O3227" t="n">
        <v>0</v>
      </c>
      <c r="P3227" t="n">
        <v>0</v>
      </c>
      <c r="Q3227" t="n">
        <v>0</v>
      </c>
      <c r="R3227" t="n">
        <v>0</v>
      </c>
      <c r="S3227" t="n">
        <v>0</v>
      </c>
      <c r="T3227" t="n">
        <v>0</v>
      </c>
      <c r="U3227" t="n">
        <v>0</v>
      </c>
      <c r="V3227" s="2" t="inlineStr"/>
    </row>
    <row r="3228" ht="15" customHeight="1">
      <c r="A3228" t="inlineStr">
        <is>
          <t>A 6762-2025</t>
        </is>
      </c>
      <c r="B3228" t="inlineStr">
        <is>
          <t>avverkningsanmälan</t>
        </is>
      </c>
      <c r="C3228" t="inlineStr">
        <is>
          <t>Föryngringsavverkning</t>
        </is>
      </c>
      <c r="D3228" s="1" t="n">
        <v>45700</v>
      </c>
      <c r="E3228" s="1" t="n">
        <v>46313</v>
      </c>
      <c r="F3228" t="inlineStr">
        <is>
          <t>SÖDERMANLANDS LÄN</t>
        </is>
      </c>
      <c r="G3228" t="inlineStr">
        <is>
          <t>KATRINEHOLM</t>
        </is>
      </c>
      <c r="I3228" t="n">
        <v>1</v>
      </c>
      <c r="J3228" t="n">
        <v>0</v>
      </c>
      <c r="K3228" t="n">
        <v>0</v>
      </c>
      <c r="L3228" t="n">
        <v>0</v>
      </c>
      <c r="M3228" t="n">
        <v>0</v>
      </c>
      <c r="N3228" t="n">
        <v>0</v>
      </c>
      <c r="O3228" t="n">
        <v>0</v>
      </c>
      <c r="P3228" t="n">
        <v>0</v>
      </c>
      <c r="Q3228" t="n">
        <v>0</v>
      </c>
      <c r="R3228" t="n">
        <v>0</v>
      </c>
      <c r="S3228" t="n">
        <v>0</v>
      </c>
      <c r="T3228" t="n">
        <v>0</v>
      </c>
      <c r="U3228" t="n">
        <v>0</v>
      </c>
      <c r="V3228" s="2" t="inlineStr"/>
    </row>
    <row r="3229" ht="15" customHeight="1">
      <c r="A3229" t="inlineStr">
        <is>
          <t>A 5713-2025</t>
        </is>
      </c>
      <c r="B3229" t="inlineStr">
        <is>
          <t>avverkningsanmälan</t>
        </is>
      </c>
      <c r="C3229" t="inlineStr">
        <is>
          <t>Föryngringsavverkning</t>
        </is>
      </c>
      <c r="D3229" s="1" t="n">
        <v>45694</v>
      </c>
      <c r="E3229" s="1" t="n">
        <v>46313</v>
      </c>
      <c r="F3229" t="inlineStr">
        <is>
          <t>SÖDERMANLANDS LÄN</t>
        </is>
      </c>
      <c r="G3229" t="inlineStr">
        <is>
          <t>ESKILSTUNA</t>
        </is>
      </c>
      <c r="I3229" t="n">
        <v>2</v>
      </c>
      <c r="J3229" t="n">
        <v>0</v>
      </c>
      <c r="K3229" t="n">
        <v>0</v>
      </c>
      <c r="L3229" t="n">
        <v>0</v>
      </c>
      <c r="M3229" t="n">
        <v>0</v>
      </c>
      <c r="N3229" t="n">
        <v>0</v>
      </c>
      <c r="O3229" t="n">
        <v>0</v>
      </c>
      <c r="P3229" t="n">
        <v>0</v>
      </c>
      <c r="Q3229" t="n">
        <v>0</v>
      </c>
      <c r="R3229" t="n">
        <v>0</v>
      </c>
      <c r="S3229" t="n">
        <v>0</v>
      </c>
      <c r="T3229" t="n">
        <v>0</v>
      </c>
      <c r="U3229" t="n">
        <v>0</v>
      </c>
      <c r="V3229" s="2" t="inlineStr"/>
    </row>
    <row r="3230" ht="15" customHeight="1">
      <c r="A3230" t="inlineStr">
        <is>
          <t>A 34012-2025</t>
        </is>
      </c>
      <c r="B3230" t="inlineStr">
        <is>
          <t>avverkningsanmälan</t>
        </is>
      </c>
      <c r="C3230" t="inlineStr">
        <is>
          <t>Föryngringsavverkning</t>
        </is>
      </c>
      <c r="D3230" s="1" t="n">
        <v>45844</v>
      </c>
      <c r="E3230" s="1" t="n">
        <v>46313</v>
      </c>
      <c r="F3230" t="inlineStr">
        <is>
          <t>SÖDERMANLANDS LÄN</t>
        </is>
      </c>
      <c r="G3230" t="inlineStr">
        <is>
          <t>NYKÖPING</t>
        </is>
      </c>
      <c r="I3230" t="n">
        <v>0.6</v>
      </c>
      <c r="J3230" t="n">
        <v>0</v>
      </c>
      <c r="K3230" t="n">
        <v>0</v>
      </c>
      <c r="L3230" t="n">
        <v>0</v>
      </c>
      <c r="M3230" t="n">
        <v>0</v>
      </c>
      <c r="N3230" t="n">
        <v>0</v>
      </c>
      <c r="O3230" t="n">
        <v>0</v>
      </c>
      <c r="P3230" t="n">
        <v>0</v>
      </c>
      <c r="Q3230" t="n">
        <v>0</v>
      </c>
      <c r="R3230" t="n">
        <v>0</v>
      </c>
      <c r="S3230" t="n">
        <v>0</v>
      </c>
      <c r="T3230" t="n">
        <v>0</v>
      </c>
      <c r="U3230" t="n">
        <v>0</v>
      </c>
      <c r="V3230" s="2" t="inlineStr"/>
    </row>
    <row r="3231" ht="15" customHeight="1">
      <c r="A3231" t="inlineStr">
        <is>
          <t>A 34425-2023</t>
        </is>
      </c>
      <c r="B3231" t="inlineStr">
        <is>
          <t>avverkningsanmälan</t>
        </is>
      </c>
      <c r="C3231" t="inlineStr">
        <is>
          <t>Föryngringsavverkning</t>
        </is>
      </c>
      <c r="D3231" s="1" t="n">
        <v>45133</v>
      </c>
      <c r="E3231" s="1" t="n">
        <v>46313</v>
      </c>
      <c r="F3231" t="inlineStr">
        <is>
          <t>SÖDERMANLANDS LÄN</t>
        </is>
      </c>
      <c r="G3231" t="inlineStr">
        <is>
          <t>GNESTA</t>
        </is>
      </c>
      <c r="I3231" t="n">
        <v>4.4</v>
      </c>
      <c r="J3231" t="n">
        <v>0</v>
      </c>
      <c r="K3231" t="n">
        <v>0</v>
      </c>
      <c r="L3231" t="n">
        <v>0</v>
      </c>
      <c r="M3231" t="n">
        <v>0</v>
      </c>
      <c r="N3231" t="n">
        <v>0</v>
      </c>
      <c r="O3231" t="n">
        <v>0</v>
      </c>
      <c r="P3231" t="n">
        <v>0</v>
      </c>
      <c r="Q3231" t="n">
        <v>0</v>
      </c>
      <c r="R3231" t="n">
        <v>0</v>
      </c>
      <c r="S3231" t="n">
        <v>0</v>
      </c>
      <c r="T3231" t="n">
        <v>0</v>
      </c>
      <c r="U3231" t="n">
        <v>0</v>
      </c>
      <c r="V3231" s="2" t="inlineStr"/>
    </row>
    <row r="3232" ht="15" customHeight="1">
      <c r="A3232" t="inlineStr">
        <is>
          <t>A 20213-2025</t>
        </is>
      </c>
      <c r="B3232" t="inlineStr">
        <is>
          <t>avverkningsanmälan</t>
        </is>
      </c>
      <c r="C3232" t="inlineStr">
        <is>
          <t>Föryngringsavverkning</t>
        </is>
      </c>
      <c r="D3232" s="1" t="n">
        <v>45772</v>
      </c>
      <c r="E3232" s="1" t="n">
        <v>46313</v>
      </c>
      <c r="F3232" t="inlineStr">
        <is>
          <t>SÖDERMANLANDS LÄN</t>
        </is>
      </c>
      <c r="G3232" t="inlineStr">
        <is>
          <t>KATRINEHOLM</t>
        </is>
      </c>
      <c r="I3232" t="n">
        <v>8.199999999999999</v>
      </c>
      <c r="J3232" t="n">
        <v>0</v>
      </c>
      <c r="K3232" t="n">
        <v>0</v>
      </c>
      <c r="L3232" t="n">
        <v>0</v>
      </c>
      <c r="M3232" t="n">
        <v>0</v>
      </c>
      <c r="N3232" t="n">
        <v>0</v>
      </c>
      <c r="O3232" t="n">
        <v>0</v>
      </c>
      <c r="P3232" t="n">
        <v>0</v>
      </c>
      <c r="Q3232" t="n">
        <v>0</v>
      </c>
      <c r="R3232" t="n">
        <v>0</v>
      </c>
      <c r="S3232" t="n">
        <v>0</v>
      </c>
      <c r="T3232" t="n">
        <v>0</v>
      </c>
      <c r="U3232" t="n">
        <v>0</v>
      </c>
      <c r="V3232" s="2" t="inlineStr"/>
    </row>
    <row r="3233" ht="15" customHeight="1">
      <c r="A3233" t="inlineStr">
        <is>
          <t>A 33762-2025</t>
        </is>
      </c>
      <c r="B3233" t="inlineStr">
        <is>
          <t>avverkningsanmälan</t>
        </is>
      </c>
      <c r="C3233" t="inlineStr">
        <is>
          <t>Föryngringsavverkning</t>
        </is>
      </c>
      <c r="D3233" s="1" t="n">
        <v>45842</v>
      </c>
      <c r="E3233" s="1" t="n">
        <v>46313</v>
      </c>
      <c r="F3233" t="inlineStr">
        <is>
          <t>SÖDERMANLANDS LÄN</t>
        </is>
      </c>
      <c r="G3233" t="inlineStr">
        <is>
          <t>NYKÖPING</t>
        </is>
      </c>
      <c r="I3233" t="n">
        <v>1.2</v>
      </c>
      <c r="J3233" t="n">
        <v>0</v>
      </c>
      <c r="K3233" t="n">
        <v>0</v>
      </c>
      <c r="L3233" t="n">
        <v>0</v>
      </c>
      <c r="M3233" t="n">
        <v>0</v>
      </c>
      <c r="N3233" t="n">
        <v>0</v>
      </c>
      <c r="O3233" t="n">
        <v>0</v>
      </c>
      <c r="P3233" t="n">
        <v>0</v>
      </c>
      <c r="Q3233" t="n">
        <v>0</v>
      </c>
      <c r="R3233" t="n">
        <v>0</v>
      </c>
      <c r="S3233" t="n">
        <v>0</v>
      </c>
      <c r="T3233" t="n">
        <v>0</v>
      </c>
      <c r="U3233" t="n">
        <v>0</v>
      </c>
      <c r="V3233" s="2" t="inlineStr"/>
    </row>
    <row r="3234" ht="15" customHeight="1">
      <c r="A3234" t="inlineStr">
        <is>
          <t>A 25493-2025</t>
        </is>
      </c>
      <c r="B3234" t="inlineStr">
        <is>
          <t>avverkningsanmälan</t>
        </is>
      </c>
      <c r="C3234" t="inlineStr">
        <is>
          <t>Föryngringsavverkning</t>
        </is>
      </c>
      <c r="D3234" s="1" t="n">
        <v>45803</v>
      </c>
      <c r="E3234" s="1" t="n">
        <v>46313</v>
      </c>
      <c r="F3234" t="inlineStr">
        <is>
          <t>SÖDERMANLANDS LÄN</t>
        </is>
      </c>
      <c r="G3234" t="inlineStr">
        <is>
          <t>VINGÅKER</t>
        </is>
      </c>
      <c r="I3234" t="n">
        <v>2.1</v>
      </c>
      <c r="J3234" t="n">
        <v>0</v>
      </c>
      <c r="K3234" t="n">
        <v>0</v>
      </c>
      <c r="L3234" t="n">
        <v>0</v>
      </c>
      <c r="M3234" t="n">
        <v>0</v>
      </c>
      <c r="N3234" t="n">
        <v>0</v>
      </c>
      <c r="O3234" t="n">
        <v>0</v>
      </c>
      <c r="P3234" t="n">
        <v>0</v>
      </c>
      <c r="Q3234" t="n">
        <v>0</v>
      </c>
      <c r="R3234" t="n">
        <v>0</v>
      </c>
      <c r="S3234" t="n">
        <v>0</v>
      </c>
      <c r="T3234" t="n">
        <v>0</v>
      </c>
      <c r="U3234" t="n">
        <v>0</v>
      </c>
      <c r="V3234" s="2" t="inlineStr"/>
    </row>
    <row r="3235" ht="15" customHeight="1">
      <c r="A3235" t="inlineStr">
        <is>
          <t>A 18241-2022</t>
        </is>
      </c>
      <c r="B3235" t="inlineStr">
        <is>
          <t>avverkningsanmälan</t>
        </is>
      </c>
      <c r="C3235" t="inlineStr">
        <is>
          <t>Föryngringsavverkning</t>
        </is>
      </c>
      <c r="D3235" s="1" t="n">
        <v>44685</v>
      </c>
      <c r="E3235" s="1" t="n">
        <v>46313</v>
      </c>
      <c r="F3235" t="inlineStr">
        <is>
          <t>SÖDERMANLANDS LÄN</t>
        </is>
      </c>
      <c r="G3235" t="inlineStr">
        <is>
          <t>VINGÅKER</t>
        </is>
      </c>
      <c r="I3235" t="n">
        <v>2.1</v>
      </c>
      <c r="J3235" t="n">
        <v>0</v>
      </c>
      <c r="K3235" t="n">
        <v>0</v>
      </c>
      <c r="L3235" t="n">
        <v>0</v>
      </c>
      <c r="M3235" t="n">
        <v>0</v>
      </c>
      <c r="N3235" t="n">
        <v>0</v>
      </c>
      <c r="O3235" t="n">
        <v>0</v>
      </c>
      <c r="P3235" t="n">
        <v>0</v>
      </c>
      <c r="Q3235" t="n">
        <v>0</v>
      </c>
      <c r="R3235" t="n">
        <v>0</v>
      </c>
      <c r="S3235" t="n">
        <v>0</v>
      </c>
      <c r="T3235" t="n">
        <v>0</v>
      </c>
      <c r="U3235" t="n">
        <v>0</v>
      </c>
      <c r="V3235" s="2" t="inlineStr"/>
    </row>
    <row r="3236" ht="15" customHeight="1">
      <c r="A3236" t="inlineStr">
        <is>
          <t>A 35157-2025</t>
        </is>
      </c>
      <c r="B3236" t="inlineStr">
        <is>
          <t>avverkningsanmälan</t>
        </is>
      </c>
      <c r="C3236" t="inlineStr">
        <is>
          <t>Föryngringsavverkning</t>
        </is>
      </c>
      <c r="D3236" s="1" t="n">
        <v>45852</v>
      </c>
      <c r="E3236" s="1" t="n">
        <v>46313</v>
      </c>
      <c r="F3236" t="inlineStr">
        <is>
          <t>SÖDERMANLANDS LÄN</t>
        </is>
      </c>
      <c r="G3236" t="inlineStr">
        <is>
          <t>KATRINEHOLM</t>
        </is>
      </c>
      <c r="I3236" t="n">
        <v>3.7</v>
      </c>
      <c r="J3236" t="n">
        <v>0</v>
      </c>
      <c r="K3236" t="n">
        <v>0</v>
      </c>
      <c r="L3236" t="n">
        <v>0</v>
      </c>
      <c r="M3236" t="n">
        <v>0</v>
      </c>
      <c r="N3236" t="n">
        <v>0</v>
      </c>
      <c r="O3236" t="n">
        <v>0</v>
      </c>
      <c r="P3236" t="n">
        <v>0</v>
      </c>
      <c r="Q3236" t="n">
        <v>0</v>
      </c>
      <c r="R3236" t="n">
        <v>0</v>
      </c>
      <c r="S3236" t="n">
        <v>0</v>
      </c>
      <c r="T3236" t="n">
        <v>0</v>
      </c>
      <c r="U3236" t="n">
        <v>0</v>
      </c>
      <c r="V3236" s="2" t="inlineStr"/>
    </row>
    <row r="3237" ht="15" customHeight="1">
      <c r="A3237" t="inlineStr">
        <is>
          <t>A 7312-2025</t>
        </is>
      </c>
      <c r="B3237" t="inlineStr">
        <is>
          <t>avverkningsanmälan</t>
        </is>
      </c>
      <c r="C3237" t="inlineStr">
        <is>
          <t>Föryngringsavverkning</t>
        </is>
      </c>
      <c r="D3237" s="1" t="n">
        <v>45702</v>
      </c>
      <c r="E3237" s="1" t="n">
        <v>46313</v>
      </c>
      <c r="F3237" t="inlineStr">
        <is>
          <t>SÖDERMANLANDS LÄN</t>
        </is>
      </c>
      <c r="G3237" t="inlineStr">
        <is>
          <t>FLEN</t>
        </is>
      </c>
      <c r="I3237" t="n">
        <v>7.4</v>
      </c>
      <c r="J3237" t="n">
        <v>0</v>
      </c>
      <c r="K3237" t="n">
        <v>0</v>
      </c>
      <c r="L3237" t="n">
        <v>0</v>
      </c>
      <c r="M3237" t="n">
        <v>0</v>
      </c>
      <c r="N3237" t="n">
        <v>0</v>
      </c>
      <c r="O3237" t="n">
        <v>0</v>
      </c>
      <c r="P3237" t="n">
        <v>0</v>
      </c>
      <c r="Q3237" t="n">
        <v>0</v>
      </c>
      <c r="R3237" t="n">
        <v>0</v>
      </c>
      <c r="S3237" t="n">
        <v>0</v>
      </c>
      <c r="T3237" t="n">
        <v>0</v>
      </c>
      <c r="U3237" t="n">
        <v>0</v>
      </c>
      <c r="V3237" s="2" t="inlineStr"/>
    </row>
    <row r="3238" ht="15" customHeight="1">
      <c r="A3238" t="inlineStr">
        <is>
          <t>A 12714-2025</t>
        </is>
      </c>
      <c r="B3238" t="inlineStr">
        <is>
          <t>avverkningsanmälan</t>
        </is>
      </c>
      <c r="C3238" t="inlineStr">
        <is>
          <t>Föryngringsavverkning</t>
        </is>
      </c>
      <c r="D3238" s="1" t="n">
        <v>45733</v>
      </c>
      <c r="E3238" s="1" t="n">
        <v>46313</v>
      </c>
      <c r="F3238" t="inlineStr">
        <is>
          <t>SÖDERMANLANDS LÄN</t>
        </is>
      </c>
      <c r="G3238" t="inlineStr">
        <is>
          <t>VINGÅKER</t>
        </is>
      </c>
      <c r="I3238" t="n">
        <v>1.8</v>
      </c>
      <c r="J3238" t="n">
        <v>0</v>
      </c>
      <c r="K3238" t="n">
        <v>0</v>
      </c>
      <c r="L3238" t="n">
        <v>0</v>
      </c>
      <c r="M3238" t="n">
        <v>0</v>
      </c>
      <c r="N3238" t="n">
        <v>0</v>
      </c>
      <c r="O3238" t="n">
        <v>0</v>
      </c>
      <c r="P3238" t="n">
        <v>0</v>
      </c>
      <c r="Q3238" t="n">
        <v>0</v>
      </c>
      <c r="R3238" t="n">
        <v>0</v>
      </c>
      <c r="S3238" t="n">
        <v>0</v>
      </c>
      <c r="T3238" t="n">
        <v>0</v>
      </c>
      <c r="U3238" t="n">
        <v>0</v>
      </c>
      <c r="V3238" s="2" t="inlineStr"/>
    </row>
    <row r="3239" ht="15" customHeight="1">
      <c r="A3239" t="inlineStr">
        <is>
          <t>A 13763-2025</t>
        </is>
      </c>
      <c r="B3239" t="inlineStr">
        <is>
          <t>avverkningsanmälan</t>
        </is>
      </c>
      <c r="C3239" t="inlineStr">
        <is>
          <t>Föryngringsavverkning</t>
        </is>
      </c>
      <c r="D3239" s="1" t="n">
        <v>45737</v>
      </c>
      <c r="E3239" s="1" t="n">
        <v>46313</v>
      </c>
      <c r="F3239" t="inlineStr">
        <is>
          <t>SÖDERMANLANDS LÄN</t>
        </is>
      </c>
      <c r="G3239" t="inlineStr">
        <is>
          <t>NYKÖPING</t>
        </is>
      </c>
      <c r="I3239" t="n">
        <v>0.7</v>
      </c>
      <c r="J3239" t="n">
        <v>0</v>
      </c>
      <c r="K3239" t="n">
        <v>0</v>
      </c>
      <c r="L3239" t="n">
        <v>0</v>
      </c>
      <c r="M3239" t="n">
        <v>0</v>
      </c>
      <c r="N3239" t="n">
        <v>0</v>
      </c>
      <c r="O3239" t="n">
        <v>0</v>
      </c>
      <c r="P3239" t="n">
        <v>0</v>
      </c>
      <c r="Q3239" t="n">
        <v>0</v>
      </c>
      <c r="R3239" t="n">
        <v>0</v>
      </c>
      <c r="S3239" t="n">
        <v>0</v>
      </c>
      <c r="T3239" t="n">
        <v>0</v>
      </c>
      <c r="U3239" t="n">
        <v>0</v>
      </c>
      <c r="V3239" s="2" t="inlineStr"/>
    </row>
    <row r="3240" ht="15" customHeight="1">
      <c r="A3240" t="inlineStr">
        <is>
          <t>A 12295-2025</t>
        </is>
      </c>
      <c r="B3240" t="inlineStr">
        <is>
          <t>avverkningsanmälan</t>
        </is>
      </c>
      <c r="C3240" t="inlineStr">
        <is>
          <t>Föryngringsavverkning</t>
        </is>
      </c>
      <c r="D3240" s="1" t="n">
        <v>45729</v>
      </c>
      <c r="E3240" s="1" t="n">
        <v>46313</v>
      </c>
      <c r="F3240" t="inlineStr">
        <is>
          <t>SÖDERMANLANDS LÄN</t>
        </is>
      </c>
      <c r="G3240" t="inlineStr">
        <is>
          <t>FLEN</t>
        </is>
      </c>
      <c r="I3240" t="n">
        <v>4</v>
      </c>
      <c r="J3240" t="n">
        <v>0</v>
      </c>
      <c r="K3240" t="n">
        <v>0</v>
      </c>
      <c r="L3240" t="n">
        <v>0</v>
      </c>
      <c r="M3240" t="n">
        <v>0</v>
      </c>
      <c r="N3240" t="n">
        <v>0</v>
      </c>
      <c r="O3240" t="n">
        <v>0</v>
      </c>
      <c r="P3240" t="n">
        <v>0</v>
      </c>
      <c r="Q3240" t="n">
        <v>0</v>
      </c>
      <c r="R3240" t="n">
        <v>0</v>
      </c>
      <c r="S3240" t="n">
        <v>0</v>
      </c>
      <c r="T3240" t="n">
        <v>0</v>
      </c>
      <c r="U3240" t="n">
        <v>0</v>
      </c>
      <c r="V3240" s="2" t="inlineStr"/>
    </row>
    <row r="3241" ht="15" customHeight="1">
      <c r="A3241" t="inlineStr">
        <is>
          <t>A 35158-2025</t>
        </is>
      </c>
      <c r="B3241" t="inlineStr">
        <is>
          <t>avverkningsanmälan</t>
        </is>
      </c>
      <c r="C3241" t="inlineStr">
        <is>
          <t>Föryngringsavverkning</t>
        </is>
      </c>
      <c r="D3241" s="1" t="n">
        <v>45852</v>
      </c>
      <c r="E3241" s="1" t="n">
        <v>46313</v>
      </c>
      <c r="F3241" t="inlineStr">
        <is>
          <t>SÖDERMANLANDS LÄN</t>
        </is>
      </c>
      <c r="G3241" t="inlineStr">
        <is>
          <t>KATRINEHOLM</t>
        </is>
      </c>
      <c r="I3241" t="n">
        <v>1.2</v>
      </c>
      <c r="J3241" t="n">
        <v>0</v>
      </c>
      <c r="K3241" t="n">
        <v>0</v>
      </c>
      <c r="L3241" t="n">
        <v>0</v>
      </c>
      <c r="M3241" t="n">
        <v>0</v>
      </c>
      <c r="N3241" t="n">
        <v>0</v>
      </c>
      <c r="O3241" t="n">
        <v>0</v>
      </c>
      <c r="P3241" t="n">
        <v>0</v>
      </c>
      <c r="Q3241" t="n">
        <v>0</v>
      </c>
      <c r="R3241" t="n">
        <v>0</v>
      </c>
      <c r="S3241" t="n">
        <v>0</v>
      </c>
      <c r="T3241" t="n">
        <v>0</v>
      </c>
      <c r="U3241" t="n">
        <v>0</v>
      </c>
      <c r="V3241" s="2" t="inlineStr"/>
    </row>
    <row r="3242" ht="15" customHeight="1">
      <c r="A3242" t="inlineStr">
        <is>
          <t>A 35370-2025</t>
        </is>
      </c>
      <c r="B3242" t="inlineStr">
        <is>
          <t>avverkningsanmälan</t>
        </is>
      </c>
      <c r="C3242" t="inlineStr">
        <is>
          <t>Föryngringsavverkning</t>
        </is>
      </c>
      <c r="D3242" s="1" t="n">
        <v>45854</v>
      </c>
      <c r="E3242" s="1" t="n">
        <v>46313</v>
      </c>
      <c r="F3242" t="inlineStr">
        <is>
          <t>SÖDERMANLANDS LÄN</t>
        </is>
      </c>
      <c r="G3242" t="inlineStr">
        <is>
          <t>STRÄNGNÄS</t>
        </is>
      </c>
      <c r="I3242" t="n">
        <v>0.8</v>
      </c>
      <c r="J3242" t="n">
        <v>0</v>
      </c>
      <c r="K3242" t="n">
        <v>0</v>
      </c>
      <c r="L3242" t="n">
        <v>0</v>
      </c>
      <c r="M3242" t="n">
        <v>0</v>
      </c>
      <c r="N3242" t="n">
        <v>0</v>
      </c>
      <c r="O3242" t="n">
        <v>0</v>
      </c>
      <c r="P3242" t="n">
        <v>0</v>
      </c>
      <c r="Q3242" t="n">
        <v>0</v>
      </c>
      <c r="R3242" t="n">
        <v>0</v>
      </c>
      <c r="S3242" t="n">
        <v>0</v>
      </c>
      <c r="T3242" t="n">
        <v>0</v>
      </c>
      <c r="U3242" t="n">
        <v>0</v>
      </c>
      <c r="V3242" s="2" t="inlineStr"/>
    </row>
    <row r="3243" ht="15" customHeight="1">
      <c r="A3243" t="inlineStr">
        <is>
          <t>A 30477-2024</t>
        </is>
      </c>
      <c r="B3243" t="inlineStr">
        <is>
          <t>avverkningsanmälan</t>
        </is>
      </c>
      <c r="C3243" t="inlineStr">
        <is>
          <t>Avverkning för annat ändamål</t>
        </is>
      </c>
      <c r="D3243" s="1" t="n">
        <v>45491</v>
      </c>
      <c r="E3243" s="1" t="n">
        <v>46313</v>
      </c>
      <c r="F3243" t="inlineStr">
        <is>
          <t>SÖDERMANLANDS LÄN</t>
        </is>
      </c>
      <c r="G3243" t="inlineStr">
        <is>
          <t>STRÄNGNÄS</t>
        </is>
      </c>
      <c r="I3243" t="n">
        <v>2.2</v>
      </c>
      <c r="J3243" t="n">
        <v>0</v>
      </c>
      <c r="K3243" t="n">
        <v>0</v>
      </c>
      <c r="L3243" t="n">
        <v>0</v>
      </c>
      <c r="M3243" t="n">
        <v>0</v>
      </c>
      <c r="N3243" t="n">
        <v>0</v>
      </c>
      <c r="O3243" t="n">
        <v>0</v>
      </c>
      <c r="P3243" t="n">
        <v>0</v>
      </c>
      <c r="Q3243" t="n">
        <v>0</v>
      </c>
      <c r="R3243" t="n">
        <v>0</v>
      </c>
      <c r="S3243" t="n">
        <v>0</v>
      </c>
      <c r="T3243" t="n">
        <v>0</v>
      </c>
      <c r="U3243" t="n">
        <v>0</v>
      </c>
      <c r="V3243" s="2" t="inlineStr"/>
    </row>
    <row r="3244" ht="15" customHeight="1">
      <c r="A3244" t="inlineStr">
        <is>
          <t>A 34176-2025</t>
        </is>
      </c>
      <c r="B3244" t="inlineStr">
        <is>
          <t>avverkningsanmälan</t>
        </is>
      </c>
      <c r="C3244" t="inlineStr">
        <is>
          <t>Avverkning för annat ändamål</t>
        </is>
      </c>
      <c r="D3244" s="1" t="n">
        <v>45845</v>
      </c>
      <c r="E3244" s="1" t="n">
        <v>46313</v>
      </c>
      <c r="F3244" t="inlineStr">
        <is>
          <t>SÖDERMANLANDS LÄN</t>
        </is>
      </c>
      <c r="G3244" t="inlineStr">
        <is>
          <t>KATRINEHOLM</t>
        </is>
      </c>
      <c r="I3244" t="n">
        <v>0.5</v>
      </c>
      <c r="J3244" t="n">
        <v>0</v>
      </c>
      <c r="K3244" t="n">
        <v>0</v>
      </c>
      <c r="L3244" t="n">
        <v>0</v>
      </c>
      <c r="M3244" t="n">
        <v>0</v>
      </c>
      <c r="N3244" t="n">
        <v>0</v>
      </c>
      <c r="O3244" t="n">
        <v>0</v>
      </c>
      <c r="P3244" t="n">
        <v>0</v>
      </c>
      <c r="Q3244" t="n">
        <v>0</v>
      </c>
      <c r="R3244" t="n">
        <v>0</v>
      </c>
      <c r="S3244" t="n">
        <v>0</v>
      </c>
      <c r="T3244" t="n">
        <v>0</v>
      </c>
      <c r="U3244" t="n">
        <v>0</v>
      </c>
      <c r="V3244" s="2" t="inlineStr"/>
    </row>
    <row r="3245" ht="15" customHeight="1">
      <c r="A3245" t="inlineStr">
        <is>
          <t>A 35732-2025</t>
        </is>
      </c>
      <c r="B3245" t="inlineStr">
        <is>
          <t>avverkningsanmälan</t>
        </is>
      </c>
      <c r="C3245" t="inlineStr">
        <is>
          <t>Föryngringsavverkning</t>
        </is>
      </c>
      <c r="D3245" s="1" t="n">
        <v>45860</v>
      </c>
      <c r="E3245" s="1" t="n">
        <v>46313</v>
      </c>
      <c r="F3245" t="inlineStr">
        <is>
          <t>SÖDERMANLANDS LÄN</t>
        </is>
      </c>
      <c r="G3245" t="inlineStr">
        <is>
          <t>NYKÖPING</t>
        </is>
      </c>
      <c r="H3245" t="inlineStr">
        <is>
          <t>Holmen skog AB</t>
        </is>
      </c>
      <c r="I3245" t="n">
        <v>2</v>
      </c>
      <c r="J3245" t="n">
        <v>0</v>
      </c>
      <c r="K3245" t="n">
        <v>0</v>
      </c>
      <c r="L3245" t="n">
        <v>0</v>
      </c>
      <c r="M3245" t="n">
        <v>0</v>
      </c>
      <c r="N3245" t="n">
        <v>0</v>
      </c>
      <c r="O3245" t="n">
        <v>0</v>
      </c>
      <c r="P3245" t="n">
        <v>0</v>
      </c>
      <c r="Q3245" t="n">
        <v>0</v>
      </c>
      <c r="R3245" t="n">
        <v>0</v>
      </c>
      <c r="S3245" t="n">
        <v>0</v>
      </c>
      <c r="T3245" t="n">
        <v>0</v>
      </c>
      <c r="U3245" t="n">
        <v>0</v>
      </c>
      <c r="V3245" s="2" t="inlineStr"/>
    </row>
    <row r="3246" ht="15" customHeight="1">
      <c r="A3246" t="inlineStr">
        <is>
          <t>A 51547-2024</t>
        </is>
      </c>
      <c r="B3246" t="inlineStr">
        <is>
          <t>avverkningsanmälan</t>
        </is>
      </c>
      <c r="C3246" t="inlineStr">
        <is>
          <t>Föryngringsavverkning</t>
        </is>
      </c>
      <c r="D3246" s="1" t="n">
        <v>45604</v>
      </c>
      <c r="E3246" s="1" t="n">
        <v>46313</v>
      </c>
      <c r="F3246" t="inlineStr">
        <is>
          <t>SÖDERMANLANDS LÄN</t>
        </is>
      </c>
      <c r="G3246" t="inlineStr">
        <is>
          <t>ESKILSTUNA</t>
        </is>
      </c>
      <c r="I3246" t="n">
        <v>4.6</v>
      </c>
      <c r="J3246" t="n">
        <v>0</v>
      </c>
      <c r="K3246" t="n">
        <v>0</v>
      </c>
      <c r="L3246" t="n">
        <v>0</v>
      </c>
      <c r="M3246" t="n">
        <v>0</v>
      </c>
      <c r="N3246" t="n">
        <v>0</v>
      </c>
      <c r="O3246" t="n">
        <v>0</v>
      </c>
      <c r="P3246" t="n">
        <v>0</v>
      </c>
      <c r="Q3246" t="n">
        <v>0</v>
      </c>
      <c r="R3246" t="n">
        <v>0</v>
      </c>
      <c r="S3246" t="n">
        <v>0</v>
      </c>
      <c r="T3246" t="n">
        <v>0</v>
      </c>
      <c r="U3246" t="n">
        <v>0</v>
      </c>
      <c r="V3246" s="2" t="inlineStr"/>
    </row>
    <row r="3247" ht="15" customHeight="1">
      <c r="A3247" t="inlineStr">
        <is>
          <t>A 57863-2022</t>
        </is>
      </c>
      <c r="B3247" t="inlineStr">
        <is>
          <t>avverkningsanmälan</t>
        </is>
      </c>
      <c r="C3247" t="inlineStr">
        <is>
          <t>Föryngringsavverkning</t>
        </is>
      </c>
      <c r="D3247" s="1" t="n">
        <v>44899</v>
      </c>
      <c r="E3247" s="1" t="n">
        <v>46313</v>
      </c>
      <c r="F3247" t="inlineStr">
        <is>
          <t>SÖDERMANLANDS LÄN</t>
        </is>
      </c>
      <c r="G3247" t="inlineStr">
        <is>
          <t>FLEN</t>
        </is>
      </c>
      <c r="I3247" t="n">
        <v>0.7</v>
      </c>
      <c r="J3247" t="n">
        <v>0</v>
      </c>
      <c r="K3247" t="n">
        <v>0</v>
      </c>
      <c r="L3247" t="n">
        <v>0</v>
      </c>
      <c r="M3247" t="n">
        <v>0</v>
      </c>
      <c r="N3247" t="n">
        <v>0</v>
      </c>
      <c r="O3247" t="n">
        <v>0</v>
      </c>
      <c r="P3247" t="n">
        <v>0</v>
      </c>
      <c r="Q3247" t="n">
        <v>0</v>
      </c>
      <c r="R3247" t="n">
        <v>0</v>
      </c>
      <c r="S3247" t="n">
        <v>0</v>
      </c>
      <c r="T3247" t="n">
        <v>0</v>
      </c>
      <c r="U3247" t="n">
        <v>0</v>
      </c>
      <c r="V3247" s="2" t="inlineStr"/>
    </row>
    <row r="3248" ht="15" customHeight="1">
      <c r="A3248" t="inlineStr">
        <is>
          <t>A 2687-2023</t>
        </is>
      </c>
      <c r="B3248" t="inlineStr">
        <is>
          <t>avverkningsanmälan</t>
        </is>
      </c>
      <c r="C3248" t="inlineStr">
        <is>
          <t>Föryngringsavverkning</t>
        </is>
      </c>
      <c r="D3248" s="1" t="n">
        <v>44944</v>
      </c>
      <c r="E3248" s="1" t="n">
        <v>46313</v>
      </c>
      <c r="F3248" t="inlineStr">
        <is>
          <t>SÖDERMANLANDS LÄN</t>
        </is>
      </c>
      <c r="G3248" t="inlineStr">
        <is>
          <t>NYKÖPING</t>
        </is>
      </c>
      <c r="I3248" t="n">
        <v>14.9</v>
      </c>
      <c r="J3248" t="n">
        <v>0</v>
      </c>
      <c r="K3248" t="n">
        <v>0</v>
      </c>
      <c r="L3248" t="n">
        <v>0</v>
      </c>
      <c r="M3248" t="n">
        <v>0</v>
      </c>
      <c r="N3248" t="n">
        <v>0</v>
      </c>
      <c r="O3248" t="n">
        <v>0</v>
      </c>
      <c r="P3248" t="n">
        <v>0</v>
      </c>
      <c r="Q3248" t="n">
        <v>0</v>
      </c>
      <c r="R3248" t="n">
        <v>0</v>
      </c>
      <c r="S3248" t="n">
        <v>0</v>
      </c>
      <c r="T3248" t="n">
        <v>0</v>
      </c>
      <c r="U3248" t="n">
        <v>0</v>
      </c>
      <c r="V3248" s="2" t="inlineStr"/>
    </row>
    <row r="3249" ht="15" customHeight="1">
      <c r="A3249" t="inlineStr">
        <is>
          <t>A 12227-2025</t>
        </is>
      </c>
      <c r="B3249" t="inlineStr">
        <is>
          <t>avverkningsanmälan</t>
        </is>
      </c>
      <c r="C3249" t="inlineStr">
        <is>
          <t>Föryngringsavverkning</t>
        </is>
      </c>
      <c r="D3249" s="1" t="n">
        <v>45729</v>
      </c>
      <c r="E3249" s="1" t="n">
        <v>46313</v>
      </c>
      <c r="F3249" t="inlineStr">
        <is>
          <t>SÖDERMANLANDS LÄN</t>
        </is>
      </c>
      <c r="G3249" t="inlineStr">
        <is>
          <t>KATRINEHOLM</t>
        </is>
      </c>
      <c r="I3249" t="n">
        <v>7</v>
      </c>
      <c r="J3249" t="n">
        <v>0</v>
      </c>
      <c r="K3249" t="n">
        <v>0</v>
      </c>
      <c r="L3249" t="n">
        <v>0</v>
      </c>
      <c r="M3249" t="n">
        <v>0</v>
      </c>
      <c r="N3249" t="n">
        <v>0</v>
      </c>
      <c r="O3249" t="n">
        <v>0</v>
      </c>
      <c r="P3249" t="n">
        <v>0</v>
      </c>
      <c r="Q3249" t="n">
        <v>0</v>
      </c>
      <c r="R3249" t="n">
        <v>0</v>
      </c>
      <c r="S3249" t="n">
        <v>0</v>
      </c>
      <c r="T3249" t="n">
        <v>0</v>
      </c>
      <c r="U3249" t="n">
        <v>0</v>
      </c>
      <c r="V3249" s="2" t="inlineStr"/>
    </row>
    <row r="3250" ht="15" customHeight="1">
      <c r="A3250" t="inlineStr">
        <is>
          <t>A 36843-2025</t>
        </is>
      </c>
      <c r="B3250" t="inlineStr">
        <is>
          <t>avverkningsanmälan</t>
        </is>
      </c>
      <c r="C3250" t="inlineStr">
        <is>
          <t>Föryngringsavverkning</t>
        </is>
      </c>
      <c r="D3250" s="1" t="n">
        <v>45874</v>
      </c>
      <c r="E3250" s="1" t="n">
        <v>46313</v>
      </c>
      <c r="F3250" t="inlineStr">
        <is>
          <t>SÖDERMANLANDS LÄN</t>
        </is>
      </c>
      <c r="G3250" t="inlineStr">
        <is>
          <t>GNESTA</t>
        </is>
      </c>
      <c r="I3250" t="n">
        <v>0.7</v>
      </c>
      <c r="J3250" t="n">
        <v>0</v>
      </c>
      <c r="K3250" t="n">
        <v>0</v>
      </c>
      <c r="L3250" t="n">
        <v>0</v>
      </c>
      <c r="M3250" t="n">
        <v>0</v>
      </c>
      <c r="N3250" t="n">
        <v>0</v>
      </c>
      <c r="O3250" t="n">
        <v>0</v>
      </c>
      <c r="P3250" t="n">
        <v>0</v>
      </c>
      <c r="Q3250" t="n">
        <v>0</v>
      </c>
      <c r="R3250" t="n">
        <v>0</v>
      </c>
      <c r="S3250" t="n">
        <v>0</v>
      </c>
      <c r="T3250" t="n">
        <v>0</v>
      </c>
      <c r="U3250" t="n">
        <v>0</v>
      </c>
      <c r="V3250" s="2" t="inlineStr"/>
    </row>
    <row r="3251" ht="15" customHeight="1">
      <c r="A3251" t="inlineStr">
        <is>
          <t>A 37043-2025</t>
        </is>
      </c>
      <c r="B3251" t="inlineStr">
        <is>
          <t>avverkningsanmälan</t>
        </is>
      </c>
      <c r="C3251" t="inlineStr">
        <is>
          <t>Föryngringsavverkning</t>
        </is>
      </c>
      <c r="D3251" s="1" t="n">
        <v>45875</v>
      </c>
      <c r="E3251" s="1" t="n">
        <v>46313</v>
      </c>
      <c r="F3251" t="inlineStr">
        <is>
          <t>SÖDERMANLANDS LÄN</t>
        </is>
      </c>
      <c r="G3251" t="inlineStr">
        <is>
          <t>KATRINEHOLM</t>
        </is>
      </c>
      <c r="I3251" t="n">
        <v>2.2</v>
      </c>
      <c r="J3251" t="n">
        <v>0</v>
      </c>
      <c r="K3251" t="n">
        <v>0</v>
      </c>
      <c r="L3251" t="n">
        <v>0</v>
      </c>
      <c r="M3251" t="n">
        <v>0</v>
      </c>
      <c r="N3251" t="n">
        <v>0</v>
      </c>
      <c r="O3251" t="n">
        <v>0</v>
      </c>
      <c r="P3251" t="n">
        <v>0</v>
      </c>
      <c r="Q3251" t="n">
        <v>0</v>
      </c>
      <c r="R3251" t="n">
        <v>0</v>
      </c>
      <c r="S3251" t="n">
        <v>0</v>
      </c>
      <c r="T3251" t="n">
        <v>0</v>
      </c>
      <c r="U3251" t="n">
        <v>0</v>
      </c>
      <c r="V3251" s="2" t="inlineStr"/>
    </row>
    <row r="3252" ht="15" customHeight="1">
      <c r="A3252" t="inlineStr">
        <is>
          <t>A 24519-2024</t>
        </is>
      </c>
      <c r="B3252" t="inlineStr">
        <is>
          <t>avverkningsanmälan</t>
        </is>
      </c>
      <c r="C3252" t="inlineStr">
        <is>
          <t>Föryngringsavverkning</t>
        </is>
      </c>
      <c r="D3252" s="1" t="n">
        <v>45460</v>
      </c>
      <c r="E3252" s="1" t="n">
        <v>46313</v>
      </c>
      <c r="F3252" t="inlineStr">
        <is>
          <t>SÖDERMANLANDS LÄN</t>
        </is>
      </c>
      <c r="G3252" t="inlineStr">
        <is>
          <t>ESKILSTUNA</t>
        </is>
      </c>
      <c r="I3252" t="n">
        <v>3.6</v>
      </c>
      <c r="J3252" t="n">
        <v>0</v>
      </c>
      <c r="K3252" t="n">
        <v>0</v>
      </c>
      <c r="L3252" t="n">
        <v>0</v>
      </c>
      <c r="M3252" t="n">
        <v>0</v>
      </c>
      <c r="N3252" t="n">
        <v>0</v>
      </c>
      <c r="O3252" t="n">
        <v>0</v>
      </c>
      <c r="P3252" t="n">
        <v>0</v>
      </c>
      <c r="Q3252" t="n">
        <v>0</v>
      </c>
      <c r="R3252" t="n">
        <v>0</v>
      </c>
      <c r="S3252" t="n">
        <v>0</v>
      </c>
      <c r="T3252" t="n">
        <v>0</v>
      </c>
      <c r="U3252" t="n">
        <v>0</v>
      </c>
      <c r="V3252" s="2" t="inlineStr"/>
    </row>
    <row r="3253" ht="15" customHeight="1">
      <c r="A3253" t="inlineStr">
        <is>
          <t>A 37147-2025</t>
        </is>
      </c>
      <c r="B3253" t="inlineStr">
        <is>
          <t>avverkningsanmälan</t>
        </is>
      </c>
      <c r="C3253" t="inlineStr">
        <is>
          <t>Föryngringsavverkning</t>
        </is>
      </c>
      <c r="D3253" s="1" t="n">
        <v>45875</v>
      </c>
      <c r="E3253" s="1" t="n">
        <v>46313</v>
      </c>
      <c r="F3253" t="inlineStr">
        <is>
          <t>SÖDERMANLANDS LÄN</t>
        </is>
      </c>
      <c r="G3253" t="inlineStr">
        <is>
          <t>ESKILSTUNA</t>
        </is>
      </c>
      <c r="I3253" t="n">
        <v>1</v>
      </c>
      <c r="J3253" t="n">
        <v>0</v>
      </c>
      <c r="K3253" t="n">
        <v>0</v>
      </c>
      <c r="L3253" t="n">
        <v>0</v>
      </c>
      <c r="M3253" t="n">
        <v>0</v>
      </c>
      <c r="N3253" t="n">
        <v>0</v>
      </c>
      <c r="O3253" t="n">
        <v>0</v>
      </c>
      <c r="P3253" t="n">
        <v>0</v>
      </c>
      <c r="Q3253" t="n">
        <v>0</v>
      </c>
      <c r="R3253" t="n">
        <v>0</v>
      </c>
      <c r="S3253" t="n">
        <v>0</v>
      </c>
      <c r="T3253" t="n">
        <v>0</v>
      </c>
      <c r="U3253" t="n">
        <v>0</v>
      </c>
      <c r="V3253" s="2" t="inlineStr"/>
    </row>
    <row r="3254" ht="15" customHeight="1">
      <c r="A3254" t="inlineStr">
        <is>
          <t>A 37502-2025</t>
        </is>
      </c>
      <c r="B3254" t="inlineStr">
        <is>
          <t>avverkningsanmälan</t>
        </is>
      </c>
      <c r="C3254" t="inlineStr">
        <is>
          <t>Föryngringsavverkning</t>
        </is>
      </c>
      <c r="D3254" s="1" t="n">
        <v>45877</v>
      </c>
      <c r="E3254" s="1" t="n">
        <v>46313</v>
      </c>
      <c r="F3254" t="inlineStr">
        <is>
          <t>SÖDERMANLANDS LÄN</t>
        </is>
      </c>
      <c r="G3254" t="inlineStr">
        <is>
          <t>GNESTA</t>
        </is>
      </c>
      <c r="I3254" t="n">
        <v>0.9</v>
      </c>
      <c r="J3254" t="n">
        <v>0</v>
      </c>
      <c r="K3254" t="n">
        <v>0</v>
      </c>
      <c r="L3254" t="n">
        <v>0</v>
      </c>
      <c r="M3254" t="n">
        <v>0</v>
      </c>
      <c r="N3254" t="n">
        <v>0</v>
      </c>
      <c r="O3254" t="n">
        <v>0</v>
      </c>
      <c r="P3254" t="n">
        <v>0</v>
      </c>
      <c r="Q3254" t="n">
        <v>0</v>
      </c>
      <c r="R3254" t="n">
        <v>0</v>
      </c>
      <c r="S3254" t="n">
        <v>0</v>
      </c>
      <c r="T3254" t="n">
        <v>0</v>
      </c>
      <c r="U3254" t="n">
        <v>0</v>
      </c>
      <c r="V3254" s="2" t="inlineStr"/>
    </row>
    <row r="3255" ht="15" customHeight="1">
      <c r="A3255" t="inlineStr">
        <is>
          <t>A 37740-2025</t>
        </is>
      </c>
      <c r="B3255" t="inlineStr">
        <is>
          <t>avverkningsanmälan</t>
        </is>
      </c>
      <c r="C3255" t="inlineStr">
        <is>
          <t>Föryngringsavverkning</t>
        </is>
      </c>
      <c r="D3255" s="1" t="n">
        <v>45880</v>
      </c>
      <c r="E3255" s="1" t="n">
        <v>46313</v>
      </c>
      <c r="F3255" t="inlineStr">
        <is>
          <t>SÖDERMANLANDS LÄN</t>
        </is>
      </c>
      <c r="G3255" t="inlineStr">
        <is>
          <t>VINGÅKER</t>
        </is>
      </c>
      <c r="I3255" t="n">
        <v>2.6</v>
      </c>
      <c r="J3255" t="n">
        <v>0</v>
      </c>
      <c r="K3255" t="n">
        <v>0</v>
      </c>
      <c r="L3255" t="n">
        <v>0</v>
      </c>
      <c r="M3255" t="n">
        <v>0</v>
      </c>
      <c r="N3255" t="n">
        <v>0</v>
      </c>
      <c r="O3255" t="n">
        <v>0</v>
      </c>
      <c r="P3255" t="n">
        <v>0</v>
      </c>
      <c r="Q3255" t="n">
        <v>0</v>
      </c>
      <c r="R3255" t="n">
        <v>0</v>
      </c>
      <c r="S3255" t="n">
        <v>0</v>
      </c>
      <c r="T3255" t="n">
        <v>0</v>
      </c>
      <c r="U3255" t="n">
        <v>0</v>
      </c>
      <c r="V3255" s="2" t="inlineStr"/>
    </row>
    <row r="3256" ht="15" customHeight="1">
      <c r="A3256" t="inlineStr">
        <is>
          <t>A 37775-2025</t>
        </is>
      </c>
      <c r="B3256" t="inlineStr">
        <is>
          <t>avverkningsanmälan</t>
        </is>
      </c>
      <c r="C3256" t="inlineStr">
        <is>
          <t>Föryngringsavverkning</t>
        </is>
      </c>
      <c r="D3256" s="1" t="n">
        <v>45880</v>
      </c>
      <c r="E3256" s="1" t="n">
        <v>46313</v>
      </c>
      <c r="F3256" t="inlineStr">
        <is>
          <t>SÖDERMANLANDS LÄN</t>
        </is>
      </c>
      <c r="G3256" t="inlineStr">
        <is>
          <t>FLEN</t>
        </is>
      </c>
      <c r="I3256" t="n">
        <v>3.9</v>
      </c>
      <c r="J3256" t="n">
        <v>0</v>
      </c>
      <c r="K3256" t="n">
        <v>0</v>
      </c>
      <c r="L3256" t="n">
        <v>0</v>
      </c>
      <c r="M3256" t="n">
        <v>0</v>
      </c>
      <c r="N3256" t="n">
        <v>0</v>
      </c>
      <c r="O3256" t="n">
        <v>0</v>
      </c>
      <c r="P3256" t="n">
        <v>0</v>
      </c>
      <c r="Q3256" t="n">
        <v>0</v>
      </c>
      <c r="R3256" t="n">
        <v>0</v>
      </c>
      <c r="S3256" t="n">
        <v>0</v>
      </c>
      <c r="T3256" t="n">
        <v>0</v>
      </c>
      <c r="U3256" t="n">
        <v>0</v>
      </c>
      <c r="V3256" s="2" t="inlineStr"/>
    </row>
    <row r="3257" ht="15" customHeight="1">
      <c r="A3257" t="inlineStr">
        <is>
          <t>A 20168-2025</t>
        </is>
      </c>
      <c r="B3257" t="inlineStr">
        <is>
          <t>avverkningsanmälan</t>
        </is>
      </c>
      <c r="C3257" t="inlineStr">
        <is>
          <t>Föryngringsavverkning</t>
        </is>
      </c>
      <c r="D3257" s="1" t="n">
        <v>45772</v>
      </c>
      <c r="E3257" s="1" t="n">
        <v>46313</v>
      </c>
      <c r="F3257" t="inlineStr">
        <is>
          <t>SÖDERMANLANDS LÄN</t>
        </is>
      </c>
      <c r="G3257" t="inlineStr">
        <is>
          <t>GNESTA</t>
        </is>
      </c>
      <c r="I3257" t="n">
        <v>1.7</v>
      </c>
      <c r="J3257" t="n">
        <v>0</v>
      </c>
      <c r="K3257" t="n">
        <v>0</v>
      </c>
      <c r="L3257" t="n">
        <v>0</v>
      </c>
      <c r="M3257" t="n">
        <v>0</v>
      </c>
      <c r="N3257" t="n">
        <v>0</v>
      </c>
      <c r="O3257" t="n">
        <v>0</v>
      </c>
      <c r="P3257" t="n">
        <v>0</v>
      </c>
      <c r="Q3257" t="n">
        <v>0</v>
      </c>
      <c r="R3257" t="n">
        <v>0</v>
      </c>
      <c r="S3257" t="n">
        <v>0</v>
      </c>
      <c r="T3257" t="n">
        <v>0</v>
      </c>
      <c r="U3257" t="n">
        <v>0</v>
      </c>
      <c r="V3257" s="2" t="inlineStr"/>
    </row>
    <row r="3258" ht="15" customHeight="1">
      <c r="A3258" t="inlineStr">
        <is>
          <t>S 1333-2020</t>
        </is>
      </c>
      <c r="B3258" t="inlineStr">
        <is>
          <t>samrådsanmälan</t>
        </is>
      </c>
      <c r="C3258" t="inlineStr">
        <is>
          <t>Åtgärd i nyckelbiotop</t>
        </is>
      </c>
      <c r="D3258" s="1" t="n">
        <v>43993</v>
      </c>
      <c r="E3258" s="1" t="n">
        <v>46313</v>
      </c>
      <c r="F3258" t="inlineStr">
        <is>
          <t>SÖDERMANLANDS LÄN</t>
        </is>
      </c>
      <c r="G3258" t="inlineStr">
        <is>
          <t>ESKILSTUNA</t>
        </is>
      </c>
      <c r="H3258" t="inlineStr">
        <is>
          <t>Allmännings- och besparingsskogar</t>
        </is>
      </c>
      <c r="I3258" t="n">
        <v>2.1</v>
      </c>
      <c r="J3258" t="n">
        <v>0</v>
      </c>
      <c r="K3258" t="n">
        <v>0</v>
      </c>
      <c r="L3258" t="n">
        <v>0</v>
      </c>
      <c r="M3258" t="n">
        <v>0</v>
      </c>
      <c r="N3258" t="n">
        <v>0</v>
      </c>
      <c r="O3258" t="n">
        <v>0</v>
      </c>
      <c r="P3258" t="n">
        <v>0</v>
      </c>
      <c r="Q3258" t="n">
        <v>0</v>
      </c>
      <c r="R3258" t="n">
        <v>0</v>
      </c>
      <c r="S3258" t="n">
        <v>0</v>
      </c>
      <c r="T3258" t="n">
        <v>0</v>
      </c>
      <c r="U3258" t="n">
        <v>0</v>
      </c>
      <c r="V3258" s="2" t="inlineStr"/>
    </row>
    <row r="3259" ht="15" customHeight="1">
      <c r="A3259" t="inlineStr">
        <is>
          <t>S 2320-2023</t>
        </is>
      </c>
      <c r="B3259" t="inlineStr">
        <is>
          <t>samrådsanmälan</t>
        </is>
      </c>
      <c r="C3259" t="inlineStr">
        <is>
          <t>Annan skogsbruksåtgärd</t>
        </is>
      </c>
      <c r="D3259" s="1" t="n">
        <v>45105</v>
      </c>
      <c r="E3259" s="1" t="n">
        <v>46313</v>
      </c>
      <c r="F3259" t="inlineStr">
        <is>
          <t>SÖDERMANLANDS LÄN</t>
        </is>
      </c>
      <c r="G3259" t="inlineStr">
        <is>
          <t>KATRINEHOLM</t>
        </is>
      </c>
      <c r="I3259" t="n">
        <v>1.2</v>
      </c>
      <c r="J3259" t="n">
        <v>0</v>
      </c>
      <c r="K3259" t="n">
        <v>0</v>
      </c>
      <c r="L3259" t="n">
        <v>0</v>
      </c>
      <c r="M3259" t="n">
        <v>0</v>
      </c>
      <c r="N3259" t="n">
        <v>0</v>
      </c>
      <c r="O3259" t="n">
        <v>0</v>
      </c>
      <c r="P3259" t="n">
        <v>0</v>
      </c>
      <c r="Q3259" t="n">
        <v>0</v>
      </c>
      <c r="R3259" t="n">
        <v>0</v>
      </c>
      <c r="S3259" t="n">
        <v>0</v>
      </c>
      <c r="T3259" t="n">
        <v>0</v>
      </c>
      <c r="U3259" t="n">
        <v>0</v>
      </c>
      <c r="V3259" s="2" t="inlineStr"/>
    </row>
    <row r="3260" ht="15" customHeight="1">
      <c r="A3260" t="inlineStr">
        <is>
          <t>S 1999-2020</t>
        </is>
      </c>
      <c r="B3260" t="inlineStr">
        <is>
          <t>samrådsanmälan</t>
        </is>
      </c>
      <c r="C3260" t="inlineStr">
        <is>
          <t>Åtgärd i nyckelbiotop</t>
        </is>
      </c>
      <c r="D3260" s="1" t="n">
        <v>44092</v>
      </c>
      <c r="E3260" s="1" t="n">
        <v>46313</v>
      </c>
      <c r="F3260" t="inlineStr">
        <is>
          <t>SÖDERMANLANDS LÄN</t>
        </is>
      </c>
      <c r="G3260" t="inlineStr">
        <is>
          <t>NYKÖPING</t>
        </is>
      </c>
      <c r="H3260" t="inlineStr">
        <is>
          <t>Kommuner</t>
        </is>
      </c>
      <c r="I3260" t="n">
        <v>0.4</v>
      </c>
      <c r="J3260" t="n">
        <v>0</v>
      </c>
      <c r="K3260" t="n">
        <v>0</v>
      </c>
      <c r="L3260" t="n">
        <v>0</v>
      </c>
      <c r="M3260" t="n">
        <v>0</v>
      </c>
      <c r="N3260" t="n">
        <v>0</v>
      </c>
      <c r="O3260" t="n">
        <v>0</v>
      </c>
      <c r="P3260" t="n">
        <v>0</v>
      </c>
      <c r="Q3260" t="n">
        <v>0</v>
      </c>
      <c r="R3260" t="n">
        <v>0</v>
      </c>
      <c r="S3260" t="n">
        <v>0</v>
      </c>
      <c r="T3260" t="n">
        <v>0</v>
      </c>
      <c r="U3260" t="n">
        <v>0</v>
      </c>
      <c r="V3260" s="2" t="inlineStr"/>
    </row>
    <row r="3261" ht="15" customHeight="1">
      <c r="A3261" t="inlineStr">
        <is>
          <t>S 879-2021</t>
        </is>
      </c>
      <c r="B3261" t="inlineStr">
        <is>
          <t>samrådsanmälan</t>
        </is>
      </c>
      <c r="C3261" t="inlineStr">
        <is>
          <t>Åtgärd i nyckelbiotop</t>
        </is>
      </c>
      <c r="D3261" s="1" t="n">
        <v>44312</v>
      </c>
      <c r="E3261" s="1" t="n">
        <v>46313</v>
      </c>
      <c r="F3261" t="inlineStr">
        <is>
          <t>SÖDERMANLANDS LÄN</t>
        </is>
      </c>
      <c r="G3261" t="inlineStr">
        <is>
          <t>GNESTA</t>
        </is>
      </c>
      <c r="I3261" t="n">
        <v>0.3</v>
      </c>
      <c r="J3261" t="n">
        <v>0</v>
      </c>
      <c r="K3261" t="n">
        <v>0</v>
      </c>
      <c r="L3261" t="n">
        <v>0</v>
      </c>
      <c r="M3261" t="n">
        <v>0</v>
      </c>
      <c r="N3261" t="n">
        <v>0</v>
      </c>
      <c r="O3261" t="n">
        <v>0</v>
      </c>
      <c r="P3261" t="n">
        <v>0</v>
      </c>
      <c r="Q3261" t="n">
        <v>0</v>
      </c>
      <c r="R3261" t="n">
        <v>0</v>
      </c>
      <c r="S3261" t="n">
        <v>0</v>
      </c>
      <c r="T3261" t="n">
        <v>0</v>
      </c>
      <c r="U3261" t="n">
        <v>0</v>
      </c>
      <c r="V3261" s="2" t="inlineStr"/>
    </row>
    <row r="3262" ht="15" customHeight="1">
      <c r="A3262" t="inlineStr">
        <is>
          <t>S 1573-2020</t>
        </is>
      </c>
      <c r="B3262" t="inlineStr">
        <is>
          <t>samrådsanmälan</t>
        </is>
      </c>
      <c r="C3262" t="inlineStr">
        <is>
          <t>Åtgärd i nyckelbiotop</t>
        </is>
      </c>
      <c r="D3262" s="1" t="n">
        <v>44013</v>
      </c>
      <c r="E3262" s="1" t="n">
        <v>46313</v>
      </c>
      <c r="F3262" t="inlineStr">
        <is>
          <t>SÖDERMANLANDS LÄN</t>
        </is>
      </c>
      <c r="G3262" t="inlineStr">
        <is>
          <t>NYKÖPING</t>
        </is>
      </c>
      <c r="I3262" t="n">
        <v>0.1</v>
      </c>
      <c r="J3262" t="n">
        <v>0</v>
      </c>
      <c r="K3262" t="n">
        <v>0</v>
      </c>
      <c r="L3262" t="n">
        <v>0</v>
      </c>
      <c r="M3262" t="n">
        <v>0</v>
      </c>
      <c r="N3262" t="n">
        <v>0</v>
      </c>
      <c r="O3262" t="n">
        <v>0</v>
      </c>
      <c r="P3262" t="n">
        <v>0</v>
      </c>
      <c r="Q3262" t="n">
        <v>0</v>
      </c>
      <c r="R3262" t="n">
        <v>0</v>
      </c>
      <c r="S3262" t="n">
        <v>0</v>
      </c>
      <c r="T3262" t="n">
        <v>0</v>
      </c>
      <c r="U3262" t="n">
        <v>0</v>
      </c>
      <c r="V3262" s="2" t="inlineStr"/>
    </row>
    <row r="3263" ht="15" customHeight="1">
      <c r="A3263" t="inlineStr">
        <is>
          <t>S 458-2023</t>
        </is>
      </c>
      <c r="B3263" t="inlineStr">
        <is>
          <t>samrådsanmälan</t>
        </is>
      </c>
      <c r="C3263" t="inlineStr">
        <is>
          <t>Annan skogsbruksåtgärd</t>
        </is>
      </c>
      <c r="D3263" s="1" t="n">
        <v>44964</v>
      </c>
      <c r="E3263" s="1" t="n">
        <v>46313</v>
      </c>
      <c r="F3263" t="inlineStr">
        <is>
          <t>SÖDERMANLANDS LÄN</t>
        </is>
      </c>
      <c r="G3263" t="inlineStr">
        <is>
          <t>FLEN</t>
        </is>
      </c>
      <c r="H3263" t="inlineStr">
        <is>
          <t>Kyrkan</t>
        </is>
      </c>
      <c r="I3263" t="n">
        <v>0.3</v>
      </c>
      <c r="J3263" t="n">
        <v>0</v>
      </c>
      <c r="K3263" t="n">
        <v>0</v>
      </c>
      <c r="L3263" t="n">
        <v>0</v>
      </c>
      <c r="M3263" t="n">
        <v>0</v>
      </c>
      <c r="N3263" t="n">
        <v>0</v>
      </c>
      <c r="O3263" t="n">
        <v>0</v>
      </c>
      <c r="P3263" t="n">
        <v>0</v>
      </c>
      <c r="Q3263" t="n">
        <v>0</v>
      </c>
      <c r="R3263" t="n">
        <v>0</v>
      </c>
      <c r="S3263" t="n">
        <v>0</v>
      </c>
      <c r="T3263" t="n">
        <v>0</v>
      </c>
      <c r="U3263" t="n">
        <v>0</v>
      </c>
      <c r="V3263" s="2" t="inlineStr"/>
    </row>
    <row r="3264" ht="15" customHeight="1">
      <c r="A3264" t="inlineStr">
        <is>
          <t>S 3845-2023</t>
        </is>
      </c>
      <c r="B3264" t="inlineStr">
        <is>
          <t>samrådsanmälan</t>
        </is>
      </c>
      <c r="C3264" t="inlineStr">
        <is>
          <t>Annan skogsbruksåtgärd</t>
        </is>
      </c>
      <c r="D3264" s="1" t="n">
        <v>45235</v>
      </c>
      <c r="E3264" s="1" t="n">
        <v>46313</v>
      </c>
      <c r="F3264" t="inlineStr">
        <is>
          <t>SÖDERMANLANDS LÄN</t>
        </is>
      </c>
      <c r="G3264" t="inlineStr">
        <is>
          <t>STRÄNGNÄS</t>
        </is>
      </c>
      <c r="I3264" t="n">
        <v>2.5</v>
      </c>
      <c r="J3264" t="n">
        <v>0</v>
      </c>
      <c r="K3264" t="n">
        <v>0</v>
      </c>
      <c r="L3264" t="n">
        <v>0</v>
      </c>
      <c r="M3264" t="n">
        <v>0</v>
      </c>
      <c r="N3264" t="n">
        <v>0</v>
      </c>
      <c r="O3264" t="n">
        <v>0</v>
      </c>
      <c r="P3264" t="n">
        <v>0</v>
      </c>
      <c r="Q3264" t="n">
        <v>0</v>
      </c>
      <c r="R3264" t="n">
        <v>0</v>
      </c>
      <c r="S3264" t="n">
        <v>0</v>
      </c>
      <c r="T3264" t="n">
        <v>0</v>
      </c>
      <c r="U3264" t="n">
        <v>0</v>
      </c>
      <c r="V3264" s="2" t="inlineStr"/>
    </row>
    <row r="3265" ht="15" customHeight="1">
      <c r="A3265" t="inlineStr">
        <is>
          <t>S 4281-2023</t>
        </is>
      </c>
      <c r="B3265" t="inlineStr">
        <is>
          <t>samrådsanmälan</t>
        </is>
      </c>
      <c r="C3265" t="inlineStr">
        <is>
          <t>Annan skogsbruksåtgärd</t>
        </is>
      </c>
      <c r="D3265" s="1" t="n">
        <v>45257</v>
      </c>
      <c r="E3265" s="1" t="n">
        <v>46313</v>
      </c>
      <c r="F3265" t="inlineStr">
        <is>
          <t>SÖDERMANLANDS LÄN</t>
        </is>
      </c>
      <c r="G3265" t="inlineStr">
        <is>
          <t>KATRINEHOLM</t>
        </is>
      </c>
      <c r="I3265" t="n">
        <v>6</v>
      </c>
      <c r="J3265" t="n">
        <v>0</v>
      </c>
      <c r="K3265" t="n">
        <v>0</v>
      </c>
      <c r="L3265" t="n">
        <v>0</v>
      </c>
      <c r="M3265" t="n">
        <v>0</v>
      </c>
      <c r="N3265" t="n">
        <v>0</v>
      </c>
      <c r="O3265" t="n">
        <v>0</v>
      </c>
      <c r="P3265" t="n">
        <v>0</v>
      </c>
      <c r="Q3265" t="n">
        <v>0</v>
      </c>
      <c r="R3265" t="n">
        <v>0</v>
      </c>
      <c r="S3265" t="n">
        <v>0</v>
      </c>
      <c r="T3265" t="n">
        <v>0</v>
      </c>
      <c r="U3265" t="n">
        <v>0</v>
      </c>
      <c r="V3265" s="2" t="inlineStr"/>
    </row>
    <row r="3266" ht="15" customHeight="1">
      <c r="A3266" t="inlineStr">
        <is>
          <t>S 4203-2023</t>
        </is>
      </c>
      <c r="B3266" t="inlineStr">
        <is>
          <t>samrådsanmälan</t>
        </is>
      </c>
      <c r="C3266" t="inlineStr">
        <is>
          <t>Annan skogsbruksåtgärd</t>
        </is>
      </c>
      <c r="D3266" s="1" t="n">
        <v>45253</v>
      </c>
      <c r="E3266" s="1" t="n">
        <v>46313</v>
      </c>
      <c r="F3266" t="inlineStr">
        <is>
          <t>SÖDERMANLANDS LÄN</t>
        </is>
      </c>
      <c r="G3266" t="inlineStr">
        <is>
          <t>TROSA</t>
        </is>
      </c>
      <c r="I3266" t="n">
        <v>3.6</v>
      </c>
      <c r="J3266" t="n">
        <v>0</v>
      </c>
      <c r="K3266" t="n">
        <v>0</v>
      </c>
      <c r="L3266" t="n">
        <v>0</v>
      </c>
      <c r="M3266" t="n">
        <v>0</v>
      </c>
      <c r="N3266" t="n">
        <v>0</v>
      </c>
      <c r="O3266" t="n">
        <v>0</v>
      </c>
      <c r="P3266" t="n">
        <v>0</v>
      </c>
      <c r="Q3266" t="n">
        <v>0</v>
      </c>
      <c r="R3266" t="n">
        <v>0</v>
      </c>
      <c r="S3266" t="n">
        <v>0</v>
      </c>
      <c r="T3266" t="n">
        <v>0</v>
      </c>
      <c r="U3266" t="n">
        <v>0</v>
      </c>
      <c r="V3266" s="2" t="inlineStr"/>
    </row>
    <row r="3267" ht="15" customHeight="1">
      <c r="A3267" t="inlineStr">
        <is>
          <t>S 2183-2023</t>
        </is>
      </c>
      <c r="B3267" t="inlineStr">
        <is>
          <t>samrådsanmälan</t>
        </is>
      </c>
      <c r="C3267" t="inlineStr">
        <is>
          <t>Annan skogsbruksåtgärd</t>
        </is>
      </c>
      <c r="D3267" s="1" t="n">
        <v>45098</v>
      </c>
      <c r="E3267" s="1" t="n">
        <v>46313</v>
      </c>
      <c r="F3267" t="inlineStr">
        <is>
          <t>SÖDERMANLANDS LÄN</t>
        </is>
      </c>
      <c r="G3267" t="inlineStr">
        <is>
          <t>KATRINEHOLM</t>
        </is>
      </c>
      <c r="I3267" t="n">
        <v>3</v>
      </c>
      <c r="J3267" t="n">
        <v>0</v>
      </c>
      <c r="K3267" t="n">
        <v>0</v>
      </c>
      <c r="L3267" t="n">
        <v>0</v>
      </c>
      <c r="M3267" t="n">
        <v>0</v>
      </c>
      <c r="N3267" t="n">
        <v>0</v>
      </c>
      <c r="O3267" t="n">
        <v>0</v>
      </c>
      <c r="P3267" t="n">
        <v>0</v>
      </c>
      <c r="Q3267" t="n">
        <v>0</v>
      </c>
      <c r="R3267" t="n">
        <v>0</v>
      </c>
      <c r="S3267" t="n">
        <v>0</v>
      </c>
      <c r="T3267" t="n">
        <v>0</v>
      </c>
      <c r="U3267" t="n">
        <v>0</v>
      </c>
      <c r="V3267" s="2" t="inlineStr"/>
    </row>
    <row r="3268" ht="15" customHeight="1">
      <c r="A3268" t="inlineStr">
        <is>
          <t>S 3783-2023</t>
        </is>
      </c>
      <c r="B3268" t="inlineStr">
        <is>
          <t>samrådsanmälan</t>
        </is>
      </c>
      <c r="C3268" t="inlineStr">
        <is>
          <t>Annan skogsbruksåtgärd</t>
        </is>
      </c>
      <c r="D3268" s="1" t="n">
        <v>45223</v>
      </c>
      <c r="E3268" s="1" t="n">
        <v>46313</v>
      </c>
      <c r="F3268" t="inlineStr">
        <is>
          <t>SÖDERMANLANDS LÄN</t>
        </is>
      </c>
      <c r="G3268" t="inlineStr">
        <is>
          <t>NYKÖPING</t>
        </is>
      </c>
      <c r="H3268" t="inlineStr">
        <is>
          <t>Sveaskog</t>
        </is>
      </c>
      <c r="I3268" t="n">
        <v>3.4</v>
      </c>
      <c r="J3268" t="n">
        <v>0</v>
      </c>
      <c r="K3268" t="n">
        <v>0</v>
      </c>
      <c r="L3268" t="n">
        <v>0</v>
      </c>
      <c r="M3268" t="n">
        <v>0</v>
      </c>
      <c r="N3268" t="n">
        <v>0</v>
      </c>
      <c r="O3268" t="n">
        <v>0</v>
      </c>
      <c r="P3268" t="n">
        <v>0</v>
      </c>
      <c r="Q3268" t="n">
        <v>0</v>
      </c>
      <c r="R3268" t="n">
        <v>0</v>
      </c>
      <c r="S3268" t="n">
        <v>0</v>
      </c>
      <c r="T3268" t="n">
        <v>0</v>
      </c>
      <c r="U3268" t="n">
        <v>0</v>
      </c>
      <c r="V3268" s="2" t="inlineStr"/>
    </row>
    <row r="3269" ht="15" customHeight="1">
      <c r="A3269" t="inlineStr">
        <is>
          <t>S 2529-2024</t>
        </is>
      </c>
      <c r="B3269" t="inlineStr">
        <is>
          <t>samrådsanmälan</t>
        </is>
      </c>
      <c r="C3269" t="inlineStr">
        <is>
          <t>Annan skogsbruksåtgärd</t>
        </is>
      </c>
      <c r="D3269" s="1" t="n">
        <v>45474</v>
      </c>
      <c r="E3269" s="1" t="n">
        <v>46313</v>
      </c>
      <c r="F3269" t="inlineStr">
        <is>
          <t>SÖDERMANLANDS LÄN</t>
        </is>
      </c>
      <c r="G3269" t="inlineStr">
        <is>
          <t>KATRINEHOLM</t>
        </is>
      </c>
      <c r="I3269" t="n">
        <v>2.6</v>
      </c>
      <c r="J3269" t="n">
        <v>0</v>
      </c>
      <c r="K3269" t="n">
        <v>0</v>
      </c>
      <c r="L3269" t="n">
        <v>0</v>
      </c>
      <c r="M3269" t="n">
        <v>0</v>
      </c>
      <c r="N3269" t="n">
        <v>0</v>
      </c>
      <c r="O3269" t="n">
        <v>0</v>
      </c>
      <c r="P3269" t="n">
        <v>0</v>
      </c>
      <c r="Q3269" t="n">
        <v>0</v>
      </c>
      <c r="R3269" t="n">
        <v>0</v>
      </c>
      <c r="S3269" t="n">
        <v>0</v>
      </c>
      <c r="T3269" t="n">
        <v>0</v>
      </c>
      <c r="U3269" t="n">
        <v>0</v>
      </c>
      <c r="V3269" s="2" t="inlineStr"/>
      <c r="Z3269">
        <f>HYPERLINK("https://klasma.github.io/Logging_0483/knärot/S 2529-2024 karta knärot.png", "S 2529-2024")</f>
        <v/>
      </c>
      <c r="AA3269">
        <f>HYPERLINK("https://klasma.github.io/Logging_0483/klagomål/S 2529-2024 FSC-klagomål.docx", "S 2529-2024")</f>
        <v/>
      </c>
      <c r="AB3269">
        <f>HYPERLINK("https://klasma.github.io/Logging_0483/klagomålsmail/S 2529-2024 FSC-klagomål mail.docx", "S 2529-2024")</f>
        <v/>
      </c>
      <c r="AC3269">
        <f>HYPERLINK("https://klasma.github.io/Logging_0483/tillsyn/S 2529-2024 tillsynsbegäran.docx", "S 2529-2024")</f>
        <v/>
      </c>
      <c r="AD3269">
        <f>HYPERLINK("https://klasma.github.io/Logging_0483/tillsynsmail/S 2529-2024 tillsynsbegäran mail.docx", "S 2529-2024")</f>
        <v/>
      </c>
    </row>
    <row r="3270" ht="15" customHeight="1">
      <c r="A3270" t="inlineStr">
        <is>
          <t>S 292-2025</t>
        </is>
      </c>
      <c r="B3270" t="inlineStr">
        <is>
          <t>samrådsanmälan</t>
        </is>
      </c>
      <c r="C3270" t="inlineStr">
        <is>
          <t>Annan skogsbruksåtgärd</t>
        </is>
      </c>
      <c r="D3270" s="1" t="n">
        <v>45686</v>
      </c>
      <c r="E3270" s="1" t="n">
        <v>46313</v>
      </c>
      <c r="F3270" t="inlineStr">
        <is>
          <t>SÖDERMANLANDS LÄN</t>
        </is>
      </c>
      <c r="G3270" t="inlineStr">
        <is>
          <t>FLEN</t>
        </is>
      </c>
      <c r="I3270" t="n">
        <v>0.6</v>
      </c>
      <c r="J3270" t="n">
        <v>0</v>
      </c>
      <c r="K3270" t="n">
        <v>0</v>
      </c>
      <c r="L3270" t="n">
        <v>0</v>
      </c>
      <c r="M3270" t="n">
        <v>0</v>
      </c>
      <c r="N3270" t="n">
        <v>0</v>
      </c>
      <c r="O3270" t="n">
        <v>0</v>
      </c>
      <c r="P3270" t="n">
        <v>0</v>
      </c>
      <c r="Q3270" t="n">
        <v>0</v>
      </c>
      <c r="R3270" t="n">
        <v>0</v>
      </c>
      <c r="S3270" t="n">
        <v>0</v>
      </c>
      <c r="T3270" t="n">
        <v>0</v>
      </c>
      <c r="U3270" t="n">
        <v>0</v>
      </c>
      <c r="V3270" s="2" t="inlineStr"/>
    </row>
    <row r="3271" ht="15" customHeight="1">
      <c r="A3271" t="inlineStr">
        <is>
          <t>S 1590-2022</t>
        </is>
      </c>
      <c r="B3271" t="inlineStr">
        <is>
          <t>samrådsanmälan</t>
        </is>
      </c>
      <c r="C3271" t="inlineStr">
        <is>
          <t>Annan skogsbruksåtgärd</t>
        </is>
      </c>
      <c r="D3271" s="1" t="n">
        <v>44644</v>
      </c>
      <c r="E3271" s="1" t="n">
        <v>46313</v>
      </c>
      <c r="F3271" t="inlineStr">
        <is>
          <t>SÖDERMANLANDS LÄN</t>
        </is>
      </c>
      <c r="G3271" t="inlineStr">
        <is>
          <t>GNESTA</t>
        </is>
      </c>
      <c r="I3271" t="n">
        <v>0.6</v>
      </c>
      <c r="J3271" t="n">
        <v>0</v>
      </c>
      <c r="K3271" t="n">
        <v>0</v>
      </c>
      <c r="L3271" t="n">
        <v>0</v>
      </c>
      <c r="M3271" t="n">
        <v>0</v>
      </c>
      <c r="N3271" t="n">
        <v>0</v>
      </c>
      <c r="O3271" t="n">
        <v>0</v>
      </c>
      <c r="P3271" t="n">
        <v>0</v>
      </c>
      <c r="Q3271" t="n">
        <v>0</v>
      </c>
      <c r="R3271" t="n">
        <v>0</v>
      </c>
      <c r="S3271" t="n">
        <v>0</v>
      </c>
      <c r="T3271" t="n">
        <v>0</v>
      </c>
      <c r="U3271" t="n">
        <v>0</v>
      </c>
      <c r="V3271" s="2" t="inlineStr"/>
    </row>
    <row r="3272" ht="15" customHeight="1">
      <c r="A3272" t="inlineStr">
        <is>
          <t>S 507-2024</t>
        </is>
      </c>
      <c r="B3272" t="inlineStr">
        <is>
          <t>samrådsanmälan</t>
        </is>
      </c>
      <c r="C3272" t="inlineStr">
        <is>
          <t>Skogsbilväg</t>
        </is>
      </c>
      <c r="D3272" s="1" t="n">
        <v>45345</v>
      </c>
      <c r="E3272" s="1" t="n">
        <v>46313</v>
      </c>
      <c r="F3272" t="inlineStr">
        <is>
          <t>SÖDERMANLANDS LÄN</t>
        </is>
      </c>
      <c r="G3272" t="inlineStr">
        <is>
          <t>KATRINEHOLM</t>
        </is>
      </c>
      <c r="I3272" t="n">
        <v>0.3</v>
      </c>
      <c r="J3272" t="n">
        <v>0</v>
      </c>
      <c r="K3272" t="n">
        <v>0</v>
      </c>
      <c r="L3272" t="n">
        <v>0</v>
      </c>
      <c r="M3272" t="n">
        <v>0</v>
      </c>
      <c r="N3272" t="n">
        <v>0</v>
      </c>
      <c r="O3272" t="n">
        <v>0</v>
      </c>
      <c r="P3272" t="n">
        <v>0</v>
      </c>
      <c r="Q3272" t="n">
        <v>0</v>
      </c>
      <c r="R3272" t="n">
        <v>0</v>
      </c>
      <c r="S3272" t="n">
        <v>0</v>
      </c>
      <c r="T3272" t="n">
        <v>0</v>
      </c>
      <c r="U3272" t="n">
        <v>0</v>
      </c>
      <c r="V3272" s="2" t="inlineStr"/>
    </row>
    <row r="3273" ht="15" customHeight="1">
      <c r="A3273" t="inlineStr">
        <is>
          <t>S 3723-2022</t>
        </is>
      </c>
      <c r="B3273" t="inlineStr">
        <is>
          <t>samrådsanmälan</t>
        </is>
      </c>
      <c r="C3273" t="inlineStr">
        <is>
          <t>Åtgärd i nyckelbiotop</t>
        </is>
      </c>
      <c r="D3273" s="1" t="n">
        <v>44742</v>
      </c>
      <c r="E3273" s="1" t="n">
        <v>46313</v>
      </c>
      <c r="F3273" t="inlineStr">
        <is>
          <t>SÖDERMANLANDS LÄN</t>
        </is>
      </c>
      <c r="G3273" t="inlineStr">
        <is>
          <t>FLEN</t>
        </is>
      </c>
      <c r="I3273" t="n">
        <v>0.9</v>
      </c>
      <c r="J3273" t="n">
        <v>0</v>
      </c>
      <c r="K3273" t="n">
        <v>0</v>
      </c>
      <c r="L3273" t="n">
        <v>0</v>
      </c>
      <c r="M3273" t="n">
        <v>0</v>
      </c>
      <c r="N3273" t="n">
        <v>0</v>
      </c>
      <c r="O3273" t="n">
        <v>0</v>
      </c>
      <c r="P3273" t="n">
        <v>0</v>
      </c>
      <c r="Q3273" t="n">
        <v>0</v>
      </c>
      <c r="R3273" t="n">
        <v>0</v>
      </c>
      <c r="S3273" t="n">
        <v>0</v>
      </c>
      <c r="T3273" t="n">
        <v>0</v>
      </c>
      <c r="U3273" t="n">
        <v>0</v>
      </c>
      <c r="V3273" s="2" t="inlineStr"/>
    </row>
    <row r="3274" ht="15" customHeight="1">
      <c r="A3274" t="inlineStr">
        <is>
          <t>S 748-2023</t>
        </is>
      </c>
      <c r="B3274" t="inlineStr">
        <is>
          <t>samrådsanmälan</t>
        </is>
      </c>
      <c r="C3274" t="inlineStr">
        <is>
          <t>Annan skogsbruksåtgärd</t>
        </is>
      </c>
      <c r="D3274" s="1" t="n">
        <v>44980</v>
      </c>
      <c r="E3274" s="1" t="n">
        <v>46313</v>
      </c>
      <c r="F3274" t="inlineStr">
        <is>
          <t>SÖDERMANLANDS LÄN</t>
        </is>
      </c>
      <c r="G3274" t="inlineStr">
        <is>
          <t>KATRINEHOLM</t>
        </is>
      </c>
      <c r="H3274" t="inlineStr">
        <is>
          <t>Övriga Aktiebolag</t>
        </is>
      </c>
      <c r="I3274" t="n">
        <v>4.9</v>
      </c>
      <c r="J3274" t="n">
        <v>0</v>
      </c>
      <c r="K3274" t="n">
        <v>0</v>
      </c>
      <c r="L3274" t="n">
        <v>0</v>
      </c>
      <c r="M3274" t="n">
        <v>0</v>
      </c>
      <c r="N3274" t="n">
        <v>0</v>
      </c>
      <c r="O3274" t="n">
        <v>0</v>
      </c>
      <c r="P3274" t="n">
        <v>0</v>
      </c>
      <c r="Q3274" t="n">
        <v>0</v>
      </c>
      <c r="R3274" t="n">
        <v>0</v>
      </c>
      <c r="S3274" t="n">
        <v>0</v>
      </c>
      <c r="T3274" t="n">
        <v>0</v>
      </c>
      <c r="U3274" t="n">
        <v>0</v>
      </c>
      <c r="V3274" s="2" t="inlineStr"/>
      <c r="Z3274">
        <f>HYPERLINK("https://klasma.github.io/Logging_0483/knärot/S 748-2023 karta knärot.png", "S 748-2023")</f>
        <v/>
      </c>
      <c r="AA3274">
        <f>HYPERLINK("https://klasma.github.io/Logging_0483/klagomål/S 748-2023 FSC-klagomål.docx", "S 748-2023")</f>
        <v/>
      </c>
      <c r="AB3274">
        <f>HYPERLINK("https://klasma.github.io/Logging_0483/klagomålsmail/S 748-2023 FSC-klagomål mail.docx", "S 748-2023")</f>
        <v/>
      </c>
      <c r="AC3274">
        <f>HYPERLINK("https://klasma.github.io/Logging_0483/tillsyn/S 748-2023 tillsynsbegäran.docx", "S 748-2023")</f>
        <v/>
      </c>
      <c r="AD3274">
        <f>HYPERLINK("https://klasma.github.io/Logging_0483/tillsynsmail/S 748-2023 tillsynsbegäran mail.docx", "S 748-2023")</f>
        <v/>
      </c>
    </row>
    <row r="3275" ht="15" customHeight="1">
      <c r="A3275" t="inlineStr">
        <is>
          <t>S 383-2023</t>
        </is>
      </c>
      <c r="B3275" t="inlineStr">
        <is>
          <t>samrådsanmälan</t>
        </is>
      </c>
      <c r="C3275" t="inlineStr">
        <is>
          <t>Annan skogsbruksåtgärd</t>
        </is>
      </c>
      <c r="D3275" s="1" t="n">
        <v>44959</v>
      </c>
      <c r="E3275" s="1" t="n">
        <v>46313</v>
      </c>
      <c r="F3275" t="inlineStr">
        <is>
          <t>SÖDERMANLANDS LÄN</t>
        </is>
      </c>
      <c r="G3275" t="inlineStr">
        <is>
          <t>ESKILSTUNA</t>
        </is>
      </c>
      <c r="I3275" t="n">
        <v>0.8</v>
      </c>
      <c r="J3275" t="n">
        <v>0</v>
      </c>
      <c r="K3275" t="n">
        <v>0</v>
      </c>
      <c r="L3275" t="n">
        <v>0</v>
      </c>
      <c r="M3275" t="n">
        <v>0</v>
      </c>
      <c r="N3275" t="n">
        <v>0</v>
      </c>
      <c r="O3275" t="n">
        <v>0</v>
      </c>
      <c r="P3275" t="n">
        <v>0</v>
      </c>
      <c r="Q3275" t="n">
        <v>0</v>
      </c>
      <c r="R3275" t="n">
        <v>0</v>
      </c>
      <c r="S3275" t="n">
        <v>0</v>
      </c>
      <c r="T3275" t="n">
        <v>0</v>
      </c>
      <c r="U3275" t="n">
        <v>0</v>
      </c>
      <c r="V3275" s="2" t="inlineStr"/>
    </row>
    <row r="3276" ht="15" customHeight="1">
      <c r="A3276" t="inlineStr">
        <is>
          <t>S 2311-2022</t>
        </is>
      </c>
      <c r="B3276" t="inlineStr">
        <is>
          <t>samrådsanmälan</t>
        </is>
      </c>
      <c r="C3276" t="inlineStr">
        <is>
          <t>Åtgärd i nyckelbiotop</t>
        </is>
      </c>
      <c r="D3276" s="1" t="n">
        <v>44684</v>
      </c>
      <c r="E3276" s="1" t="n">
        <v>46313</v>
      </c>
      <c r="F3276" t="inlineStr">
        <is>
          <t>SÖDERMANLANDS LÄN</t>
        </is>
      </c>
      <c r="G3276" t="inlineStr">
        <is>
          <t>NYKÖPING</t>
        </is>
      </c>
      <c r="I3276" t="n">
        <v>0.3</v>
      </c>
      <c r="J3276" t="n">
        <v>0</v>
      </c>
      <c r="K3276" t="n">
        <v>0</v>
      </c>
      <c r="L3276" t="n">
        <v>0</v>
      </c>
      <c r="M3276" t="n">
        <v>0</v>
      </c>
      <c r="N3276" t="n">
        <v>0</v>
      </c>
      <c r="O3276" t="n">
        <v>0</v>
      </c>
      <c r="P3276" t="n">
        <v>0</v>
      </c>
      <c r="Q3276" t="n">
        <v>0</v>
      </c>
      <c r="R3276" t="n">
        <v>0</v>
      </c>
      <c r="S3276" t="n">
        <v>0</v>
      </c>
      <c r="T3276" t="n">
        <v>0</v>
      </c>
      <c r="U3276" t="n">
        <v>0</v>
      </c>
      <c r="V3276" s="2" t="inlineStr"/>
    </row>
    <row r="3277" ht="15" customHeight="1">
      <c r="A3277" t="inlineStr">
        <is>
          <t>S 6891-2022</t>
        </is>
      </c>
      <c r="B3277" t="inlineStr">
        <is>
          <t>samrådsanmälan</t>
        </is>
      </c>
      <c r="C3277" t="inlineStr">
        <is>
          <t>Annan skogsbruksåtgärd</t>
        </is>
      </c>
      <c r="D3277" s="1" t="n">
        <v>44903</v>
      </c>
      <c r="E3277" s="1" t="n">
        <v>46313</v>
      </c>
      <c r="F3277" t="inlineStr">
        <is>
          <t>SÖDERMANLANDS LÄN</t>
        </is>
      </c>
      <c r="G3277" t="inlineStr">
        <is>
          <t>KATRINEHOLM</t>
        </is>
      </c>
      <c r="I3277" t="n">
        <v>0.4</v>
      </c>
      <c r="J3277" t="n">
        <v>0</v>
      </c>
      <c r="K3277" t="n">
        <v>0</v>
      </c>
      <c r="L3277" t="n">
        <v>0</v>
      </c>
      <c r="M3277" t="n">
        <v>0</v>
      </c>
      <c r="N3277" t="n">
        <v>0</v>
      </c>
      <c r="O3277" t="n">
        <v>0</v>
      </c>
      <c r="P3277" t="n">
        <v>0</v>
      </c>
      <c r="Q3277" t="n">
        <v>0</v>
      </c>
      <c r="R3277" t="n">
        <v>0</v>
      </c>
      <c r="S3277" t="n">
        <v>0</v>
      </c>
      <c r="T3277" t="n">
        <v>0</v>
      </c>
      <c r="U3277" t="n">
        <v>0</v>
      </c>
      <c r="V3277" s="2" t="inlineStr"/>
    </row>
    <row r="3278" ht="15" customHeight="1">
      <c r="A3278" t="inlineStr">
        <is>
          <t>S 220-2023</t>
        </is>
      </c>
      <c r="B3278" t="inlineStr">
        <is>
          <t>samrådsanmälan</t>
        </is>
      </c>
      <c r="C3278" t="inlineStr">
        <is>
          <t>Stubbskörd</t>
        </is>
      </c>
      <c r="D3278" s="1" t="n">
        <v>44949</v>
      </c>
      <c r="E3278" s="1" t="n">
        <v>46313</v>
      </c>
      <c r="F3278" t="inlineStr">
        <is>
          <t>SÖDERMANLANDS LÄN</t>
        </is>
      </c>
      <c r="G3278" t="inlineStr">
        <is>
          <t>NYKÖPING</t>
        </is>
      </c>
      <c r="I3278" t="n">
        <v>1.9</v>
      </c>
      <c r="J3278" t="n">
        <v>0</v>
      </c>
      <c r="K3278" t="n">
        <v>0</v>
      </c>
      <c r="L3278" t="n">
        <v>0</v>
      </c>
      <c r="M3278" t="n">
        <v>0</v>
      </c>
      <c r="N3278" t="n">
        <v>0</v>
      </c>
      <c r="O3278" t="n">
        <v>0</v>
      </c>
      <c r="P3278" t="n">
        <v>0</v>
      </c>
      <c r="Q3278" t="n">
        <v>0</v>
      </c>
      <c r="R3278" t="n">
        <v>0</v>
      </c>
      <c r="S3278" t="n">
        <v>0</v>
      </c>
      <c r="T3278" t="n">
        <v>0</v>
      </c>
      <c r="U3278" t="n">
        <v>0</v>
      </c>
      <c r="V3278" s="2" t="inlineStr"/>
    </row>
    <row r="3279" ht="15" customHeight="1">
      <c r="A3279" t="inlineStr">
        <is>
          <t>S 1502-2023</t>
        </is>
      </c>
      <c r="B3279" t="inlineStr">
        <is>
          <t>samrådsanmälan</t>
        </is>
      </c>
      <c r="C3279" t="inlineStr">
        <is>
          <t>Annan skogsbruksåtgärd</t>
        </is>
      </c>
      <c r="D3279" s="1" t="n">
        <v>45051</v>
      </c>
      <c r="E3279" s="1" t="n">
        <v>46313</v>
      </c>
      <c r="F3279" t="inlineStr">
        <is>
          <t>SÖDERMANLANDS LÄN</t>
        </is>
      </c>
      <c r="G3279" t="inlineStr">
        <is>
          <t>VINGÅKER</t>
        </is>
      </c>
      <c r="H3279" t="inlineStr">
        <is>
          <t>Kommuner</t>
        </is>
      </c>
      <c r="I3279" t="n">
        <v>0.7</v>
      </c>
      <c r="J3279" t="n">
        <v>0</v>
      </c>
      <c r="K3279" t="n">
        <v>0</v>
      </c>
      <c r="L3279" t="n">
        <v>0</v>
      </c>
      <c r="M3279" t="n">
        <v>0</v>
      </c>
      <c r="N3279" t="n">
        <v>0</v>
      </c>
      <c r="O3279" t="n">
        <v>0</v>
      </c>
      <c r="P3279" t="n">
        <v>0</v>
      </c>
      <c r="Q3279" t="n">
        <v>0</v>
      </c>
      <c r="R3279" t="n">
        <v>0</v>
      </c>
      <c r="S3279" t="n">
        <v>0</v>
      </c>
      <c r="T3279" t="n">
        <v>0</v>
      </c>
      <c r="U3279" t="n">
        <v>0</v>
      </c>
      <c r="V3279" s="2" t="inlineStr"/>
    </row>
    <row r="3280" ht="15" customHeight="1">
      <c r="A3280" t="inlineStr">
        <is>
          <t>S 1838-2022</t>
        </is>
      </c>
      <c r="B3280" t="inlineStr">
        <is>
          <t>samrådsanmälan</t>
        </is>
      </c>
      <c r="C3280" t="inlineStr">
        <is>
          <t>Annan skogsbruksåtgärd</t>
        </is>
      </c>
      <c r="D3280" s="1" t="n">
        <v>44658</v>
      </c>
      <c r="E3280" s="1" t="n">
        <v>46313</v>
      </c>
      <c r="F3280" t="inlineStr">
        <is>
          <t>SÖDERMANLANDS LÄN</t>
        </is>
      </c>
      <c r="G3280" t="inlineStr">
        <is>
          <t>KATRINEHOLM</t>
        </is>
      </c>
      <c r="I3280" t="n">
        <v>0.9</v>
      </c>
      <c r="J3280" t="n">
        <v>0</v>
      </c>
      <c r="K3280" t="n">
        <v>0</v>
      </c>
      <c r="L3280" t="n">
        <v>0</v>
      </c>
      <c r="M3280" t="n">
        <v>0</v>
      </c>
      <c r="N3280" t="n">
        <v>0</v>
      </c>
      <c r="O3280" t="n">
        <v>0</v>
      </c>
      <c r="P3280" t="n">
        <v>0</v>
      </c>
      <c r="Q3280" t="n">
        <v>0</v>
      </c>
      <c r="R3280" t="n">
        <v>0</v>
      </c>
      <c r="S3280" t="n">
        <v>0</v>
      </c>
      <c r="T3280" t="n">
        <v>0</v>
      </c>
      <c r="U3280" t="n">
        <v>0</v>
      </c>
      <c r="V3280" s="2" t="inlineStr"/>
    </row>
    <row r="3281" ht="15" customHeight="1">
      <c r="A3281" t="inlineStr">
        <is>
          <t>S 3665-2023</t>
        </is>
      </c>
      <c r="B3281" t="inlineStr">
        <is>
          <t>samrådsanmälan</t>
        </is>
      </c>
      <c r="C3281" t="inlineStr">
        <is>
          <t>Annan skogsbruksåtgärd</t>
        </is>
      </c>
      <c r="D3281" s="1" t="n">
        <v>45217</v>
      </c>
      <c r="E3281" s="1" t="n">
        <v>46313</v>
      </c>
      <c r="F3281" t="inlineStr">
        <is>
          <t>SÖDERMANLANDS LÄN</t>
        </is>
      </c>
      <c r="G3281" t="inlineStr">
        <is>
          <t>ESKILSTUNA</t>
        </is>
      </c>
      <c r="I3281" t="n">
        <v>2.3</v>
      </c>
      <c r="J3281" t="n">
        <v>0</v>
      </c>
      <c r="K3281" t="n">
        <v>0</v>
      </c>
      <c r="L3281" t="n">
        <v>0</v>
      </c>
      <c r="M3281" t="n">
        <v>0</v>
      </c>
      <c r="N3281" t="n">
        <v>0</v>
      </c>
      <c r="O3281" t="n">
        <v>0</v>
      </c>
      <c r="P3281" t="n">
        <v>0</v>
      </c>
      <c r="Q3281" t="n">
        <v>0</v>
      </c>
      <c r="R3281" t="n">
        <v>0</v>
      </c>
      <c r="S3281" t="n">
        <v>0</v>
      </c>
      <c r="T3281" t="n">
        <v>0</v>
      </c>
      <c r="U3281" t="n">
        <v>0</v>
      </c>
      <c r="V3281" s="2" t="inlineStr"/>
    </row>
    <row r="3282" ht="15" customHeight="1">
      <c r="A3282" t="inlineStr">
        <is>
          <t>S 482-2022</t>
        </is>
      </c>
      <c r="B3282" t="inlineStr">
        <is>
          <t>samrådsanmälan</t>
        </is>
      </c>
      <c r="C3282" t="inlineStr">
        <is>
          <t>Annan skogsbruksåtgärd</t>
        </is>
      </c>
      <c r="D3282" s="1" t="n">
        <v>44588</v>
      </c>
      <c r="E3282" s="1" t="n">
        <v>46313</v>
      </c>
      <c r="F3282" t="inlineStr">
        <is>
          <t>SÖDERMANLANDS LÄN</t>
        </is>
      </c>
      <c r="G3282" t="inlineStr">
        <is>
          <t>FLEN</t>
        </is>
      </c>
      <c r="I3282" t="n">
        <v>0.1</v>
      </c>
      <c r="J3282" t="n">
        <v>0</v>
      </c>
      <c r="K3282" t="n">
        <v>0</v>
      </c>
      <c r="L3282" t="n">
        <v>0</v>
      </c>
      <c r="M3282" t="n">
        <v>0</v>
      </c>
      <c r="N3282" t="n">
        <v>0</v>
      </c>
      <c r="O3282" t="n">
        <v>0</v>
      </c>
      <c r="P3282" t="n">
        <v>0</v>
      </c>
      <c r="Q3282" t="n">
        <v>0</v>
      </c>
      <c r="R3282" t="n">
        <v>0</v>
      </c>
      <c r="S3282" t="n">
        <v>0</v>
      </c>
      <c r="T3282" t="n">
        <v>0</v>
      </c>
      <c r="U3282" t="n">
        <v>0</v>
      </c>
      <c r="V3282" s="2" t="inlineStr"/>
    </row>
    <row r="3283" ht="15" customHeight="1">
      <c r="A3283" t="inlineStr">
        <is>
          <t>S 2321-2022</t>
        </is>
      </c>
      <c r="B3283" t="inlineStr">
        <is>
          <t>samrådsanmälan</t>
        </is>
      </c>
      <c r="C3283" t="inlineStr">
        <is>
          <t>Åtgärd i nyckelbiotop</t>
        </is>
      </c>
      <c r="D3283" s="1" t="n">
        <v>44685</v>
      </c>
      <c r="E3283" s="1" t="n">
        <v>46313</v>
      </c>
      <c r="F3283" t="inlineStr">
        <is>
          <t>SÖDERMANLANDS LÄN</t>
        </is>
      </c>
      <c r="G3283" t="inlineStr">
        <is>
          <t>FLEN</t>
        </is>
      </c>
      <c r="H3283" t="inlineStr">
        <is>
          <t>Kyrkan</t>
        </is>
      </c>
      <c r="I3283" t="n">
        <v>0.1</v>
      </c>
      <c r="J3283" t="n">
        <v>0</v>
      </c>
      <c r="K3283" t="n">
        <v>0</v>
      </c>
      <c r="L3283" t="n">
        <v>0</v>
      </c>
      <c r="M3283" t="n">
        <v>0</v>
      </c>
      <c r="N3283" t="n">
        <v>0</v>
      </c>
      <c r="O3283" t="n">
        <v>0</v>
      </c>
      <c r="P3283" t="n">
        <v>0</v>
      </c>
      <c r="Q3283" t="n">
        <v>0</v>
      </c>
      <c r="R3283" t="n">
        <v>0</v>
      </c>
      <c r="S3283" t="n">
        <v>0</v>
      </c>
      <c r="T3283" t="n">
        <v>0</v>
      </c>
      <c r="U3283" t="n">
        <v>0</v>
      </c>
      <c r="V3283" s="2" t="inlineStr"/>
    </row>
    <row r="3284" ht="15" customHeight="1">
      <c r="A3284" t="inlineStr">
        <is>
          <t>S 1976-2024</t>
        </is>
      </c>
      <c r="B3284" t="inlineStr">
        <is>
          <t>samrådsanmälan</t>
        </is>
      </c>
      <c r="C3284" t="inlineStr">
        <is>
          <t>Annan skogsbruksåtgärd</t>
        </is>
      </c>
      <c r="D3284" s="1" t="n">
        <v>45446</v>
      </c>
      <c r="E3284" s="1" t="n">
        <v>46313</v>
      </c>
      <c r="F3284" t="inlineStr">
        <is>
          <t>SÖDERMANLANDS LÄN</t>
        </is>
      </c>
      <c r="G3284" t="inlineStr">
        <is>
          <t>FLEN</t>
        </is>
      </c>
      <c r="I3284" t="n">
        <v>2.1</v>
      </c>
      <c r="J3284" t="n">
        <v>0</v>
      </c>
      <c r="K3284" t="n">
        <v>0</v>
      </c>
      <c r="L3284" t="n">
        <v>0</v>
      </c>
      <c r="M3284" t="n">
        <v>0</v>
      </c>
      <c r="N3284" t="n">
        <v>0</v>
      </c>
      <c r="O3284" t="n">
        <v>0</v>
      </c>
      <c r="P3284" t="n">
        <v>0</v>
      </c>
      <c r="Q3284" t="n">
        <v>0</v>
      </c>
      <c r="R3284" t="n">
        <v>0</v>
      </c>
      <c r="S3284" t="n">
        <v>0</v>
      </c>
      <c r="T3284" t="n">
        <v>0</v>
      </c>
      <c r="U3284" t="n">
        <v>0</v>
      </c>
      <c r="V3284" s="2" t="inlineStr"/>
    </row>
    <row r="3285" ht="15" customHeight="1">
      <c r="A3285" t="inlineStr">
        <is>
          <t>S 3717-2023</t>
        </is>
      </c>
      <c r="B3285" t="inlineStr">
        <is>
          <t>samrådsanmälan</t>
        </is>
      </c>
      <c r="C3285" t="inlineStr">
        <is>
          <t>Annan skogsbruksåtgärd</t>
        </is>
      </c>
      <c r="D3285" s="1" t="n">
        <v>45226</v>
      </c>
      <c r="E3285" s="1" t="n">
        <v>46313</v>
      </c>
      <c r="F3285" t="inlineStr">
        <is>
          <t>SÖDERMANLANDS LÄN</t>
        </is>
      </c>
      <c r="G3285" t="inlineStr">
        <is>
          <t>STRÄNGNÄS</t>
        </is>
      </c>
      <c r="I3285" t="n">
        <v>3.3</v>
      </c>
      <c r="J3285" t="n">
        <v>0</v>
      </c>
      <c r="K3285" t="n">
        <v>0</v>
      </c>
      <c r="L3285" t="n">
        <v>0</v>
      </c>
      <c r="M3285" t="n">
        <v>0</v>
      </c>
      <c r="N3285" t="n">
        <v>0</v>
      </c>
      <c r="O3285" t="n">
        <v>0</v>
      </c>
      <c r="P3285" t="n">
        <v>0</v>
      </c>
      <c r="Q3285" t="n">
        <v>0</v>
      </c>
      <c r="R3285" t="n">
        <v>0</v>
      </c>
      <c r="S3285" t="n">
        <v>0</v>
      </c>
      <c r="T3285" t="n">
        <v>0</v>
      </c>
      <c r="U3285" t="n">
        <v>0</v>
      </c>
      <c r="V3285" s="2" t="inlineStr"/>
    </row>
    <row r="3286" ht="15" customHeight="1">
      <c r="A3286" t="inlineStr">
        <is>
          <t>S 4583-2023</t>
        </is>
      </c>
      <c r="B3286" t="inlineStr">
        <is>
          <t>samrådsanmälan</t>
        </is>
      </c>
      <c r="C3286" t="inlineStr">
        <is>
          <t>Skogsgödsling</t>
        </is>
      </c>
      <c r="D3286" s="1" t="n">
        <v>45282</v>
      </c>
      <c r="E3286" s="1" t="n">
        <v>46313</v>
      </c>
      <c r="F3286" t="inlineStr">
        <is>
          <t>SÖDERMANLANDS LÄN</t>
        </is>
      </c>
      <c r="G3286" t="inlineStr">
        <is>
          <t>ESKILSTUNA</t>
        </is>
      </c>
      <c r="I3286" t="n">
        <v>31.4</v>
      </c>
      <c r="J3286" t="n">
        <v>0</v>
      </c>
      <c r="K3286" t="n">
        <v>0</v>
      </c>
      <c r="L3286" t="n">
        <v>0</v>
      </c>
      <c r="M3286" t="n">
        <v>0</v>
      </c>
      <c r="N3286" t="n">
        <v>0</v>
      </c>
      <c r="O3286" t="n">
        <v>0</v>
      </c>
      <c r="P3286" t="n">
        <v>0</v>
      </c>
      <c r="Q3286" t="n">
        <v>0</v>
      </c>
      <c r="R3286" t="n">
        <v>0</v>
      </c>
      <c r="S3286" t="n">
        <v>0</v>
      </c>
      <c r="T3286" t="n">
        <v>0</v>
      </c>
      <c r="U3286" t="n">
        <v>0</v>
      </c>
      <c r="V3286" s="2" t="inlineStr"/>
    </row>
    <row r="3287" ht="15" customHeight="1">
      <c r="A3287" t="inlineStr">
        <is>
          <t>S 3579-2022</t>
        </is>
      </c>
      <c r="B3287" t="inlineStr">
        <is>
          <t>samrådsanmälan</t>
        </is>
      </c>
      <c r="C3287" t="inlineStr">
        <is>
          <t>Annan skogsbruksåtgärd</t>
        </is>
      </c>
      <c r="D3287" s="1" t="n">
        <v>44735</v>
      </c>
      <c r="E3287" s="1" t="n">
        <v>46313</v>
      </c>
      <c r="F3287" t="inlineStr">
        <is>
          <t>SÖDERMANLANDS LÄN</t>
        </is>
      </c>
      <c r="G3287" t="inlineStr">
        <is>
          <t>NYKÖPING</t>
        </is>
      </c>
      <c r="H3287" t="inlineStr">
        <is>
          <t>Sveaskog</t>
        </is>
      </c>
      <c r="I3287" t="n">
        <v>3.1</v>
      </c>
      <c r="J3287" t="n">
        <v>0</v>
      </c>
      <c r="K3287" t="n">
        <v>0</v>
      </c>
      <c r="L3287" t="n">
        <v>0</v>
      </c>
      <c r="M3287" t="n">
        <v>0</v>
      </c>
      <c r="N3287" t="n">
        <v>0</v>
      </c>
      <c r="O3287" t="n">
        <v>0</v>
      </c>
      <c r="P3287" t="n">
        <v>0</v>
      </c>
      <c r="Q3287" t="n">
        <v>0</v>
      </c>
      <c r="R3287" t="n">
        <v>0</v>
      </c>
      <c r="S3287" t="n">
        <v>0</v>
      </c>
      <c r="T3287" t="n">
        <v>0</v>
      </c>
      <c r="U3287" t="n">
        <v>0</v>
      </c>
      <c r="V3287" s="2" t="inlineStr"/>
    </row>
    <row r="3288" ht="15" customHeight="1">
      <c r="A3288" t="inlineStr">
        <is>
          <t>S 1224-2023</t>
        </is>
      </c>
      <c r="B3288" t="inlineStr">
        <is>
          <t>samrådsanmälan</t>
        </is>
      </c>
      <c r="C3288" t="inlineStr">
        <is>
          <t>Annan skogsbruksåtgärd</t>
        </is>
      </c>
      <c r="D3288" s="1" t="n">
        <v>45029</v>
      </c>
      <c r="E3288" s="1" t="n">
        <v>46313</v>
      </c>
      <c r="F3288" t="inlineStr">
        <is>
          <t>SÖDERMANLANDS LÄN</t>
        </is>
      </c>
      <c r="G3288" t="inlineStr">
        <is>
          <t>NYKÖPING</t>
        </is>
      </c>
      <c r="I3288" t="n">
        <v>0</v>
      </c>
      <c r="J3288" t="n">
        <v>0</v>
      </c>
      <c r="K3288" t="n">
        <v>0</v>
      </c>
      <c r="L3288" t="n">
        <v>0</v>
      </c>
      <c r="M3288" t="n">
        <v>0</v>
      </c>
      <c r="N3288" t="n">
        <v>0</v>
      </c>
      <c r="O3288" t="n">
        <v>0</v>
      </c>
      <c r="P3288" t="n">
        <v>0</v>
      </c>
      <c r="Q3288" t="n">
        <v>0</v>
      </c>
      <c r="R3288" t="n">
        <v>0</v>
      </c>
      <c r="S3288" t="n">
        <v>0</v>
      </c>
      <c r="T3288" t="n">
        <v>0</v>
      </c>
      <c r="U3288" t="n">
        <v>0</v>
      </c>
      <c r="V3288" s="2" t="inlineStr"/>
    </row>
    <row r="3289" ht="15" customHeight="1">
      <c r="A3289" t="inlineStr">
        <is>
          <t>S 633-2025</t>
        </is>
      </c>
      <c r="B3289" t="inlineStr">
        <is>
          <t>samrådsanmälan</t>
        </is>
      </c>
      <c r="C3289" t="inlineStr">
        <is>
          <t>Skogsgödsling</t>
        </is>
      </c>
      <c r="D3289" s="1" t="n">
        <v>45714</v>
      </c>
      <c r="E3289" s="1" t="n">
        <v>46313</v>
      </c>
      <c r="F3289" t="inlineStr">
        <is>
          <t>SÖDERMANLANDS LÄN</t>
        </is>
      </c>
      <c r="G3289" t="inlineStr">
        <is>
          <t>NYKÖPING</t>
        </is>
      </c>
      <c r="H3289" t="inlineStr">
        <is>
          <t>Holmen skog AB</t>
        </is>
      </c>
      <c r="I3289" t="n">
        <v>39.6</v>
      </c>
      <c r="J3289" t="n">
        <v>0</v>
      </c>
      <c r="K3289" t="n">
        <v>0</v>
      </c>
      <c r="L3289" t="n">
        <v>0</v>
      </c>
      <c r="M3289" t="n">
        <v>0</v>
      </c>
      <c r="N3289" t="n">
        <v>0</v>
      </c>
      <c r="O3289" t="n">
        <v>0</v>
      </c>
      <c r="P3289" t="n">
        <v>0</v>
      </c>
      <c r="Q3289" t="n">
        <v>0</v>
      </c>
      <c r="R3289" t="n">
        <v>0</v>
      </c>
      <c r="S3289" t="n">
        <v>0</v>
      </c>
      <c r="T3289" t="n">
        <v>0</v>
      </c>
      <c r="U3289" t="n">
        <v>0</v>
      </c>
      <c r="V3289" s="2" t="inlineStr"/>
    </row>
    <row r="3290" ht="15" customHeight="1">
      <c r="A3290" t="inlineStr">
        <is>
          <t>S 634-2025</t>
        </is>
      </c>
      <c r="B3290" t="inlineStr">
        <is>
          <t>samrådsanmälan</t>
        </is>
      </c>
      <c r="C3290" t="inlineStr">
        <is>
          <t>Skogsgödsling</t>
        </is>
      </c>
      <c r="D3290" s="1" t="n">
        <v>45714</v>
      </c>
      <c r="E3290" s="1" t="n">
        <v>46313</v>
      </c>
      <c r="F3290" t="inlineStr">
        <is>
          <t>SÖDERMANLANDS LÄN</t>
        </is>
      </c>
      <c r="G3290" t="inlineStr">
        <is>
          <t>KATRINEHOLM</t>
        </is>
      </c>
      <c r="H3290" t="inlineStr">
        <is>
          <t>Holmen skog AB</t>
        </is>
      </c>
      <c r="I3290" t="n">
        <v>30.5</v>
      </c>
      <c r="J3290" t="n">
        <v>0</v>
      </c>
      <c r="K3290" t="n">
        <v>0</v>
      </c>
      <c r="L3290" t="n">
        <v>0</v>
      </c>
      <c r="M3290" t="n">
        <v>0</v>
      </c>
      <c r="N3290" t="n">
        <v>0</v>
      </c>
      <c r="O3290" t="n">
        <v>0</v>
      </c>
      <c r="P3290" t="n">
        <v>0</v>
      </c>
      <c r="Q3290" t="n">
        <v>0</v>
      </c>
      <c r="R3290" t="n">
        <v>0</v>
      </c>
      <c r="S3290" t="n">
        <v>0</v>
      </c>
      <c r="T3290" t="n">
        <v>0</v>
      </c>
      <c r="U3290" t="n">
        <v>0</v>
      </c>
      <c r="V3290" s="2" t="inlineStr"/>
    </row>
    <row r="3291" ht="15" customHeight="1">
      <c r="A3291" t="inlineStr">
        <is>
          <t>S 632-2025</t>
        </is>
      </c>
      <c r="B3291" t="inlineStr">
        <is>
          <t>samrådsanmälan</t>
        </is>
      </c>
      <c r="C3291" t="inlineStr">
        <is>
          <t>Skogsgödsling</t>
        </is>
      </c>
      <c r="D3291" s="1" t="n">
        <v>45714</v>
      </c>
      <c r="E3291" s="1" t="n">
        <v>46313</v>
      </c>
      <c r="F3291" t="inlineStr">
        <is>
          <t>SÖDERMANLANDS LÄN</t>
        </is>
      </c>
      <c r="G3291" t="inlineStr">
        <is>
          <t>TROSA</t>
        </is>
      </c>
      <c r="H3291" t="inlineStr">
        <is>
          <t>Holmen skog AB</t>
        </is>
      </c>
      <c r="I3291" t="n">
        <v>36.2</v>
      </c>
      <c r="J3291" t="n">
        <v>0</v>
      </c>
      <c r="K3291" t="n">
        <v>0</v>
      </c>
      <c r="L3291" t="n">
        <v>0</v>
      </c>
      <c r="M3291" t="n">
        <v>0</v>
      </c>
      <c r="N3291" t="n">
        <v>0</v>
      </c>
      <c r="O3291" t="n">
        <v>0</v>
      </c>
      <c r="P3291" t="n">
        <v>0</v>
      </c>
      <c r="Q3291" t="n">
        <v>0</v>
      </c>
      <c r="R3291" t="n">
        <v>0</v>
      </c>
      <c r="S3291" t="n">
        <v>0</v>
      </c>
      <c r="T3291" t="n">
        <v>0</v>
      </c>
      <c r="U3291" t="n">
        <v>0</v>
      </c>
      <c r="V3291" s="2" t="inlineStr"/>
    </row>
    <row r="3292" ht="15" customHeight="1">
      <c r="A3292" t="inlineStr">
        <is>
          <t>S 1214-2025</t>
        </is>
      </c>
      <c r="B3292" t="inlineStr">
        <is>
          <t>samrådsanmälan</t>
        </is>
      </c>
      <c r="C3292" t="inlineStr">
        <is>
          <t>Annan skogsbruksåtgärd</t>
        </is>
      </c>
      <c r="D3292" s="1" t="n">
        <v>45761</v>
      </c>
      <c r="E3292" s="1" t="n">
        <v>46313</v>
      </c>
      <c r="F3292" t="inlineStr">
        <is>
          <t>SÖDERMANLANDS LÄN</t>
        </is>
      </c>
      <c r="G3292" t="inlineStr">
        <is>
          <t>VINGÅKER</t>
        </is>
      </c>
      <c r="H3292" t="inlineStr">
        <is>
          <t>Sveaskog</t>
        </is>
      </c>
      <c r="I3292" t="n">
        <v>1</v>
      </c>
      <c r="J3292" t="n">
        <v>0</v>
      </c>
      <c r="K3292" t="n">
        <v>0</v>
      </c>
      <c r="L3292" t="n">
        <v>0</v>
      </c>
      <c r="M3292" t="n">
        <v>0</v>
      </c>
      <c r="N3292" t="n">
        <v>0</v>
      </c>
      <c r="O3292" t="n">
        <v>0</v>
      </c>
      <c r="P3292" t="n">
        <v>0</v>
      </c>
      <c r="Q3292" t="n">
        <v>0</v>
      </c>
      <c r="R3292" t="n">
        <v>0</v>
      </c>
      <c r="S3292" t="n">
        <v>0</v>
      </c>
      <c r="T3292" t="n">
        <v>0</v>
      </c>
      <c r="U3292" t="n">
        <v>0</v>
      </c>
      <c r="V3292" s="2" t="inlineStr"/>
    </row>
    <row r="3293" ht="15" customHeight="1">
      <c r="A3293" t="inlineStr">
        <is>
          <t>S 1213-2025</t>
        </is>
      </c>
      <c r="B3293" t="inlineStr">
        <is>
          <t>samrådsanmälan</t>
        </is>
      </c>
      <c r="C3293" t="inlineStr">
        <is>
          <t>Annan skogsbruksåtgärd</t>
        </is>
      </c>
      <c r="D3293" s="1" t="n">
        <v>45761</v>
      </c>
      <c r="E3293" s="1" t="n">
        <v>46313</v>
      </c>
      <c r="F3293" t="inlineStr">
        <is>
          <t>SÖDERMANLANDS LÄN</t>
        </is>
      </c>
      <c r="G3293" t="inlineStr">
        <is>
          <t>VINGÅKER</t>
        </is>
      </c>
      <c r="H3293" t="inlineStr">
        <is>
          <t>Sveaskog</t>
        </is>
      </c>
      <c r="I3293" t="n">
        <v>1.3</v>
      </c>
      <c r="J3293" t="n">
        <v>0</v>
      </c>
      <c r="K3293" t="n">
        <v>0</v>
      </c>
      <c r="L3293" t="n">
        <v>0</v>
      </c>
      <c r="M3293" t="n">
        <v>0</v>
      </c>
      <c r="N3293" t="n">
        <v>0</v>
      </c>
      <c r="O3293" t="n">
        <v>0</v>
      </c>
      <c r="P3293" t="n">
        <v>0</v>
      </c>
      <c r="Q3293" t="n">
        <v>0</v>
      </c>
      <c r="R3293" t="n">
        <v>0</v>
      </c>
      <c r="S3293" t="n">
        <v>0</v>
      </c>
      <c r="T3293" t="n">
        <v>0</v>
      </c>
      <c r="U3293" t="n">
        <v>0</v>
      </c>
      <c r="V3293" s="2" t="inlineStr"/>
    </row>
    <row r="3294" ht="15" customHeight="1">
      <c r="A3294" t="inlineStr">
        <is>
          <t>S 1266-2025</t>
        </is>
      </c>
      <c r="B3294" t="inlineStr">
        <is>
          <t>samrådsanmälan</t>
        </is>
      </c>
      <c r="C3294" t="inlineStr">
        <is>
          <t>Annan skogsbruksåtgärd</t>
        </is>
      </c>
      <c r="D3294" s="1" t="n">
        <v>45764</v>
      </c>
      <c r="E3294" s="1" t="n">
        <v>46313</v>
      </c>
      <c r="F3294" t="inlineStr">
        <is>
          <t>SÖDERMANLANDS LÄN</t>
        </is>
      </c>
      <c r="G3294" t="inlineStr">
        <is>
          <t>VINGÅKER</t>
        </is>
      </c>
      <c r="H3294" t="inlineStr">
        <is>
          <t>Sveaskog</t>
        </is>
      </c>
      <c r="I3294" t="n">
        <v>1.1</v>
      </c>
      <c r="J3294" t="n">
        <v>0</v>
      </c>
      <c r="K3294" t="n">
        <v>0</v>
      </c>
      <c r="L3294" t="n">
        <v>0</v>
      </c>
      <c r="M3294" t="n">
        <v>0</v>
      </c>
      <c r="N3294" t="n">
        <v>0</v>
      </c>
      <c r="O3294" t="n">
        <v>0</v>
      </c>
      <c r="P3294" t="n">
        <v>0</v>
      </c>
      <c r="Q3294" t="n">
        <v>0</v>
      </c>
      <c r="R3294" t="n">
        <v>0</v>
      </c>
      <c r="S3294" t="n">
        <v>0</v>
      </c>
      <c r="T3294" t="n">
        <v>0</v>
      </c>
      <c r="U3294" t="n">
        <v>0</v>
      </c>
      <c r="V3294" s="2" t="inlineStr"/>
    </row>
    <row r="3295" ht="15" customHeight="1">
      <c r="A3295" t="inlineStr">
        <is>
          <t>S 1260-2025</t>
        </is>
      </c>
      <c r="B3295" t="inlineStr">
        <is>
          <t>samrådsanmälan</t>
        </is>
      </c>
      <c r="C3295" t="inlineStr">
        <is>
          <t>Annan skogsbruksåtgärd</t>
        </is>
      </c>
      <c r="D3295" s="1" t="n">
        <v>45763</v>
      </c>
      <c r="E3295" s="1" t="n">
        <v>46313</v>
      </c>
      <c r="F3295" t="inlineStr">
        <is>
          <t>SÖDERMANLANDS LÄN</t>
        </is>
      </c>
      <c r="G3295" t="inlineStr">
        <is>
          <t>VINGÅKER</t>
        </is>
      </c>
      <c r="H3295" t="inlineStr">
        <is>
          <t>Sveaskog</t>
        </is>
      </c>
      <c r="I3295" t="n">
        <v>1.3</v>
      </c>
      <c r="J3295" t="n">
        <v>0</v>
      </c>
      <c r="K3295" t="n">
        <v>0</v>
      </c>
      <c r="L3295" t="n">
        <v>0</v>
      </c>
      <c r="M3295" t="n">
        <v>0</v>
      </c>
      <c r="N3295" t="n">
        <v>0</v>
      </c>
      <c r="O3295" t="n">
        <v>0</v>
      </c>
      <c r="P3295" t="n">
        <v>0</v>
      </c>
      <c r="Q3295" t="n">
        <v>0</v>
      </c>
      <c r="R3295" t="n">
        <v>0</v>
      </c>
      <c r="S3295" t="n">
        <v>0</v>
      </c>
      <c r="T3295" t="n">
        <v>0</v>
      </c>
      <c r="U3295" t="n">
        <v>0</v>
      </c>
      <c r="V3295" s="2" t="inlineStr"/>
    </row>
    <row r="3296" ht="15" customHeight="1">
      <c r="A3296" t="inlineStr">
        <is>
          <t>S 3350-2024</t>
        </is>
      </c>
      <c r="B3296" t="inlineStr">
        <is>
          <t>samrådsanmälan</t>
        </is>
      </c>
      <c r="C3296" t="inlineStr">
        <is>
          <t>Annan skogsbruksåtgärd</t>
        </is>
      </c>
      <c r="D3296" s="1" t="n">
        <v>45531</v>
      </c>
      <c r="E3296" s="1" t="n">
        <v>46313</v>
      </c>
      <c r="F3296" t="inlineStr">
        <is>
          <t>SÖDERMANLANDS LÄN</t>
        </is>
      </c>
      <c r="G3296" t="inlineStr">
        <is>
          <t>KATRINEHOLM</t>
        </is>
      </c>
      <c r="I3296" t="n">
        <v>3.7</v>
      </c>
      <c r="J3296" t="n">
        <v>0</v>
      </c>
      <c r="K3296" t="n">
        <v>0</v>
      </c>
      <c r="L3296" t="n">
        <v>0</v>
      </c>
      <c r="M3296" t="n">
        <v>0</v>
      </c>
      <c r="N3296" t="n">
        <v>0</v>
      </c>
      <c r="O3296" t="n">
        <v>0</v>
      </c>
      <c r="P3296" t="n">
        <v>0</v>
      </c>
      <c r="Q3296" t="n">
        <v>0</v>
      </c>
      <c r="R3296" t="n">
        <v>0</v>
      </c>
      <c r="S3296" t="n">
        <v>0</v>
      </c>
      <c r="T3296" t="n">
        <v>0</v>
      </c>
      <c r="U3296" t="n">
        <v>0</v>
      </c>
      <c r="V3296" s="2" t="inlineStr"/>
    </row>
    <row r="3297" ht="15" customHeight="1">
      <c r="A3297" t="inlineStr">
        <is>
          <t>S 1601-2025</t>
        </is>
      </c>
      <c r="B3297" t="inlineStr">
        <is>
          <t>samrådsanmälan</t>
        </is>
      </c>
      <c r="C3297" t="inlineStr">
        <is>
          <t>Annan skogsbruksåtgärd</t>
        </is>
      </c>
      <c r="D3297" s="1" t="n">
        <v>45798</v>
      </c>
      <c r="E3297" s="1" t="n">
        <v>46313</v>
      </c>
      <c r="F3297" t="inlineStr">
        <is>
          <t>SÖDERMANLANDS LÄN</t>
        </is>
      </c>
      <c r="G3297" t="inlineStr">
        <is>
          <t>ESKILSTUNA</t>
        </is>
      </c>
      <c r="H3297" t="inlineStr">
        <is>
          <t>Sveaskog</t>
        </is>
      </c>
      <c r="I3297" t="n">
        <v>1</v>
      </c>
      <c r="J3297" t="n">
        <v>0</v>
      </c>
      <c r="K3297" t="n">
        <v>0</v>
      </c>
      <c r="L3297" t="n">
        <v>0</v>
      </c>
      <c r="M3297" t="n">
        <v>0</v>
      </c>
      <c r="N3297" t="n">
        <v>0</v>
      </c>
      <c r="O3297" t="n">
        <v>0</v>
      </c>
      <c r="P3297" t="n">
        <v>0</v>
      </c>
      <c r="Q3297" t="n">
        <v>0</v>
      </c>
      <c r="R3297" t="n">
        <v>0</v>
      </c>
      <c r="S3297" t="n">
        <v>0</v>
      </c>
      <c r="T3297" t="n">
        <v>0</v>
      </c>
      <c r="U3297" t="n">
        <v>0</v>
      </c>
      <c r="V3297" s="2" t="inlineStr"/>
    </row>
    <row r="3298" ht="15" customHeight="1">
      <c r="A3298" t="inlineStr">
        <is>
          <t>S 1605-2025</t>
        </is>
      </c>
      <c r="B3298" t="inlineStr">
        <is>
          <t>samrådsanmälan</t>
        </is>
      </c>
      <c r="C3298" t="inlineStr">
        <is>
          <t>Annan skogsbruksåtgärd</t>
        </is>
      </c>
      <c r="D3298" s="1" t="n">
        <v>45798</v>
      </c>
      <c r="E3298" s="1" t="n">
        <v>46313</v>
      </c>
      <c r="F3298" t="inlineStr">
        <is>
          <t>SÖDERMANLANDS LÄN</t>
        </is>
      </c>
      <c r="G3298" t="inlineStr">
        <is>
          <t>KATRINEHOLM</t>
        </is>
      </c>
      <c r="I3298" t="n">
        <v>6.3</v>
      </c>
      <c r="J3298" t="n">
        <v>0</v>
      </c>
      <c r="K3298" t="n">
        <v>0</v>
      </c>
      <c r="L3298" t="n">
        <v>0</v>
      </c>
      <c r="M3298" t="n">
        <v>0</v>
      </c>
      <c r="N3298" t="n">
        <v>0</v>
      </c>
      <c r="O3298" t="n">
        <v>0</v>
      </c>
      <c r="P3298" t="n">
        <v>0</v>
      </c>
      <c r="Q3298" t="n">
        <v>0</v>
      </c>
      <c r="R3298" t="n">
        <v>0</v>
      </c>
      <c r="S3298" t="n">
        <v>0</v>
      </c>
      <c r="T3298" t="n">
        <v>0</v>
      </c>
      <c r="U3298" t="n">
        <v>0</v>
      </c>
      <c r="V3298" s="2" t="inlineStr"/>
    </row>
    <row r="3299" ht="15" customHeight="1">
      <c r="A3299" t="inlineStr">
        <is>
          <t>S 1602-2025</t>
        </is>
      </c>
      <c r="B3299" t="inlineStr">
        <is>
          <t>samrådsanmälan</t>
        </is>
      </c>
      <c r="C3299" t="inlineStr">
        <is>
          <t>Annan skogsbruksåtgärd</t>
        </is>
      </c>
      <c r="D3299" s="1" t="n">
        <v>45798</v>
      </c>
      <c r="E3299" s="1" t="n">
        <v>46313</v>
      </c>
      <c r="F3299" t="inlineStr">
        <is>
          <t>SÖDERMANLANDS LÄN</t>
        </is>
      </c>
      <c r="G3299" t="inlineStr">
        <is>
          <t>ESKILSTUNA</t>
        </is>
      </c>
      <c r="H3299" t="inlineStr">
        <is>
          <t>Sveaskog</t>
        </is>
      </c>
      <c r="I3299" t="n">
        <v>1.2</v>
      </c>
      <c r="J3299" t="n">
        <v>0</v>
      </c>
      <c r="K3299" t="n">
        <v>0</v>
      </c>
      <c r="L3299" t="n">
        <v>0</v>
      </c>
      <c r="M3299" t="n">
        <v>0</v>
      </c>
      <c r="N3299" t="n">
        <v>0</v>
      </c>
      <c r="O3299" t="n">
        <v>0</v>
      </c>
      <c r="P3299" t="n">
        <v>0</v>
      </c>
      <c r="Q3299" t="n">
        <v>0</v>
      </c>
      <c r="R3299" t="n">
        <v>0</v>
      </c>
      <c r="S3299" t="n">
        <v>0</v>
      </c>
      <c r="T3299" t="n">
        <v>0</v>
      </c>
      <c r="U3299" t="n">
        <v>0</v>
      </c>
      <c r="V3299" s="2" t="inlineStr"/>
    </row>
    <row r="3300" ht="15" customHeight="1">
      <c r="A3300" t="inlineStr">
        <is>
          <t>S 3071-2024</t>
        </is>
      </c>
      <c r="B3300" t="inlineStr">
        <is>
          <t>samrådsanmälan</t>
        </is>
      </c>
      <c r="C3300" t="inlineStr">
        <is>
          <t>Annan skogsbruksåtgärd</t>
        </is>
      </c>
      <c r="D3300" s="1" t="n">
        <v>45517</v>
      </c>
      <c r="E3300" s="1" t="n">
        <v>46313</v>
      </c>
      <c r="F3300" t="inlineStr">
        <is>
          <t>SÖDERMANLANDS LÄN</t>
        </is>
      </c>
      <c r="G3300" t="inlineStr">
        <is>
          <t>NYKÖPING</t>
        </is>
      </c>
      <c r="H3300" t="inlineStr">
        <is>
          <t>Sveaskog</t>
        </is>
      </c>
      <c r="I3300" t="n">
        <v>1.3</v>
      </c>
      <c r="J3300" t="n">
        <v>0</v>
      </c>
      <c r="K3300" t="n">
        <v>0</v>
      </c>
      <c r="L3300" t="n">
        <v>0</v>
      </c>
      <c r="M3300" t="n">
        <v>0</v>
      </c>
      <c r="N3300" t="n">
        <v>0</v>
      </c>
      <c r="O3300" t="n">
        <v>0</v>
      </c>
      <c r="P3300" t="n">
        <v>0</v>
      </c>
      <c r="Q3300" t="n">
        <v>0</v>
      </c>
      <c r="R3300" t="n">
        <v>0</v>
      </c>
      <c r="S3300" t="n">
        <v>0</v>
      </c>
      <c r="T3300" t="n">
        <v>0</v>
      </c>
      <c r="U3300" t="n">
        <v>0</v>
      </c>
      <c r="V3300" s="2" t="inlineStr"/>
    </row>
    <row r="3301" ht="15" customHeight="1">
      <c r="A3301" t="inlineStr">
        <is>
          <t>S 291-2025</t>
        </is>
      </c>
      <c r="B3301" t="inlineStr">
        <is>
          <t>samrådsanmälan</t>
        </is>
      </c>
      <c r="C3301" t="inlineStr">
        <is>
          <t>Annan skogsbruksåtgärd</t>
        </is>
      </c>
      <c r="D3301" s="1" t="n">
        <v>45686</v>
      </c>
      <c r="E3301" s="1" t="n">
        <v>46313</v>
      </c>
      <c r="F3301" t="inlineStr">
        <is>
          <t>SÖDERMANLANDS LÄN</t>
        </is>
      </c>
      <c r="G3301" t="inlineStr">
        <is>
          <t>ESKILSTUNA</t>
        </is>
      </c>
      <c r="I3301" t="n">
        <v>0.5</v>
      </c>
      <c r="J3301" t="n">
        <v>0</v>
      </c>
      <c r="K3301" t="n">
        <v>0</v>
      </c>
      <c r="L3301" t="n">
        <v>0</v>
      </c>
      <c r="M3301" t="n">
        <v>0</v>
      </c>
      <c r="N3301" t="n">
        <v>0</v>
      </c>
      <c r="O3301" t="n">
        <v>0</v>
      </c>
      <c r="P3301" t="n">
        <v>0</v>
      </c>
      <c r="Q3301" t="n">
        <v>0</v>
      </c>
      <c r="R3301" t="n">
        <v>0</v>
      </c>
      <c r="S3301" t="n">
        <v>0</v>
      </c>
      <c r="T3301" t="n">
        <v>0</v>
      </c>
      <c r="U3301" t="n">
        <v>0</v>
      </c>
      <c r="V3301" s="2" t="inlineStr"/>
    </row>
    <row r="3302" ht="15" customHeight="1">
      <c r="A3302" t="inlineStr">
        <is>
          <t>S 1287-2024</t>
        </is>
      </c>
      <c r="B3302" t="inlineStr">
        <is>
          <t>samrådsanmälan</t>
        </is>
      </c>
      <c r="C3302" t="inlineStr">
        <is>
          <t>Annan skogsbruksåtgärd</t>
        </is>
      </c>
      <c r="D3302" s="1" t="n">
        <v>45403</v>
      </c>
      <c r="E3302" s="1" t="n">
        <v>46313</v>
      </c>
      <c r="F3302" t="inlineStr">
        <is>
          <t>SÖDERMANLANDS LÄN</t>
        </is>
      </c>
      <c r="G3302" t="inlineStr">
        <is>
          <t>FLEN</t>
        </is>
      </c>
      <c r="I3302" t="n">
        <v>0.1</v>
      </c>
      <c r="J3302" t="n">
        <v>0</v>
      </c>
      <c r="K3302" t="n">
        <v>0</v>
      </c>
      <c r="L3302" t="n">
        <v>0</v>
      </c>
      <c r="M3302" t="n">
        <v>0</v>
      </c>
      <c r="N3302" t="n">
        <v>0</v>
      </c>
      <c r="O3302" t="n">
        <v>0</v>
      </c>
      <c r="P3302" t="n">
        <v>0</v>
      </c>
      <c r="Q3302" t="n">
        <v>0</v>
      </c>
      <c r="R3302" t="n">
        <v>0</v>
      </c>
      <c r="S3302" t="n">
        <v>0</v>
      </c>
      <c r="T3302" t="n">
        <v>0</v>
      </c>
      <c r="U3302" t="n">
        <v>0</v>
      </c>
      <c r="V3302" s="2" t="inlineStr"/>
    </row>
    <row r="3303" ht="15" customHeight="1">
      <c r="A3303" t="inlineStr">
        <is>
          <t>S 2917-2024</t>
        </is>
      </c>
      <c r="B3303" t="inlineStr">
        <is>
          <t>samrådsanmälan</t>
        </is>
      </c>
      <c r="C3303" t="inlineStr">
        <is>
          <t>Annan skogsbruksåtgärd</t>
        </is>
      </c>
      <c r="D3303" s="1" t="n">
        <v>45504</v>
      </c>
      <c r="E3303" s="1" t="n">
        <v>46313</v>
      </c>
      <c r="F3303" t="inlineStr">
        <is>
          <t>SÖDERMANLANDS LÄN</t>
        </is>
      </c>
      <c r="G3303" t="inlineStr">
        <is>
          <t>ESKILSTUNA</t>
        </is>
      </c>
      <c r="I3303" t="n">
        <v>0.4</v>
      </c>
      <c r="J3303" t="n">
        <v>0</v>
      </c>
      <c r="K3303" t="n">
        <v>0</v>
      </c>
      <c r="L3303" t="n">
        <v>0</v>
      </c>
      <c r="M3303" t="n">
        <v>0</v>
      </c>
      <c r="N3303" t="n">
        <v>0</v>
      </c>
      <c r="O3303" t="n">
        <v>0</v>
      </c>
      <c r="P3303" t="n">
        <v>0</v>
      </c>
      <c r="Q3303" t="n">
        <v>0</v>
      </c>
      <c r="R3303" t="n">
        <v>0</v>
      </c>
      <c r="S3303" t="n">
        <v>0</v>
      </c>
      <c r="T3303" t="n">
        <v>0</v>
      </c>
      <c r="U3303" t="n">
        <v>0</v>
      </c>
      <c r="V3303" s="2" t="inlineStr"/>
    </row>
    <row r="3304" ht="15" customHeight="1">
      <c r="A3304" t="inlineStr">
        <is>
          <t>S 1920-2025</t>
        </is>
      </c>
      <c r="B3304" t="inlineStr">
        <is>
          <t>samrådsanmälan</t>
        </is>
      </c>
      <c r="C3304" t="inlineStr">
        <is>
          <t>Annan skogsbruksåtgärd</t>
        </is>
      </c>
      <c r="D3304" s="1" t="n">
        <v>45826</v>
      </c>
      <c r="E3304" s="1" t="n">
        <v>46313</v>
      </c>
      <c r="F3304" t="inlineStr">
        <is>
          <t>SÖDERMANLANDS LÄN</t>
        </is>
      </c>
      <c r="G3304" t="inlineStr">
        <is>
          <t>ESKILSTUNA</t>
        </is>
      </c>
      <c r="I3304" t="n">
        <v>0.9</v>
      </c>
      <c r="J3304" t="n">
        <v>0</v>
      </c>
      <c r="K3304" t="n">
        <v>0</v>
      </c>
      <c r="L3304" t="n">
        <v>0</v>
      </c>
      <c r="M3304" t="n">
        <v>0</v>
      </c>
      <c r="N3304" t="n">
        <v>0</v>
      </c>
      <c r="O3304" t="n">
        <v>0</v>
      </c>
      <c r="P3304" t="n">
        <v>0</v>
      </c>
      <c r="Q3304" t="n">
        <v>0</v>
      </c>
      <c r="R3304" t="n">
        <v>0</v>
      </c>
      <c r="S3304" t="n">
        <v>0</v>
      </c>
      <c r="T3304" t="n">
        <v>0</v>
      </c>
      <c r="U3304" t="n">
        <v>0</v>
      </c>
      <c r="V3304" s="2" t="inlineStr"/>
    </row>
    <row r="3305" ht="15" customHeight="1">
      <c r="A3305" t="inlineStr">
        <is>
          <t>S 1137-2025</t>
        </is>
      </c>
      <c r="B3305" t="inlineStr">
        <is>
          <t>samrådsanmälan</t>
        </is>
      </c>
      <c r="C3305" t="inlineStr">
        <is>
          <t>Annan skogsbruksåtgärd</t>
        </is>
      </c>
      <c r="D3305" s="1" t="n">
        <v>45755</v>
      </c>
      <c r="E3305" s="1" t="n">
        <v>46313</v>
      </c>
      <c r="F3305" t="inlineStr">
        <is>
          <t>SÖDERMANLANDS LÄN</t>
        </is>
      </c>
      <c r="G3305" t="inlineStr">
        <is>
          <t>VINGÅKER</t>
        </is>
      </c>
      <c r="I3305" t="n">
        <v>10.6</v>
      </c>
      <c r="J3305" t="n">
        <v>0</v>
      </c>
      <c r="K3305" t="n">
        <v>0</v>
      </c>
      <c r="L3305" t="n">
        <v>0</v>
      </c>
      <c r="M3305" t="n">
        <v>0</v>
      </c>
      <c r="N3305" t="n">
        <v>0</v>
      </c>
      <c r="O3305" t="n">
        <v>0</v>
      </c>
      <c r="P3305" t="n">
        <v>0</v>
      </c>
      <c r="Q3305" t="n">
        <v>0</v>
      </c>
      <c r="R3305" t="n">
        <v>0</v>
      </c>
      <c r="S3305" t="n">
        <v>0</v>
      </c>
      <c r="T3305" t="n">
        <v>0</v>
      </c>
      <c r="U3305" t="n">
        <v>0</v>
      </c>
      <c r="V3305" s="2" t="inlineStr"/>
    </row>
    <row r="3306" ht="15" customHeight="1">
      <c r="A3306" t="inlineStr">
        <is>
          <t>S 3685-2024</t>
        </is>
      </c>
      <c r="B3306" t="inlineStr">
        <is>
          <t>samrådsanmälan</t>
        </is>
      </c>
      <c r="C3306" t="inlineStr">
        <is>
          <t>Annan skogsbruksåtgärd</t>
        </is>
      </c>
      <c r="D3306" s="1" t="n">
        <v>45552</v>
      </c>
      <c r="E3306" s="1" t="n">
        <v>46313</v>
      </c>
      <c r="F3306" t="inlineStr">
        <is>
          <t>SÖDERMANLANDS LÄN</t>
        </is>
      </c>
      <c r="G3306" t="inlineStr">
        <is>
          <t>GNESTA</t>
        </is>
      </c>
      <c r="I3306" t="n">
        <v>0.6</v>
      </c>
      <c r="J3306" t="n">
        <v>0</v>
      </c>
      <c r="K3306" t="n">
        <v>0</v>
      </c>
      <c r="L3306" t="n">
        <v>0</v>
      </c>
      <c r="M3306" t="n">
        <v>0</v>
      </c>
      <c r="N3306" t="n">
        <v>0</v>
      </c>
      <c r="O3306" t="n">
        <v>0</v>
      </c>
      <c r="P3306" t="n">
        <v>0</v>
      </c>
      <c r="Q3306" t="n">
        <v>0</v>
      </c>
      <c r="R3306" t="n">
        <v>0</v>
      </c>
      <c r="S3306" t="n">
        <v>0</v>
      </c>
      <c r="T3306" t="n">
        <v>0</v>
      </c>
      <c r="U3306" t="n">
        <v>0</v>
      </c>
      <c r="V3306" s="2" t="inlineStr"/>
    </row>
    <row r="3307" ht="15" customHeight="1">
      <c r="A3307" t="inlineStr">
        <is>
          <t>S 2818-2025</t>
        </is>
      </c>
      <c r="B3307" t="inlineStr">
        <is>
          <t>samrådsanmälan</t>
        </is>
      </c>
      <c r="C3307" t="inlineStr">
        <is>
          <t>Annan skogsbruksåtgärd</t>
        </is>
      </c>
      <c r="D3307" s="1" t="n">
        <v>45939</v>
      </c>
      <c r="E3307" s="1" t="n">
        <v>46313</v>
      </c>
      <c r="F3307" t="inlineStr">
        <is>
          <t>SÖDERMANLANDS LÄN</t>
        </is>
      </c>
      <c r="G3307" t="inlineStr">
        <is>
          <t>NYKÖPING</t>
        </is>
      </c>
      <c r="H3307" t="inlineStr">
        <is>
          <t>Sveaskog</t>
        </is>
      </c>
      <c r="I3307" t="n">
        <v>3.5</v>
      </c>
      <c r="J3307" t="n">
        <v>0</v>
      </c>
      <c r="K3307" t="n">
        <v>0</v>
      </c>
      <c r="L3307" t="n">
        <v>0</v>
      </c>
      <c r="M3307" t="n">
        <v>0</v>
      </c>
      <c r="N3307" t="n">
        <v>0</v>
      </c>
      <c r="O3307" t="n">
        <v>0</v>
      </c>
      <c r="P3307" t="n">
        <v>0</v>
      </c>
      <c r="Q3307" t="n">
        <v>0</v>
      </c>
      <c r="R3307" t="n">
        <v>0</v>
      </c>
      <c r="S3307" t="n">
        <v>0</v>
      </c>
      <c r="T3307" t="n">
        <v>0</v>
      </c>
      <c r="U3307" t="n">
        <v>0</v>
      </c>
      <c r="V3307" s="2" t="inlineStr"/>
    </row>
    <row r="3308" ht="15" customHeight="1">
      <c r="A3308" t="inlineStr">
        <is>
          <t>S 2902-2025</t>
        </is>
      </c>
      <c r="B3308" t="inlineStr">
        <is>
          <t>samrådsanmälan</t>
        </is>
      </c>
      <c r="C3308" t="inlineStr">
        <is>
          <t>Annan skogsbruksåtgärd</t>
        </is>
      </c>
      <c r="D3308" s="1" t="n">
        <v>45946</v>
      </c>
      <c r="E3308" s="1" t="n">
        <v>46313</v>
      </c>
      <c r="F3308" t="inlineStr">
        <is>
          <t>SÖDERMANLANDS LÄN</t>
        </is>
      </c>
      <c r="G3308" t="inlineStr">
        <is>
          <t>KATRINEHOLM</t>
        </is>
      </c>
      <c r="I3308" t="n">
        <v>0.9</v>
      </c>
      <c r="J3308" t="n">
        <v>0</v>
      </c>
      <c r="K3308" t="n">
        <v>0</v>
      </c>
      <c r="L3308" t="n">
        <v>0</v>
      </c>
      <c r="M3308" t="n">
        <v>0</v>
      </c>
      <c r="N3308" t="n">
        <v>0</v>
      </c>
      <c r="O3308" t="n">
        <v>0</v>
      </c>
      <c r="P3308" t="n">
        <v>0</v>
      </c>
      <c r="Q3308" t="n">
        <v>0</v>
      </c>
      <c r="R3308" t="n">
        <v>0</v>
      </c>
      <c r="S3308" t="n">
        <v>0</v>
      </c>
      <c r="T3308" t="n">
        <v>0</v>
      </c>
      <c r="U3308" t="n">
        <v>0</v>
      </c>
      <c r="V3308" s="2" t="inlineStr"/>
    </row>
    <row r="3309" ht="15" customHeight="1">
      <c r="A3309" t="inlineStr">
        <is>
          <t>S 3431-2025</t>
        </is>
      </c>
      <c r="B3309" t="inlineStr">
        <is>
          <t>samrådsanmälan</t>
        </is>
      </c>
      <c r="C3309" t="inlineStr">
        <is>
          <t>Annan skogsbruksåtgärd</t>
        </is>
      </c>
      <c r="D3309" s="1" t="n">
        <v>45995</v>
      </c>
      <c r="E3309" s="1" t="n">
        <v>46313</v>
      </c>
      <c r="F3309" t="inlineStr">
        <is>
          <t>SÖDERMANLANDS LÄN</t>
        </is>
      </c>
      <c r="G3309" t="inlineStr">
        <is>
          <t>STRÄNGNÄS</t>
        </is>
      </c>
      <c r="I3309" t="n">
        <v>0.8</v>
      </c>
      <c r="J3309" t="n">
        <v>0</v>
      </c>
      <c r="K3309" t="n">
        <v>0</v>
      </c>
      <c r="L3309" t="n">
        <v>0</v>
      </c>
      <c r="M3309" t="n">
        <v>0</v>
      </c>
      <c r="N3309" t="n">
        <v>0</v>
      </c>
      <c r="O3309" t="n">
        <v>0</v>
      </c>
      <c r="P3309" t="n">
        <v>0</v>
      </c>
      <c r="Q3309" t="n">
        <v>0</v>
      </c>
      <c r="R3309" t="n">
        <v>0</v>
      </c>
      <c r="S3309" t="n">
        <v>0</v>
      </c>
      <c r="T3309" t="n">
        <v>0</v>
      </c>
      <c r="U3309" t="n">
        <v>0</v>
      </c>
      <c r="V3309" s="2" t="inlineStr"/>
    </row>
    <row r="3310" ht="15" customHeight="1">
      <c r="A3310" t="inlineStr">
        <is>
          <t>S 41-2026</t>
        </is>
      </c>
      <c r="B3310" t="inlineStr">
        <is>
          <t>samrådsanmälan</t>
        </is>
      </c>
      <c r="C3310" t="inlineStr">
        <is>
          <t>Annan skogsbruksåtgärd</t>
        </is>
      </c>
      <c r="D3310" s="1" t="n">
        <v>46027</v>
      </c>
      <c r="E3310" s="1" t="n">
        <v>46313</v>
      </c>
      <c r="F3310" t="inlineStr">
        <is>
          <t>SÖDERMANLANDS LÄN</t>
        </is>
      </c>
      <c r="G3310" t="inlineStr">
        <is>
          <t>STRÄNGNÄS</t>
        </is>
      </c>
      <c r="I3310" t="n">
        <v>4.8</v>
      </c>
      <c r="J3310" t="n">
        <v>0</v>
      </c>
      <c r="K3310" t="n">
        <v>0</v>
      </c>
      <c r="L3310" t="n">
        <v>0</v>
      </c>
      <c r="M3310" t="n">
        <v>0</v>
      </c>
      <c r="N3310" t="n">
        <v>0</v>
      </c>
      <c r="O3310" t="n">
        <v>0</v>
      </c>
      <c r="P3310" t="n">
        <v>0</v>
      </c>
      <c r="Q3310" t="n">
        <v>0</v>
      </c>
      <c r="R3310" t="n">
        <v>0</v>
      </c>
      <c r="S3310" t="n">
        <v>0</v>
      </c>
      <c r="T3310" t="n">
        <v>0</v>
      </c>
      <c r="U3310" t="n">
        <v>0</v>
      </c>
      <c r="V3310" s="2" t="inlineStr"/>
    </row>
    <row r="3311" ht="15" customHeight="1">
      <c r="A3311" t="inlineStr">
        <is>
          <t>S 641-2026</t>
        </is>
      </c>
      <c r="B3311" t="inlineStr">
        <is>
          <t>samrådsanmälan</t>
        </is>
      </c>
      <c r="C3311" t="inlineStr">
        <is>
          <t>Skogsgödsling</t>
        </is>
      </c>
      <c r="D3311" s="1" t="n">
        <v>46090</v>
      </c>
      <c r="E3311" s="1" t="n">
        <v>46313</v>
      </c>
      <c r="F3311" t="inlineStr">
        <is>
          <t>SÖDERMANLANDS LÄN</t>
        </is>
      </c>
      <c r="G3311" t="inlineStr">
        <is>
          <t>NYKÖPING</t>
        </is>
      </c>
      <c r="I3311" t="n">
        <v>46.2</v>
      </c>
      <c r="J3311" t="n">
        <v>0</v>
      </c>
      <c r="K3311" t="n">
        <v>0</v>
      </c>
      <c r="L3311" t="n">
        <v>0</v>
      </c>
      <c r="M3311" t="n">
        <v>0</v>
      </c>
      <c r="N3311" t="n">
        <v>0</v>
      </c>
      <c r="O3311" t="n">
        <v>0</v>
      </c>
      <c r="P3311" t="n">
        <v>0</v>
      </c>
      <c r="Q3311" t="n">
        <v>0</v>
      </c>
      <c r="R3311" t="n">
        <v>0</v>
      </c>
      <c r="S3311" t="n">
        <v>0</v>
      </c>
      <c r="T3311" t="n">
        <v>0</v>
      </c>
      <c r="U3311" t="n">
        <v>0</v>
      </c>
      <c r="V3311" s="2" t="inlineStr"/>
    </row>
    <row r="3312" ht="15" customHeight="1">
      <c r="A3312" t="inlineStr">
        <is>
          <t>S 1030-2026</t>
        </is>
      </c>
      <c r="B3312" t="inlineStr">
        <is>
          <t>samrådsanmälan</t>
        </is>
      </c>
      <c r="C3312" t="inlineStr">
        <is>
          <t>Annan skogsbruksåtgärd</t>
        </is>
      </c>
      <c r="D3312" s="1" t="n">
        <v>46125</v>
      </c>
      <c r="E3312" s="1" t="n">
        <v>46313</v>
      </c>
      <c r="F3312" t="inlineStr">
        <is>
          <t>SÖDERMANLANDS LÄN</t>
        </is>
      </c>
      <c r="G3312" t="inlineStr">
        <is>
          <t>ESKILSTUNA</t>
        </is>
      </c>
      <c r="H3312" t="inlineStr">
        <is>
          <t>Sveaskog</t>
        </is>
      </c>
      <c r="I3312" t="n">
        <v>0.5</v>
      </c>
      <c r="J3312" t="n">
        <v>0</v>
      </c>
      <c r="K3312" t="n">
        <v>0</v>
      </c>
      <c r="L3312" t="n">
        <v>0</v>
      </c>
      <c r="M3312" t="n">
        <v>0</v>
      </c>
      <c r="N3312" t="n">
        <v>0</v>
      </c>
      <c r="O3312" t="n">
        <v>0</v>
      </c>
      <c r="P3312" t="n">
        <v>0</v>
      </c>
      <c r="Q3312" t="n">
        <v>0</v>
      </c>
      <c r="R3312" t="n">
        <v>0</v>
      </c>
      <c r="S3312" t="n">
        <v>0</v>
      </c>
      <c r="T3312" t="n">
        <v>0</v>
      </c>
      <c r="U3312" t="n">
        <v>0</v>
      </c>
      <c r="V3312" s="2" t="inlineStr"/>
    </row>
    <row r="3313" ht="15" customHeight="1">
      <c r="A3313" t="inlineStr">
        <is>
          <t>S 1528-2026</t>
        </is>
      </c>
      <c r="B3313" t="inlineStr">
        <is>
          <t>samrådsanmälan</t>
        </is>
      </c>
      <c r="C3313" t="inlineStr">
        <is>
          <t>Annan skogsbruksåtgärd</t>
        </is>
      </c>
      <c r="D3313" s="1" t="n">
        <v>46164</v>
      </c>
      <c r="E3313" s="1" t="n">
        <v>46313</v>
      </c>
      <c r="F3313" t="inlineStr">
        <is>
          <t>SÖDERMANLANDS LÄN</t>
        </is>
      </c>
      <c r="G3313" t="inlineStr">
        <is>
          <t>FLEN</t>
        </is>
      </c>
      <c r="I3313" t="n">
        <v>3.3</v>
      </c>
      <c r="J3313" t="n">
        <v>0</v>
      </c>
      <c r="K3313" t="n">
        <v>0</v>
      </c>
      <c r="L3313" t="n">
        <v>0</v>
      </c>
      <c r="M3313" t="n">
        <v>0</v>
      </c>
      <c r="N3313" t="n">
        <v>0</v>
      </c>
      <c r="O3313" t="n">
        <v>0</v>
      </c>
      <c r="P3313" t="n">
        <v>0</v>
      </c>
      <c r="Q3313" t="n">
        <v>0</v>
      </c>
      <c r="R3313" t="n">
        <v>0</v>
      </c>
      <c r="S3313" t="n">
        <v>0</v>
      </c>
      <c r="T3313" t="n">
        <v>0</v>
      </c>
      <c r="U3313" t="n">
        <v>0</v>
      </c>
      <c r="V3313" s="2" t="inlineStr"/>
    </row>
    <row r="3314" ht="15" customHeight="1">
      <c r="A3314" t="inlineStr">
        <is>
          <t>S 1870-2026</t>
        </is>
      </c>
      <c r="B3314" t="inlineStr">
        <is>
          <t>samrådsanmälan</t>
        </is>
      </c>
      <c r="C3314" t="inlineStr">
        <is>
          <t>Annan skogsbruksåtgärd</t>
        </is>
      </c>
      <c r="D3314" s="1" t="n">
        <v>46199</v>
      </c>
      <c r="E3314" s="1" t="n">
        <v>46313</v>
      </c>
      <c r="F3314" t="inlineStr">
        <is>
          <t>SÖDERMANLANDS LÄN</t>
        </is>
      </c>
      <c r="G3314" t="inlineStr">
        <is>
          <t>ESKILSTUNA</t>
        </is>
      </c>
      <c r="H3314" t="inlineStr">
        <is>
          <t>Sveaskog</t>
        </is>
      </c>
      <c r="I3314" t="n">
        <v>0.8</v>
      </c>
      <c r="J3314" t="n">
        <v>0</v>
      </c>
      <c r="K3314" t="n">
        <v>0</v>
      </c>
      <c r="L3314" t="n">
        <v>0</v>
      </c>
      <c r="M3314" t="n">
        <v>0</v>
      </c>
      <c r="N3314" t="n">
        <v>0</v>
      </c>
      <c r="O3314" t="n">
        <v>0</v>
      </c>
      <c r="P3314" t="n">
        <v>0</v>
      </c>
      <c r="Q3314" t="n">
        <v>0</v>
      </c>
      <c r="R3314" t="n">
        <v>0</v>
      </c>
      <c r="S3314" t="n">
        <v>0</v>
      </c>
      <c r="T3314" t="n">
        <v>0</v>
      </c>
      <c r="U3314" t="n">
        <v>0</v>
      </c>
      <c r="V3314" s="2" t="inlineStr"/>
    </row>
    <row r="3315" ht="15" customHeight="1">
      <c r="A3315" t="inlineStr">
        <is>
          <t>S 1871-2026</t>
        </is>
      </c>
      <c r="B3315" t="inlineStr">
        <is>
          <t>samrådsanmälan</t>
        </is>
      </c>
      <c r="C3315" t="inlineStr">
        <is>
          <t>Annan skogsbruksåtgärd</t>
        </is>
      </c>
      <c r="D3315" s="1" t="n">
        <v>46199</v>
      </c>
      <c r="E3315" s="1" t="n">
        <v>46313</v>
      </c>
      <c r="F3315" t="inlineStr">
        <is>
          <t>SÖDERMANLANDS LÄN</t>
        </is>
      </c>
      <c r="G3315" t="inlineStr">
        <is>
          <t>ESKILSTUNA</t>
        </is>
      </c>
      <c r="H3315" t="inlineStr">
        <is>
          <t>Sveaskog</t>
        </is>
      </c>
      <c r="I3315" t="n">
        <v>1.1</v>
      </c>
      <c r="J3315" t="n">
        <v>0</v>
      </c>
      <c r="K3315" t="n">
        <v>0</v>
      </c>
      <c r="L3315" t="n">
        <v>0</v>
      </c>
      <c r="M3315" t="n">
        <v>0</v>
      </c>
      <c r="N3315" t="n">
        <v>0</v>
      </c>
      <c r="O3315" t="n">
        <v>0</v>
      </c>
      <c r="P3315" t="n">
        <v>0</v>
      </c>
      <c r="Q3315" t="n">
        <v>0</v>
      </c>
      <c r="R3315" t="n">
        <v>0</v>
      </c>
      <c r="S3315" t="n">
        <v>0</v>
      </c>
      <c r="T3315" t="n">
        <v>0</v>
      </c>
      <c r="U3315" t="n">
        <v>0</v>
      </c>
      <c r="V3315" s="2" t="inlineStr"/>
    </row>
    <row r="3316">
      <c r="A3316" t="inlineStr">
        <is>
          <t>S 248-2026</t>
        </is>
      </c>
      <c r="B3316" t="inlineStr">
        <is>
          <t>samrådsanmälan</t>
        </is>
      </c>
      <c r="C3316" t="inlineStr">
        <is>
          <t>Annan skogsbruksåtgärd</t>
        </is>
      </c>
      <c r="D3316" s="1" t="n">
        <v>46050</v>
      </c>
      <c r="E3316" s="1" t="n">
        <v>46313</v>
      </c>
      <c r="F3316" t="inlineStr">
        <is>
          <t>SÖDERMANLANDS LÄN</t>
        </is>
      </c>
      <c r="G3316" t="inlineStr">
        <is>
          <t>NYKÖPING</t>
        </is>
      </c>
      <c r="I3316" t="n">
        <v>1.2</v>
      </c>
      <c r="J3316" t="n">
        <v>0</v>
      </c>
      <c r="K3316" t="n">
        <v>0</v>
      </c>
      <c r="L3316" t="n">
        <v>0</v>
      </c>
      <c r="M3316" t="n">
        <v>0</v>
      </c>
      <c r="N3316" t="n">
        <v>0</v>
      </c>
      <c r="O3316" t="n">
        <v>0</v>
      </c>
      <c r="P3316" t="n">
        <v>0</v>
      </c>
      <c r="Q3316" t="n">
        <v>0</v>
      </c>
      <c r="R3316" t="n">
        <v>0</v>
      </c>
      <c r="S3316" t="n">
        <v>0</v>
      </c>
      <c r="T3316" t="n">
        <v>0</v>
      </c>
      <c r="U3316" t="n">
        <v>0</v>
      </c>
      <c r="V331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2026-10-18T08:04:48Z</dcterms:created>
  <dcterms:modified xmlns:dcterms="http://purl.org/dc/terms/" xmlns:xsi="http://www.w3.org/2001/XMLSchema-instance" xsi:type="dcterms:W3CDTF">2026-10-18T08:04:52Z</dcterms:modified>
</cp:coreProperties>
</file>